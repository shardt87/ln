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Design Basis" sheetId="2" state="visible" r:id="rId4"/>
    <sheet name="Equipment" sheetId="3" state="visible" r:id="rId5"/>
    <sheet name="Cable Types" sheetId="4" state="visible" r:id="rId6"/>
    <sheet name="Cable Schedule" sheetId="5" state="visible" r:id="rId7"/>
    <sheet name="Raceways" sheetId="6" state="visible" r:id="rId8"/>
    <sheet name="BOQ Summary" sheetId="7" state="visible" r:id="rId9"/>
    <sheet name="References" sheetId="8" state="visible" r:id="rId10"/>
  </sheets>
  <definedNames>
    <definedName function="false" hidden="true" localSheetId="4" name="_xlnm._FilterDatabase" vbProcedure="false">'Cable Schedule'!$A$2:$AC$186</definedName>
    <definedName function="false" hidden="true" localSheetId="2" name="_xlnm._FilterDatabase" vbProcedure="false">Equipment!$A$1:$G$137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M: (|dX|+|dY|+rises to raceway elevation) x (1+slack) + 2 x termination allowance.
D: 3D span x (1+sag).
Override (col N) wins if filled.</t>
        </r>
      </text>
    </comment>
    <comment ref="U2" authorId="0">
      <text>
        <r>
          <rPr>
            <sz val="10"/>
            <rFont val="Arial"/>
            <family val="2"/>
          </rPr>
          <t xml:space="preserve">3-ph: P/(sqrt3 x V x PFxEff). 1-ph / DC: P/(V x PFxEff). For kVA loads PF=1.</t>
        </r>
      </text>
    </comment>
    <comment ref="Y2" authorId="0">
      <text>
        <r>
          <rPr>
            <sz val="10"/>
            <rFont val="Arial"/>
            <family val="2"/>
          </rPr>
          <t xml:space="preserve">mV/A/m x (I / runs) x L / 1000 / V. mV/A/m is the 3-ph line value or the 1-ph/DC loop value.</t>
        </r>
      </text>
    </comment>
  </commentList>
</comments>
</file>

<file path=xl/sharedStrings.xml><?xml version="1.0" encoding="utf-8"?>
<sst xmlns="http://schemas.openxmlformats.org/spreadsheetml/2006/main" count="2739" uniqueCount="1109">
  <si>
    <t xml:space="preserve">CABLE SCHEDULE</t>
  </si>
  <si>
    <t xml:space="preserve">Combined Cycle Power Plant with Post-Combustion CCS, Gas Metering / LNG and Modular RICE Plant</t>
  </si>
  <si>
    <t xml:space="preserve">Document No.</t>
  </si>
  <si>
    <t xml:space="preserve">CCPP-E-CS-0001</t>
  </si>
  <si>
    <t xml:space="preserve">Revision</t>
  </si>
  <si>
    <t xml:space="preserve">A (Preliminary - issued for review, NOT FOR CONSTRUCTION)</t>
  </si>
  <si>
    <t xml:space="preserve">Date</t>
  </si>
  <si>
    <t xml:space="preserve">2026-10-18</t>
  </si>
  <si>
    <t xml:space="preserve">Basis of layout</t>
  </si>
  <si>
    <t xml:space="preserve">Equipment positions from the 3D line-art model examples/powerplant.go (repo shardt87/ln, branch claude/powerplant-example). Coordinates in metres, site grid: X east, Y north, Z up.</t>
  </si>
  <si>
    <t xml:space="preserve">Basis of ratings</t>
  </si>
  <si>
    <t xml:space="preserve">Representative ratings for a ~1x1 F-class CCGT (GT ~290 MVA, ST ~175 MVA), amine CCS train, 8 x 2.5 MVA containerised gas engines, 230 kV switchyard. Ratings are typical values, NOT taken from a specific project. See 'Design Basis'.</t>
  </si>
  <si>
    <t xml:space="preserve">Sheets</t>
  </si>
  <si>
    <t xml:space="preserve">Design Basis</t>
  </si>
  <si>
    <t xml:space="preserve">Global inputs: route slack, termination allowance, sag allowance, wastage, voltage drop limits, standards.</t>
  </si>
  <si>
    <t xml:space="preserve">Equipment</t>
  </si>
  <si>
    <t xml:space="preserve">Equipment / termination point list with site coordinates (from the 3D model).</t>
  </si>
  <si>
    <t xml:space="preserve">Cable Types</t>
  </si>
  <si>
    <t xml:space="preserve">Cable / conductor / busduct library: OD, ampacity, mV/A/m, mass, drum length.</t>
  </si>
  <si>
    <t xml:space="preserve">Raceways</t>
  </si>
  <si>
    <t xml:space="preserve">Trays, trenches, duct banks, busducts, OHL - elevation, derating and fill check.</t>
  </si>
  <si>
    <t xml:space="preserve">Cable Schedule</t>
  </si>
  <si>
    <t xml:space="preserve">One row per circuit. Route length, total length, design current, loading, voltage drop and check are all formulas.</t>
  </si>
  <si>
    <t xml:space="preserve">BOQ Summary</t>
  </si>
  <si>
    <t xml:space="preserve">Quantities by cable type (with wastage, drums, mass) and by system.</t>
  </si>
  <si>
    <t xml:space="preserve">References</t>
  </si>
  <si>
    <t xml:space="preserve">Public documents identified as references for typical arrangements.</t>
  </si>
  <si>
    <t xml:space="preserve">Legend</t>
  </si>
  <si>
    <t xml:space="preserve">Blue text</t>
  </si>
  <si>
    <t xml:space="preserve">Hard-coded input - edit these</t>
  </si>
  <si>
    <t xml:space="preserve">Black text</t>
  </si>
  <si>
    <t xml:space="preserve">Formula - do not overwrite</t>
  </si>
  <si>
    <t xml:space="preserve">Green text</t>
  </si>
  <si>
    <t xml:space="preserve">Lookup from another sheet</t>
  </si>
  <si>
    <t xml:space="preserve">Yellow fill</t>
  </si>
  <si>
    <t xml:space="preserve">Key assumption to be verified against vendor / project data</t>
  </si>
  <si>
    <t xml:space="preserve">Route length method</t>
  </si>
  <si>
    <t xml:space="preserve">M = Manhattan route along raceway: (|dX|+|dY| + rise from each end to raceway elevation) x (1+slack) + 2 x termination allowance.  D = direct span (overhead conductors): 3D distance x (1+sag allowance).  A value in 'Length Override' replaces the calculation (used for earth grids / bonds).</t>
  </si>
  <si>
    <t xml:space="preserve">Limitations</t>
  </si>
  <si>
    <t xml:space="preserve">Preliminary sizing only: ampacity x single raceway derating factor and steady-state voltage drop. Short-circuit withstand, motor starting voltage dip, earth fault loop impedance, and detailed grouping derating per IEC 60287 / IEC 60364-5-52 must be verified at detailed design. Raceway fill counts each cable on its primary raceway only.</t>
  </si>
  <si>
    <t xml:space="preserve">DESIGN BASIS - GLOBAL INPUTS</t>
  </si>
  <si>
    <t xml:space="preserve">Parameter</t>
  </si>
  <si>
    <t xml:space="preserve">Value</t>
  </si>
  <si>
    <t xml:space="preserve">Note</t>
  </si>
  <si>
    <t xml:space="preserve">Route slack / snaking allowance</t>
  </si>
  <si>
    <t xml:space="preserve">Typical 5-15% on tray routes for bends, drops and snaking.</t>
  </si>
  <si>
    <t xml:space="preserve">Termination allowance per end (m)</t>
  </si>
  <si>
    <t xml:space="preserve">Gland, tail and dressing inside panel / terminal box.</t>
  </si>
  <si>
    <t xml:space="preserve">Overhead conductor sag allowance</t>
  </si>
  <si>
    <t xml:space="preserve">Conductor length over chord for strung bus and line spans.</t>
  </si>
  <si>
    <t xml:space="preserve">Procurement wastage allowance</t>
  </si>
  <si>
    <t xml:space="preserve">Applied in BOQ only.</t>
  </si>
  <si>
    <t xml:space="preserve">Ambient air design temperature (deg C)</t>
  </si>
  <si>
    <t xml:space="preserve">Information - included in raceway derating factors.</t>
  </si>
  <si>
    <t xml:space="preserve">Soil thermal resistivity (K.m/W)</t>
  </si>
  <si>
    <t xml:space="preserve">Information - included in duct bank derating factors.</t>
  </si>
  <si>
    <t xml:space="preserve">System</t>
  </si>
  <si>
    <t xml:space="preserve">Nominal voltage</t>
  </si>
  <si>
    <t xml:space="preserve">Max steady-state voltage drop</t>
  </si>
  <si>
    <t xml:space="preserve">HV Overhead</t>
  </si>
  <si>
    <t xml:space="preserve">230 kV</t>
  </si>
  <si>
    <t xml:space="preserve">Strung bus / OHL - checked for ampacity only.</t>
  </si>
  <si>
    <t xml:space="preserve">Busduct</t>
  </si>
  <si>
    <t xml:space="preserve">19 / 18 kV IPB, 0.42-0.69 kV LV</t>
  </si>
  <si>
    <t xml:space="preserve">Checked for ampacity only.</t>
  </si>
  <si>
    <t xml:space="preserve">MV Power</t>
  </si>
  <si>
    <t xml:space="preserve">11 kV</t>
  </si>
  <si>
    <t xml:space="preserve">Feeder volt drop, full load running.</t>
  </si>
  <si>
    <t xml:space="preserve">LV Power</t>
  </si>
  <si>
    <t xml:space="preserve">0.42 / 0.69 kV</t>
  </si>
  <si>
    <t xml:space="preserve">Feeder volt drop, full load running (total incl. upstream &lt;= 5%).</t>
  </si>
  <si>
    <t xml:space="preserve">DC Power</t>
  </si>
  <si>
    <t xml:space="preserve">125 V DC / 230 V UPS</t>
  </si>
  <si>
    <t xml:space="preserve">Battery / UPS to load.</t>
  </si>
  <si>
    <t xml:space="preserve">Control</t>
  </si>
  <si>
    <t xml:space="preserve">110 V AC / 125 V DC</t>
  </si>
  <si>
    <t xml:space="preserve">Size by CT burden / voltage at coil - not checked here.</t>
  </si>
  <si>
    <t xml:space="preserve">Instrument</t>
  </si>
  <si>
    <t xml:space="preserve">24 V DC / 4-20 mA / TC</t>
  </si>
  <si>
    <t xml:space="preserve">Not checked here.</t>
  </si>
  <si>
    <t xml:space="preserve">Fibre Optic</t>
  </si>
  <si>
    <t xml:space="preserve">-</t>
  </si>
  <si>
    <t xml:space="preserve">Earthing</t>
  </si>
  <si>
    <t xml:space="preserve">Size per IEEE 80 / IEC 60364-5-54 fault study.</t>
  </si>
  <si>
    <t xml:space="preserve">Design standards (reference)</t>
  </si>
  <si>
    <t xml:space="preserve">IEC 60502-1 / -2: Power cables 1 kV to 30 kV (construction)</t>
  </si>
  <si>
    <t xml:space="preserve">IEC 60364-5-52 and BS 7671 Appendix 4: LV current-carrying capacity and voltage drop (mV/A/m)</t>
  </si>
  <si>
    <t xml:space="preserve">IEC 60287: Current rating calculation (detailed design)</t>
  </si>
  <si>
    <t xml:space="preserve">IEEE 738: Bare overhead conductor ampacity</t>
  </si>
  <si>
    <t xml:space="preserve">IEEE C37.23: Metal-enclosed (isolated phase) bus</t>
  </si>
  <si>
    <t xml:space="preserve">IEEE 80: AC substation grounding</t>
  </si>
  <si>
    <t xml:space="preserve">IEC 60079-14: Cables in hazardous areas (gas metering, LNG, CCS)</t>
  </si>
  <si>
    <t xml:space="preserve">IEC 61156 / ISA 5.1 and project instrument cable spec (instrument cables)</t>
  </si>
  <si>
    <t xml:space="preserve">Tag</t>
  </si>
  <si>
    <t xml:space="preserve">Description</t>
  </si>
  <si>
    <t xml:space="preserve">Area</t>
  </si>
  <si>
    <t xml:space="preserve">X (m)</t>
  </si>
  <si>
    <t xml:space="preserve">Y (m)</t>
  </si>
  <si>
    <t xml:space="preserve">Z term. (m)</t>
  </si>
  <si>
    <t xml:space="preserve">Location in 3D model / basis</t>
  </si>
  <si>
    <t xml:space="preserve">SWY-B1</t>
  </si>
  <si>
    <t xml:space="preserve">230 kV bay 1 - RICE transformer bay (gantry dead-end)</t>
  </si>
  <si>
    <t xml:space="preserve">10</t>
  </si>
  <si>
    <t xml:space="preserve">Gantry x=20</t>
  </si>
  <si>
    <t xml:space="preserve">SWY-B2</t>
  </si>
  <si>
    <t xml:space="preserve">230 kV bay 2 - bus coupler (gantry dead-end)</t>
  </si>
  <si>
    <t xml:space="preserve">Gantry x=40</t>
  </si>
  <si>
    <t xml:space="preserve">SWY-B3</t>
  </si>
  <si>
    <t xml:space="preserve">230 kV bay 3 - GT generator bay (gantry dead-end)</t>
  </si>
  <si>
    <t xml:space="preserve">Gantry x=60</t>
  </si>
  <si>
    <t xml:space="preserve">SWY-B4</t>
  </si>
  <si>
    <t xml:space="preserve">230 kV bay 4 - ST generator bay / line exit (gantry dead-end)</t>
  </si>
  <si>
    <t xml:space="preserve">Gantry x=80</t>
  </si>
  <si>
    <t xml:space="preserve">TWR-01</t>
  </si>
  <si>
    <t xml:space="preserve">230 kV transmission tower 1 (terminal)</t>
  </si>
  <si>
    <t xml:space="preserve">Tower x=130</t>
  </si>
  <si>
    <t xml:space="preserve">TWR-02</t>
  </si>
  <si>
    <t xml:space="preserve">230 kV transmission tower 2 (suspension)</t>
  </si>
  <si>
    <t xml:space="preserve">Tower x=200</t>
  </si>
  <si>
    <t xml:space="preserve">TWR-03</t>
  </si>
  <si>
    <t xml:space="preserve">230 kV transmission tower 3 (suspension)</t>
  </si>
  <si>
    <t xml:space="preserve">Tower x=270</t>
  </si>
  <si>
    <t xml:space="preserve">SWY-RB</t>
  </si>
  <si>
    <t xml:space="preserve">Switchyard relay &amp; control building</t>
  </si>
  <si>
    <t xml:space="preserve">Not drawn - assumed</t>
  </si>
  <si>
    <t xml:space="preserve">RICE-TX-HV</t>
  </si>
  <si>
    <t xml:space="preserve">RICE step-up transformer 11/230 kV 22 MVA - HV bushings</t>
  </si>
  <si>
    <t xml:space="preserve">50</t>
  </si>
  <si>
    <t xml:space="preserve">Transformer at (14-20,105-110)</t>
  </si>
  <si>
    <t xml:space="preserve">RICE-TX-LV</t>
  </si>
  <si>
    <t xml:space="preserve">RICE step-up transformer 11/230 kV 22 MVA - LV cable box</t>
  </si>
  <si>
    <t xml:space="preserve">GEN-GT</t>
  </si>
  <si>
    <t xml:space="preserve">Gas turbine generator ~290 MVA, 19 kV - line terminals</t>
  </si>
  <si>
    <t xml:space="preserve">20</t>
  </si>
  <si>
    <t xml:space="preserve">GT generator box (52-64,10-18)</t>
  </si>
  <si>
    <t xml:space="preserve">GEN-ST</t>
  </si>
  <si>
    <t xml:space="preserve">Steam turbine generator ~175 MVA, 18 kV - line terminals</t>
  </si>
  <si>
    <t xml:space="preserve">ST hall north wall</t>
  </si>
  <si>
    <t xml:space="preserve">GSU-GT-HV</t>
  </si>
  <si>
    <t xml:space="preserve">GT step-up transformer 19/230 kV 290 MVA - HV bushings</t>
  </si>
  <si>
    <t xml:space="preserve">Transformer(50,60)</t>
  </si>
  <si>
    <t xml:space="preserve">GSU-GT-LV</t>
  </si>
  <si>
    <t xml:space="preserve">GT step-up transformer - LV bushings / marshalling box</t>
  </si>
  <si>
    <t xml:space="preserve">GSU-ST-HV</t>
  </si>
  <si>
    <t xml:space="preserve">ST step-up transformer 18/230 kV 175 MVA - HV bushings</t>
  </si>
  <si>
    <t xml:space="preserve">Transformer(70,60)</t>
  </si>
  <si>
    <t xml:space="preserve">GSU-ST-LV</t>
  </si>
  <si>
    <t xml:space="preserve">ST step-up transformer - LV bushings / marshalling box</t>
  </si>
  <si>
    <t xml:space="preserve">UAT-1</t>
  </si>
  <si>
    <t xml:space="preserve">Unit auxiliary transformer 1, 19/11.5 kV 45 MVA</t>
  </si>
  <si>
    <t xml:space="preserve">Not drawn - west of GSU-GT</t>
  </si>
  <si>
    <t xml:space="preserve">UAT-2</t>
  </si>
  <si>
    <t xml:space="preserve">Unit auxiliary transformer 2, 18/11.5 kV 30 MVA (feeds CCS)</t>
  </si>
  <si>
    <t xml:space="preserve">Not drawn - east of GSU-ST</t>
  </si>
  <si>
    <t xml:space="preserve">NGR-GT</t>
  </si>
  <si>
    <t xml:space="preserve">GT generator neutral grounding transformer cubicle</t>
  </si>
  <si>
    <t xml:space="preserve">Assumed</t>
  </si>
  <si>
    <t xml:space="preserve">NGR-ST</t>
  </si>
  <si>
    <t xml:space="preserve">ST generator neutral grounding transformer cubicle</t>
  </si>
  <si>
    <t xml:space="preserve">LCI-TX</t>
  </si>
  <si>
    <t xml:space="preserve">GT static starter (LCI) isolation transformer 8 MVA</t>
  </si>
  <si>
    <t xml:space="preserve">GT PEECC - assumed</t>
  </si>
  <si>
    <t xml:space="preserve">LCI-GT</t>
  </si>
  <si>
    <t xml:space="preserve">GT static starter (LCI) cubicle</t>
  </si>
  <si>
    <t xml:space="preserve">GTCP</t>
  </si>
  <si>
    <t xml:space="preserve">GT control panel (in PEECC)</t>
  </si>
  <si>
    <t xml:space="preserve">MCC-GT</t>
  </si>
  <si>
    <t xml:space="preserve">GT auxiliary MCC 400 V (in PEECC)</t>
  </si>
  <si>
    <t xml:space="preserve">M-GT-LOP</t>
  </si>
  <si>
    <t xml:space="preserve">GT AC lube oil pump motor 75 kW</t>
  </si>
  <si>
    <t xml:space="preserve">GT enclosure (42-70,-3..7)</t>
  </si>
  <si>
    <t xml:space="preserve">M-GT-ELOP</t>
  </si>
  <si>
    <t xml:space="preserve">GT DC emergency lube oil pump motor 15 kW</t>
  </si>
  <si>
    <t xml:space="preserve">GT enclosure</t>
  </si>
  <si>
    <t xml:space="preserve">M-GT-VNT-A</t>
  </si>
  <si>
    <t xml:space="preserve">GT enclosure ventilation fan A 45 kW</t>
  </si>
  <si>
    <t xml:space="preserve">Roof vent package (46-66,-2.5..6.5)</t>
  </si>
  <si>
    <t xml:space="preserve">M-GT-VNT-B</t>
  </si>
  <si>
    <t xml:space="preserve">GT enclosure ventilation fan B 45 kW</t>
  </si>
  <si>
    <t xml:space="preserve">Roof vent package</t>
  </si>
  <si>
    <t xml:space="preserve">JB-GT-TC</t>
  </si>
  <si>
    <t xml:space="preserve">GT exhaust thermocouple junction box</t>
  </si>
  <si>
    <t xml:space="preserve">Exhaust diffuser (70-76)</t>
  </si>
  <si>
    <t xml:space="preserve">JB-FG-GT</t>
  </si>
  <si>
    <t xml:space="preserve">F&amp;G junction box - GT enclosure</t>
  </si>
  <si>
    <t xml:space="preserve">MCC-HRSG</t>
  </si>
  <si>
    <t xml:space="preserve">HRSG auxiliary MCC 400 V</t>
  </si>
  <si>
    <t xml:space="preserve">Assumed south of HRSG</t>
  </si>
  <si>
    <t xml:space="preserve">M-BFP-A</t>
  </si>
  <si>
    <t xml:space="preserve">HP/IP boiler feed pump A motor 3.2 MW, 11 kV</t>
  </si>
  <si>
    <t xml:space="preserve">South of HRSG</t>
  </si>
  <si>
    <t xml:space="preserve">M-BFP-B</t>
  </si>
  <si>
    <t xml:space="preserve">HP/IP boiler feed pump B motor 3.2 MW, 11 kV</t>
  </si>
  <si>
    <t xml:space="preserve">M-HRSG-RCP</t>
  </si>
  <si>
    <t xml:space="preserve">HRSG preheater recirculation pump motor 55 kW</t>
  </si>
  <si>
    <t xml:space="preserve">JB-HRSG-01</t>
  </si>
  <si>
    <t xml:space="preserve">HRSG drum platform instrument junction box</t>
  </si>
  <si>
    <t xml:space="preserve">HP drum z=30</t>
  </si>
  <si>
    <t xml:space="preserve">STK</t>
  </si>
  <si>
    <t xml:space="preserve">HRSG stack (lightning down conductor)</t>
  </si>
  <si>
    <t xml:space="preserve">Stack r=3.5, h=55</t>
  </si>
  <si>
    <t xml:space="preserve">AE-STK</t>
  </si>
  <si>
    <t xml:space="preserve">CEMS probe at stack sample port</t>
  </si>
  <si>
    <t xml:space="preserve">Stack</t>
  </si>
  <si>
    <t xml:space="preserve">CEMS-SH</t>
  </si>
  <si>
    <t xml:space="preserve">CEMS analyser shelter</t>
  </si>
  <si>
    <t xml:space="preserve">TCP-ST</t>
  </si>
  <si>
    <t xml:space="preserve">ST control panel</t>
  </si>
  <si>
    <t xml:space="preserve">ST hall (52-92,28-46)</t>
  </si>
  <si>
    <t xml:space="preserve">MCC-ST</t>
  </si>
  <si>
    <t xml:space="preserve">ST auxiliary MCC 400 V</t>
  </si>
  <si>
    <t xml:space="preserve">ST hall</t>
  </si>
  <si>
    <t xml:space="preserve">M-ST-TG</t>
  </si>
  <si>
    <t xml:space="preserve">ST turning gear motor 37 kW</t>
  </si>
  <si>
    <t xml:space="preserve">ST at (60-72,32-40)</t>
  </si>
  <si>
    <t xml:space="preserve">M-ST-LOP</t>
  </si>
  <si>
    <t xml:space="preserve">ST AC lube oil pump motor 55 kW</t>
  </si>
  <si>
    <t xml:space="preserve">M-ST-ELOP</t>
  </si>
  <si>
    <t xml:space="preserve">ST DC emergency lube oil pump motor 22 kW</t>
  </si>
  <si>
    <t xml:space="preserve">M-CEP-A</t>
  </si>
  <si>
    <t xml:space="preserve">Condensate extraction pump A motor 500 kW, 11 kV</t>
  </si>
  <si>
    <t xml:space="preserve">M-CEP-B</t>
  </si>
  <si>
    <t xml:space="preserve">Condensate extraction pump B motor 500 kW, 11 kV</t>
  </si>
  <si>
    <t xml:space="preserve">RIO-PB</t>
  </si>
  <si>
    <t xml:space="preserve">DCS remote I/O cabinet - power block</t>
  </si>
  <si>
    <t xml:space="preserve">EG-PB</t>
  </si>
  <si>
    <t xml:space="preserve">Power block main earth grid (nearest riser)</t>
  </si>
  <si>
    <t xml:space="preserve">Buried</t>
  </si>
  <si>
    <t xml:space="preserve">LVT-ACC</t>
  </si>
  <si>
    <t xml:space="preserve">ACC fan transformer 11/0.69 kV 4 MVA</t>
  </si>
  <si>
    <t xml:space="preserve">30</t>
  </si>
  <si>
    <t xml:space="preserve">East of ACC (98-142,26-60)</t>
  </si>
  <si>
    <t xml:space="preserve">MCC-ACC</t>
  </si>
  <si>
    <t xml:space="preserve">ACC fan VFD switchroom 690 V</t>
  </si>
  <si>
    <t xml:space="preserve">East of ACC</t>
  </si>
  <si>
    <t xml:space="preserve">JB-ACC</t>
  </si>
  <si>
    <t xml:space="preserve">ACC instrument junction box</t>
  </si>
  <si>
    <t xml:space="preserve">ACC</t>
  </si>
  <si>
    <t xml:space="preserve">M-ACC-01</t>
  </si>
  <si>
    <t xml:space="preserve">ACC fan motor 01, 200 kW 690 V (VFD)</t>
  </si>
  <si>
    <t xml:space="preserve">Fan ring (104,32) on deck z=20</t>
  </si>
  <si>
    <t xml:space="preserve">M-ACC-02</t>
  </si>
  <si>
    <t xml:space="preserve">ACC fan motor 02, 200 kW 690 V (VFD)</t>
  </si>
  <si>
    <t xml:space="preserve">Fan ring (104,43) on deck z=20</t>
  </si>
  <si>
    <t xml:space="preserve">M-ACC-03</t>
  </si>
  <si>
    <t xml:space="preserve">ACC fan motor 03, 200 kW 690 V (VFD)</t>
  </si>
  <si>
    <t xml:space="preserve">Fan ring (104,54) on deck z=20</t>
  </si>
  <si>
    <t xml:space="preserve">M-ACC-04</t>
  </si>
  <si>
    <t xml:space="preserve">ACC fan motor 04, 200 kW 690 V (VFD)</t>
  </si>
  <si>
    <t xml:space="preserve">Fan ring (112,32) on deck z=20</t>
  </si>
  <si>
    <t xml:space="preserve">M-ACC-05</t>
  </si>
  <si>
    <t xml:space="preserve">ACC fan motor 05, 200 kW 690 V (VFD)</t>
  </si>
  <si>
    <t xml:space="preserve">Fan ring (112,43) on deck z=20</t>
  </si>
  <si>
    <t xml:space="preserve">M-ACC-06</t>
  </si>
  <si>
    <t xml:space="preserve">ACC fan motor 06, 200 kW 690 V (VFD)</t>
  </si>
  <si>
    <t xml:space="preserve">Fan ring (112,54) on deck z=20</t>
  </si>
  <si>
    <t xml:space="preserve">M-ACC-07</t>
  </si>
  <si>
    <t xml:space="preserve">ACC fan motor 07, 200 kW 690 V (VFD)</t>
  </si>
  <si>
    <t xml:space="preserve">Fan ring (120,32) on deck z=20</t>
  </si>
  <si>
    <t xml:space="preserve">M-ACC-08</t>
  </si>
  <si>
    <t xml:space="preserve">ACC fan motor 08, 200 kW 690 V (VFD)</t>
  </si>
  <si>
    <t xml:space="preserve">Fan ring (120,43) on deck z=20</t>
  </si>
  <si>
    <t xml:space="preserve">M-ACC-09</t>
  </si>
  <si>
    <t xml:space="preserve">ACC fan motor 09, 200 kW 690 V (VFD)</t>
  </si>
  <si>
    <t xml:space="preserve">Fan ring (120,54) on deck z=20</t>
  </si>
  <si>
    <t xml:space="preserve">M-ACC-10</t>
  </si>
  <si>
    <t xml:space="preserve">ACC fan motor 10, 200 kW 690 V (VFD)</t>
  </si>
  <si>
    <t xml:space="preserve">Fan ring (128,32) on deck z=20</t>
  </si>
  <si>
    <t xml:space="preserve">M-ACC-11</t>
  </si>
  <si>
    <t xml:space="preserve">ACC fan motor 11, 200 kW 690 V (VFD)</t>
  </si>
  <si>
    <t xml:space="preserve">Fan ring (128,43) on deck z=20</t>
  </si>
  <si>
    <t xml:space="preserve">M-ACC-12</t>
  </si>
  <si>
    <t xml:space="preserve">ACC fan motor 12, 200 kW 690 V (VFD)</t>
  </si>
  <si>
    <t xml:space="preserve">Fan ring (128,54) on deck z=20</t>
  </si>
  <si>
    <t xml:space="preserve">M-ACC-13</t>
  </si>
  <si>
    <t xml:space="preserve">ACC fan motor 13, 200 kW 690 V (VFD)</t>
  </si>
  <si>
    <t xml:space="preserve">Fan ring (136,32) on deck z=20</t>
  </si>
  <si>
    <t xml:space="preserve">M-ACC-14</t>
  </si>
  <si>
    <t xml:space="preserve">ACC fan motor 14, 200 kW 690 V (VFD)</t>
  </si>
  <si>
    <t xml:space="preserve">Fan ring (136,43) on deck z=20</t>
  </si>
  <si>
    <t xml:space="preserve">M-ACC-15</t>
  </si>
  <si>
    <t xml:space="preserve">ACC fan motor 15, 200 kW 690 V (VFD)</t>
  </si>
  <si>
    <t xml:space="preserve">Fan ring (136,54) on deck z=20</t>
  </si>
  <si>
    <t xml:space="preserve">MVS-CCS</t>
  </si>
  <si>
    <t xml:space="preserve">CCS 11 kV switchboard (CCS substation)</t>
  </si>
  <si>
    <t xml:space="preserve">40</t>
  </si>
  <si>
    <t xml:space="preserve">Tray TR-02 end (180,64)</t>
  </si>
  <si>
    <t xml:space="preserve">LVT-CCS</t>
  </si>
  <si>
    <t xml:space="preserve">CCS LV transformer 11/0.42 kV 2.5 MVA</t>
  </si>
  <si>
    <t xml:space="preserve">CCS substation</t>
  </si>
  <si>
    <t xml:space="preserve">PMCC-CCS</t>
  </si>
  <si>
    <t xml:space="preserve">CCS power / motor control centre 400 V</t>
  </si>
  <si>
    <t xml:space="preserve">RIO-CCS</t>
  </si>
  <si>
    <t xml:space="preserve">DCS remote I/O cabinet - CCS</t>
  </si>
  <si>
    <t xml:space="preserve">M-BF</t>
  </si>
  <si>
    <t xml:space="preserve">Flue gas booster fan motor 6.5 MW, 11 kV</t>
  </si>
  <si>
    <t xml:space="preserve">Booster fan (145-155,-8..0)</t>
  </si>
  <si>
    <t xml:space="preserve">M-DCC-A</t>
  </si>
  <si>
    <t xml:space="preserve">Direct contact cooler circulation pump A 400 kW, 11 kV</t>
  </si>
  <si>
    <t xml:space="preserve">DCC r=5 at (150,3)</t>
  </si>
  <si>
    <t xml:space="preserve">M-DCC-B</t>
  </si>
  <si>
    <t xml:space="preserve">Direct contact cooler circulation pump B 400 kW, 11 kV</t>
  </si>
  <si>
    <t xml:space="preserve">DCC</t>
  </si>
  <si>
    <t xml:space="preserve">M-RAP-A</t>
  </si>
  <si>
    <t xml:space="preserve">Rich amine pump A 700 kW, 11 kV</t>
  </si>
  <si>
    <t xml:space="preserve">Absorber r=8 at (170,6)</t>
  </si>
  <si>
    <t xml:space="preserve">M-RAP-B</t>
  </si>
  <si>
    <t xml:space="preserve">Rich amine pump B 700 kW, 11 kV</t>
  </si>
  <si>
    <t xml:space="preserve">Absorber</t>
  </si>
  <si>
    <t xml:space="preserve">M-LAP-A</t>
  </si>
  <si>
    <t xml:space="preserve">Lean amine pump A 800 kW, 11 kV</t>
  </si>
  <si>
    <t xml:space="preserve">Stripper r=4 at (190,20)</t>
  </si>
  <si>
    <t xml:space="preserve">M-LAP-B</t>
  </si>
  <si>
    <t xml:space="preserve">Lean amine pump B 800 kW, 11 kV</t>
  </si>
  <si>
    <t xml:space="preserve">Stripper</t>
  </si>
  <si>
    <t xml:space="preserve">M-RBC-A</t>
  </si>
  <si>
    <t xml:space="preserve">Reboiler condensate pump A 110 kW, 400 V</t>
  </si>
  <si>
    <t xml:space="preserve">Reboiler at (198,20)</t>
  </si>
  <si>
    <t xml:space="preserve">M-CO2C</t>
  </si>
  <si>
    <t xml:space="preserve">CO2 compressor motor 14 MW, 11 kV (VFD)</t>
  </si>
  <si>
    <t xml:space="preserve">Compressor bldg (180-210,32-46)</t>
  </si>
  <si>
    <t xml:space="preserve">UCP-CO2</t>
  </si>
  <si>
    <t xml:space="preserve">CO2 compressor unit control panel</t>
  </si>
  <si>
    <t xml:space="preserve">Compressor bldg</t>
  </si>
  <si>
    <t xml:space="preserve">PKG-DEH</t>
  </si>
  <si>
    <t xml:space="preserve">CO2 dehydration package (TEG) 250 kVA</t>
  </si>
  <si>
    <t xml:space="preserve">Dehydration (210-218,34-44)</t>
  </si>
  <si>
    <t xml:space="preserve">FC-CO2</t>
  </si>
  <si>
    <t xml:space="preserve">CO2 export fiscal meter skid / flow computer</t>
  </si>
  <si>
    <t xml:space="preserve">Meter skid (240-244,37-41)</t>
  </si>
  <si>
    <t xml:space="preserve">JB-ABS-01</t>
  </si>
  <si>
    <t xml:space="preserve">Absorber instrument junction box (mid-height)</t>
  </si>
  <si>
    <t xml:space="preserve">JB-STR-01</t>
  </si>
  <si>
    <t xml:space="preserve">Stripper instrument junction box</t>
  </si>
  <si>
    <t xml:space="preserve">JB-FG-CCS</t>
  </si>
  <si>
    <t xml:space="preserve">F&amp;G junction box - CCS area</t>
  </si>
  <si>
    <t xml:space="preserve">CCS</t>
  </si>
  <si>
    <t xml:space="preserve">C-ABS</t>
  </si>
  <si>
    <t xml:space="preserve">Absorber column shell (lightning / bonding)</t>
  </si>
  <si>
    <t xml:space="preserve">EG-CCS</t>
  </si>
  <si>
    <t xml:space="preserve">CCS area earth grid (nearest riser)</t>
  </si>
  <si>
    <t xml:space="preserve">MVS-RICE</t>
  </si>
  <si>
    <t xml:space="preserve">RICE 11 kV collector switchgear e-house</t>
  </si>
  <si>
    <t xml:space="preserve">E-house (6-18,96-102)</t>
  </si>
  <si>
    <t xml:space="preserve">LVT-RICE</t>
  </si>
  <si>
    <t xml:space="preserve">RICE auxiliary transformer 11/0.42 kV 1 MVA</t>
  </si>
  <si>
    <t xml:space="preserve">MCC-RICE</t>
  </si>
  <si>
    <t xml:space="preserve">RICE auxiliary MCC 400 V</t>
  </si>
  <si>
    <t xml:space="preserve">E-house</t>
  </si>
  <si>
    <t xml:space="preserve">RPC</t>
  </si>
  <si>
    <t xml:space="preserve">RICE plant controller</t>
  </si>
  <si>
    <t xml:space="preserve">EG-RICE</t>
  </si>
  <si>
    <t xml:space="preserve">RICE area earth grid (nearest riser)</t>
  </si>
  <si>
    <t xml:space="preserve">GEN-R01</t>
  </si>
  <si>
    <t xml:space="preserve">Gas engine genset 1 (40 ft container) 2.5 MVA, 11 kV - terminal box</t>
  </si>
  <si>
    <t xml:space="preserve">Container y=70.0</t>
  </si>
  <si>
    <t xml:space="preserve">GEN-R02</t>
  </si>
  <si>
    <t xml:space="preserve">Gas engine genset 2 (40 ft container) 2.5 MVA, 11 kV - terminal box</t>
  </si>
  <si>
    <t xml:space="preserve">Container y=74.2</t>
  </si>
  <si>
    <t xml:space="preserve">GEN-R03</t>
  </si>
  <si>
    <t xml:space="preserve">Gas engine genset 3 (40 ft container) 2.5 MVA, 11 kV - terminal box</t>
  </si>
  <si>
    <t xml:space="preserve">Container y=78.4</t>
  </si>
  <si>
    <t xml:space="preserve">GEN-R04</t>
  </si>
  <si>
    <t xml:space="preserve">Gas engine genset 4 (40 ft container) 2.5 MVA, 11 kV - terminal box</t>
  </si>
  <si>
    <t xml:space="preserve">Container y=82.6</t>
  </si>
  <si>
    <t xml:space="preserve">GEN-R05</t>
  </si>
  <si>
    <t xml:space="preserve">Gas engine genset 5 (40 ft container) 2.5 MVA, 11 kV - terminal box</t>
  </si>
  <si>
    <t xml:space="preserve">Container y=86.8</t>
  </si>
  <si>
    <t xml:space="preserve">GEN-R06</t>
  </si>
  <si>
    <t xml:space="preserve">Gas engine genset 6 (40 ft container) 2.5 MVA, 11 kV - terminal box</t>
  </si>
  <si>
    <t xml:space="preserve">Container y=91.0</t>
  </si>
  <si>
    <t xml:space="preserve">GEN-R07</t>
  </si>
  <si>
    <t xml:space="preserve">Gas engine genset 7 (40 ft container) 2.5 MVA, 11 kV - terminal box</t>
  </si>
  <si>
    <t xml:space="preserve">Container y=95.2</t>
  </si>
  <si>
    <t xml:space="preserve">GEN-R08</t>
  </si>
  <si>
    <t xml:space="preserve">Gas engine genset 8 (40 ft container) 2.5 MVA, 11 kV - terminal box</t>
  </si>
  <si>
    <t xml:space="preserve">Container y=99.4</t>
  </si>
  <si>
    <t xml:space="preserve">AUX-R01</t>
  </si>
  <si>
    <t xml:space="preserve">Genset 1 auxiliary panel (radiator fans, pre-lube, jacket heater)</t>
  </si>
  <si>
    <t xml:space="preserve">AUX-R02</t>
  </si>
  <si>
    <t xml:space="preserve">Genset 2 auxiliary panel (radiator fans, pre-lube, jacket heater)</t>
  </si>
  <si>
    <t xml:space="preserve">AUX-R03</t>
  </si>
  <si>
    <t xml:space="preserve">Genset 3 auxiliary panel (radiator fans, pre-lube, jacket heater)</t>
  </si>
  <si>
    <t xml:space="preserve">AUX-R04</t>
  </si>
  <si>
    <t xml:space="preserve">Genset 4 auxiliary panel (radiator fans, pre-lube, jacket heater)</t>
  </si>
  <si>
    <t xml:space="preserve">AUX-R05</t>
  </si>
  <si>
    <t xml:space="preserve">Genset 5 auxiliary panel (radiator fans, pre-lube, jacket heater)</t>
  </si>
  <si>
    <t xml:space="preserve">AUX-R06</t>
  </si>
  <si>
    <t xml:space="preserve">Genset 6 auxiliary panel (radiator fans, pre-lube, jacket heater)</t>
  </si>
  <si>
    <t xml:space="preserve">AUX-R07</t>
  </si>
  <si>
    <t xml:space="preserve">Genset 7 auxiliary panel (radiator fans, pre-lube, jacket heater)</t>
  </si>
  <si>
    <t xml:space="preserve">AUX-R08</t>
  </si>
  <si>
    <t xml:space="preserve">Genset 8 auxiliary panel (radiator fans, pre-lube, jacket heater)</t>
  </si>
  <si>
    <t xml:space="preserve">TK-LNG</t>
  </si>
  <si>
    <t xml:space="preserve">LNG full-containment tank (bonding)</t>
  </si>
  <si>
    <t xml:space="preserve">60</t>
  </si>
  <si>
    <t xml:space="preserve">Tank r=16 at (-60,10)</t>
  </si>
  <si>
    <t xml:space="preserve">M-LNG-P1</t>
  </si>
  <si>
    <t xml:space="preserve">LNG in-tank send-out pump 1, 250 kW 400 V (top penetration)</t>
  </si>
  <si>
    <t xml:space="preserve">Tank roof z=24</t>
  </si>
  <si>
    <t xml:space="preserve">M-LNG-P2</t>
  </si>
  <si>
    <t xml:space="preserve">LNG in-tank send-out pump 2, 250 kW 400 V (top penetration)</t>
  </si>
  <si>
    <t xml:space="preserve">LT-LNG</t>
  </si>
  <si>
    <t xml:space="preserve">LNG tank level / temperature gauging head</t>
  </si>
  <si>
    <t xml:space="preserve">Tank roof</t>
  </si>
  <si>
    <t xml:space="preserve">C-BOG</t>
  </si>
  <si>
    <t xml:space="preserve">Boil-off gas compressor motor 900 kW, 11 kV</t>
  </si>
  <si>
    <t xml:space="preserve">Assumed north of vaporizers</t>
  </si>
  <si>
    <t xml:space="preserve">JB-LNG</t>
  </si>
  <si>
    <t xml:space="preserve">LNG area instrument junction box</t>
  </si>
  <si>
    <t xml:space="preserve">Pipe to station y=10</t>
  </si>
  <si>
    <t xml:space="preserve">HTP-LNG</t>
  </si>
  <si>
    <t xml:space="preserve">Heat tracing / lighting panel - LNG area</t>
  </si>
  <si>
    <t xml:space="preserve">XV-001</t>
  </si>
  <si>
    <t xml:space="preserve">Station inlet ESD valve (electro-hydraulic actuator)</t>
  </si>
  <si>
    <t xml:space="preserve">Inlet pipe (-44..-25, y=10, z=4)</t>
  </si>
  <si>
    <t xml:space="preserve">LVT-GAS</t>
  </si>
  <si>
    <t xml:space="preserve">Gas station transformer 11/0.42 kV 1.6 MVA</t>
  </si>
  <si>
    <t xml:space="preserve">Assumed north of skid</t>
  </si>
  <si>
    <t xml:space="preserve">MCC-GAS</t>
  </si>
  <si>
    <t xml:space="preserve">Gas station MCC 400 V (shelter)</t>
  </si>
  <si>
    <t xml:space="preserve">Shelter (-25..-15,10-14)</t>
  </si>
  <si>
    <t xml:space="preserve">RIO-GAS</t>
  </si>
  <si>
    <t xml:space="preserve">DCS remote I/O cabinet - gas station (shelter)</t>
  </si>
  <si>
    <t xml:space="preserve">Shelter</t>
  </si>
  <si>
    <t xml:space="preserve">FC-GAS</t>
  </si>
  <si>
    <t xml:space="preserve">Fiscal gas flow computer / metering panel (shelter)</t>
  </si>
  <si>
    <t xml:space="preserve">AT-GC</t>
  </si>
  <si>
    <t xml:space="preserve">Gas chromatograph (shelter)</t>
  </si>
  <si>
    <t xml:space="preserve">FT-101A</t>
  </si>
  <si>
    <t xml:space="preserve">Ultrasonic gas meter run A</t>
  </si>
  <si>
    <t xml:space="preserve">Meter body run y=-3</t>
  </si>
  <si>
    <t xml:space="preserve">FT-101B</t>
  </si>
  <si>
    <t xml:space="preserve">Ultrasonic gas meter run B</t>
  </si>
  <si>
    <t xml:space="preserve">Meter body run y=0</t>
  </si>
  <si>
    <t xml:space="preserve">FT-101C</t>
  </si>
  <si>
    <t xml:space="preserve">Ultrasonic gas meter run C (spare / check)</t>
  </si>
  <si>
    <t xml:space="preserve">Meter body run y=3</t>
  </si>
  <si>
    <t xml:space="preserve">PCV-101</t>
  </si>
  <si>
    <t xml:space="preserve">Pressure reducing / regulating valve skid</t>
  </si>
  <si>
    <t xml:space="preserve">Regulator box (0-3,0-3)</t>
  </si>
  <si>
    <t xml:space="preserve">H-101</t>
  </si>
  <si>
    <t xml:space="preserve">Fuel gas electric heater 400 kW</t>
  </si>
  <si>
    <t xml:space="preserve">Heater (0-4, y=7)</t>
  </si>
  <si>
    <t xml:space="preserve">JB-GAS</t>
  </si>
  <si>
    <t xml:space="preserve">Gas station instrument junction box</t>
  </si>
  <si>
    <t xml:space="preserve">Skid</t>
  </si>
  <si>
    <t xml:space="preserve">EG-GAS</t>
  </si>
  <si>
    <t xml:space="preserve">Gas / LNG area earth grid (nearest riser)</t>
  </si>
  <si>
    <t xml:space="preserve">MVS-1</t>
  </si>
  <si>
    <t xml:space="preserve">Main 11 kV switchboard (main electrical building)</t>
  </si>
  <si>
    <t xml:space="preserve">70</t>
  </si>
  <si>
    <t xml:space="preserve">E-house (34-46,50-56)</t>
  </si>
  <si>
    <t xml:space="preserve">PMCC-1</t>
  </si>
  <si>
    <t xml:space="preserve">Main power / motor control centre 400 V</t>
  </si>
  <si>
    <t xml:space="preserve">LVT-1</t>
  </si>
  <si>
    <t xml:space="preserve">Main LV transformer 11/0.42 kV 2.5 MVA</t>
  </si>
  <si>
    <t xml:space="preserve">North of e-house</t>
  </si>
  <si>
    <t xml:space="preserve">DCS-CCR</t>
  </si>
  <si>
    <t xml:space="preserve">DCS servers / central control room</t>
  </si>
  <si>
    <t xml:space="preserve">GPP</t>
  </si>
  <si>
    <t xml:space="preserve">Generator &amp; transformer protection panels</t>
  </si>
  <si>
    <t xml:space="preserve">DCB-1</t>
  </si>
  <si>
    <t xml:space="preserve">125 V DC battery and chargers</t>
  </si>
  <si>
    <t xml:space="preserve">UPS-1</t>
  </si>
  <si>
    <t xml:space="preserve">230 V AC UPS</t>
  </si>
  <si>
    <t xml:space="preserve">FGP-1</t>
  </si>
  <si>
    <t xml:space="preserve">Fire &amp; gas panel</t>
  </si>
  <si>
    <t xml:space="preserve">EG-SWY</t>
  </si>
  <si>
    <t xml:space="preserve">Switchyard earth grid (nearest riser)</t>
  </si>
  <si>
    <t xml:space="preserve">Code</t>
  </si>
  <si>
    <t xml:space="preserve">Category</t>
  </si>
  <si>
    <t xml:space="preserve">Conductors / cables per run</t>
  </si>
  <si>
    <t xml:space="preserve">OD (mm)</t>
  </si>
  <si>
    <t xml:space="preserve">Ampacity per run (A) - base</t>
  </si>
  <si>
    <t xml:space="preserve">mV/A/m (3-ph line, or 1-ph/DC loop)</t>
  </si>
  <si>
    <t xml:space="preserve">Mass (kg/m per conductor)</t>
  </si>
  <si>
    <t xml:space="preserve">Std drum / delivery length (m)</t>
  </si>
  <si>
    <t xml:space="preserve">Basis</t>
  </si>
  <si>
    <t xml:space="preserve">ACSR-DRAKE</t>
  </si>
  <si>
    <t xml:space="preserve">ACSR 795 kcmil 'Drake' 26/7, 1 per phase</t>
  </si>
  <si>
    <t xml:space="preserve">IEEE 738 typical (40 C ambient, 75 C conductor, 0.6 m/s wind)</t>
  </si>
  <si>
    <t xml:space="preserve">ACSR-DRAKE-2B</t>
  </si>
  <si>
    <t xml:space="preserve">ACSR 795 kcmil 'Drake' 26/7, twin bundle per phase</t>
  </si>
  <si>
    <t xml:space="preserve">SW-7/16-EHS</t>
  </si>
  <si>
    <t xml:space="preserve">Shield wire 7/16" EHS galvanised steel</t>
  </si>
  <si>
    <t xml:space="preserve">OPGW-24</t>
  </si>
  <si>
    <t xml:space="preserve">OPGW 24-fibre shield wire</t>
  </si>
  <si>
    <t xml:space="preserve">IPB-10K</t>
  </si>
  <si>
    <t xml:space="preserve">Isolated phase bus 24 kV, 10 kA (per phase metre)</t>
  </si>
  <si>
    <t xml:space="preserve">Vendor nominal rating (IEEE C37.23 / IEC 61439-6)</t>
  </si>
  <si>
    <t xml:space="preserve">IPB-7K</t>
  </si>
  <si>
    <t xml:space="preserve">Isolated phase bus 24 kV, 7 kA (per phase metre)</t>
  </si>
  <si>
    <t xml:space="preserve">IPB-3K</t>
  </si>
  <si>
    <t xml:space="preserve">Isolated phase tap bus 24 kV, 3 kA (per phase metre)</t>
  </si>
  <si>
    <t xml:space="preserve">LVBD-4000</t>
  </si>
  <si>
    <t xml:space="preserve">LV busduct 1 kV, 4000 A, Cu, 4-pole</t>
  </si>
  <si>
    <t xml:space="preserve">LVBD-2500</t>
  </si>
  <si>
    <t xml:space="preserve">LV busduct 1 kV, 2500 A, Cu, 4-pole</t>
  </si>
  <si>
    <t xml:space="preserve">MV-1C-95</t>
  </si>
  <si>
    <t xml:space="preserve">6.35/11 kV 1C 95 mm2 Cu/XLPE/CWS/PVC</t>
  </si>
  <si>
    <t xml:space="preserve">IEC 60502-2 Annex B typical, in air, 90 C XLPE</t>
  </si>
  <si>
    <t xml:space="preserve">MV-1C-240</t>
  </si>
  <si>
    <t xml:space="preserve">6.35/11 kV 1C 240 mm2 Cu/XLPE/CWS/PVC (trefoil set)</t>
  </si>
  <si>
    <t xml:space="preserve">MV-1C-400</t>
  </si>
  <si>
    <t xml:space="preserve">6.35/11 kV 1C 400 mm2 Cu/XLPE/CWS/PVC (trefoil set)</t>
  </si>
  <si>
    <t xml:space="preserve">MV-1C-630</t>
  </si>
  <si>
    <t xml:space="preserve">6.35/11 kV 1C 630 mm2 Cu/XLPE/CWS/PVC (trefoil set)</t>
  </si>
  <si>
    <t xml:space="preserve">MV-3C-70</t>
  </si>
  <si>
    <t xml:space="preserve">6.35/11 kV 3C 70 mm2 Cu/XLPE/SWA/PVC</t>
  </si>
  <si>
    <t xml:space="preserve">MV-3C-120</t>
  </si>
  <si>
    <t xml:space="preserve">6.35/11 kV 3C 120 mm2 Cu/XLPE/SWA/PVC</t>
  </si>
  <si>
    <t xml:space="preserve">MV-3C-185</t>
  </si>
  <si>
    <t xml:space="preserve">6.35/11 kV 3C 185 mm2 Cu/XLPE/SWA/PVC</t>
  </si>
  <si>
    <t xml:space="preserve">LV-4C-6</t>
  </si>
  <si>
    <t xml:space="preserve">0.6/1 kV 4C 6 mm2 Cu/XLPE/SWA/PVC</t>
  </si>
  <si>
    <t xml:space="preserve">BS 7671 Tab 4E4A/4E4B ref. method E, 90 C XLPE</t>
  </si>
  <si>
    <t xml:space="preserve">LV-4C-16</t>
  </si>
  <si>
    <t xml:space="preserve">0.6/1 kV 4C 16 mm2 Cu/XLPE/SWA/PVC</t>
  </si>
  <si>
    <t xml:space="preserve">LV-4C-35</t>
  </si>
  <si>
    <t xml:space="preserve">0.6/1 kV 4C 35 mm2 Cu/XLPE/SWA/PVC</t>
  </si>
  <si>
    <t xml:space="preserve">LV-4C-70</t>
  </si>
  <si>
    <t xml:space="preserve">0.6/1 kV 4C 70 mm2 Cu/XLPE/SWA/PVC</t>
  </si>
  <si>
    <t xml:space="preserve">LV-4C-120</t>
  </si>
  <si>
    <t xml:space="preserve">0.6/1 kV 4C 120 mm2 Cu/XLPE/SWA/PVC</t>
  </si>
  <si>
    <t xml:space="preserve">LV-4C-240</t>
  </si>
  <si>
    <t xml:space="preserve">0.6/1 kV 4C 240 mm2 Cu/XLPE/SWA/PVC</t>
  </si>
  <si>
    <t xml:space="preserve">LV-VFD-95</t>
  </si>
  <si>
    <t xml:space="preserve">0.6/1 kV 3C 95+3E Cu/XLPE/screened VFD cable</t>
  </si>
  <si>
    <t xml:space="preserve">LV-2C-10</t>
  </si>
  <si>
    <t xml:space="preserve">0.6/1 kV 2C 10 mm2 Cu/XLPE/SWA/PVC</t>
  </si>
  <si>
    <t xml:space="preserve">BS 7671 Tab 4E4A/4E4B / 4E1A, 90 C XLPE</t>
  </si>
  <si>
    <t xml:space="preserve">LV-2C-35</t>
  </si>
  <si>
    <t xml:space="preserve">0.6/1 kV 2C 35 mm2 Cu/XLPE/SWA/PVC</t>
  </si>
  <si>
    <t xml:space="preserve">LV-1C-240</t>
  </si>
  <si>
    <t xml:space="preserve">0.6/1 kV 1C 240 mm2 Cu/XLPE/AWA/PVC (+/- pair)</t>
  </si>
  <si>
    <t xml:space="preserve">CTL-7C-2.5</t>
  </si>
  <si>
    <t xml:space="preserve">0.6/1 kV 7C 2.5 mm2 Cu/PVC/SWA/PVC control</t>
  </si>
  <si>
    <t xml:space="preserve">Not current-rated here</t>
  </si>
  <si>
    <t xml:space="preserve">CTL-12C-2.5</t>
  </si>
  <si>
    <t xml:space="preserve">0.6/1 kV 12C 2.5 mm2 Cu/PVC/SWA/PVC control</t>
  </si>
  <si>
    <t xml:space="preserve">CTL-24C-1.5</t>
  </si>
  <si>
    <t xml:space="preserve">0.6/1 kV 24C 1.5 mm2 Cu/PVC/SWA/PVC control</t>
  </si>
  <si>
    <t xml:space="preserve">CTL-12C-4</t>
  </si>
  <si>
    <t xml:space="preserve">0.6/1 kV 12C 4 mm2 Cu/PVC/SWA/PVC (CT/VT circuits)</t>
  </si>
  <si>
    <t xml:space="preserve">INS-1P-1.5</t>
  </si>
  <si>
    <t xml:space="preserve">300/500 V 1 pair 1.5 mm2 OS/SWA instrument (IS blue)</t>
  </si>
  <si>
    <t xml:space="preserve">INS-2P-1.5</t>
  </si>
  <si>
    <t xml:space="preserve">300/500 V 2 pair 1.5 mm2 IS/OS/SWA instrument (IS blue)</t>
  </si>
  <si>
    <t xml:space="preserve">INS-12P-1.0</t>
  </si>
  <si>
    <t xml:space="preserve">300/500 V 12 pair 1.0 mm2 IS/OS/SWA instrument</t>
  </si>
  <si>
    <t xml:space="preserve">INS-24P-1.0</t>
  </si>
  <si>
    <t xml:space="preserve">300/500 V 24 pair 1.0 mm2 IS/OS/SWA instrument</t>
  </si>
  <si>
    <t xml:space="preserve">INS-TC-12P-K</t>
  </si>
  <si>
    <t xml:space="preserve">Type K thermocouple extension 12 pair IS/OS/SWA</t>
  </si>
  <si>
    <t xml:space="preserve">INS-RS485</t>
  </si>
  <si>
    <t xml:space="preserve">RS-485 1 pair 0.5 mm2 120 ohm screened/SWA</t>
  </si>
  <si>
    <t xml:space="preserve">FO-24SM</t>
  </si>
  <si>
    <t xml:space="preserve">24-fibre single-mode armoured LSZH</t>
  </si>
  <si>
    <t xml:space="preserve">FO-48SM</t>
  </si>
  <si>
    <t xml:space="preserve">48-fibre single-mode armoured LSZH</t>
  </si>
  <si>
    <t xml:space="preserve">EG-CU-120</t>
  </si>
  <si>
    <t xml:space="preserve">Bare stranded Cu 120 mm2 earth conductor (buried)</t>
  </si>
  <si>
    <t xml:space="preserve">Size by fault study</t>
  </si>
  <si>
    <t xml:space="preserve">EB-CU-70</t>
  </si>
  <si>
    <t xml:space="preserve">G/Y PVC Cu 70 mm2 bonding conductor</t>
  </si>
  <si>
    <t xml:space="preserve">CABLE SCHEDULE - CCPP-E-CS-0001 Rev A (PRELIMINARY)</t>
  </si>
  <si>
    <t xml:space="preserve">Calculation helpers (lookups - do not edit)</t>
  </si>
  <si>
    <t xml:space="preserve">Cable No.</t>
  </si>
  <si>
    <t xml:space="preserve">Service / Function</t>
  </si>
  <si>
    <t xml:space="preserve">From Tag</t>
  </si>
  <si>
    <t xml:space="preserve">From Equipment</t>
  </si>
  <si>
    <t xml:space="preserve">To Tag</t>
  </si>
  <si>
    <t xml:space="preserve">To Equipment</t>
  </si>
  <si>
    <t xml:space="preserve">Cable Type</t>
  </si>
  <si>
    <t xml:space="preserve">Cable Description</t>
  </si>
  <si>
    <t xml:space="preserve">Parallel Runs</t>
  </si>
  <si>
    <t xml:space="preserve">Raceway</t>
  </si>
  <si>
    <t xml:space="preserve">Route Method</t>
  </si>
  <si>
    <t xml:space="preserve">Length Override (m)</t>
  </si>
  <si>
    <t xml:space="preserve">Route Length / Run (m)</t>
  </si>
  <si>
    <t xml:space="preserve">Total Conductor Length (m)</t>
  </si>
  <si>
    <t xml:space="preserve">System Voltage (V)</t>
  </si>
  <si>
    <t xml:space="preserve">Phases</t>
  </si>
  <si>
    <t xml:space="preserve">Load (kW / kVA)</t>
  </si>
  <si>
    <t xml:space="preserve">PF x Eff.</t>
  </si>
  <si>
    <t xml:space="preserve">Design Current (A)</t>
  </si>
  <si>
    <t xml:space="preserve">Derated Ampacity / Run (A)</t>
  </si>
  <si>
    <t xml:space="preserve">Total Capacity (A)</t>
  </si>
  <si>
    <t xml:space="preserve">Loading (%)</t>
  </si>
  <si>
    <t xml:space="preserve">Volt Drop (%)</t>
  </si>
  <si>
    <t xml:space="preserve">VD Limit (%)</t>
  </si>
  <si>
    <t xml:space="preserve">Check</t>
  </si>
  <si>
    <t xml:space="preserve">Cable Area (mm2)</t>
  </si>
  <si>
    <t xml:space="preserve">Notes</t>
  </si>
  <si>
    <t xml:space="preserve">X from</t>
  </si>
  <si>
    <t xml:space="preserve">Y from</t>
  </si>
  <si>
    <t xml:space="preserve">Z from</t>
  </si>
  <si>
    <t xml:space="preserve">X to</t>
  </si>
  <si>
    <t xml:space="preserve">Y to</t>
  </si>
  <si>
    <t xml:space="preserve">Z to</t>
  </si>
  <si>
    <t xml:space="preserve">Raceway Elev.</t>
  </si>
  <si>
    <t xml:space="preserve">Derating</t>
  </si>
  <si>
    <t xml:space="preserve">Cond. / Run</t>
  </si>
  <si>
    <t xml:space="preserve">Base Ampacity (A)</t>
  </si>
  <si>
    <t xml:space="preserve">mV/A/m</t>
  </si>
  <si>
    <t xml:space="preserve">10-HV-001</t>
  </si>
  <si>
    <t xml:space="preserve">GT GSU 230 kV to bay 3 (strung)</t>
  </si>
  <si>
    <t xml:space="preserve">OHL</t>
  </si>
  <si>
    <t xml:space="preserve">D</t>
  </si>
  <si>
    <t xml:space="preserve">Load in kVA (PF=1)</t>
  </si>
  <si>
    <t xml:space="preserve">10-HV-002</t>
  </si>
  <si>
    <t xml:space="preserve">ST GSU 230 kV to bay 4 (strung)</t>
  </si>
  <si>
    <t xml:space="preserve">Load in kVA</t>
  </si>
  <si>
    <t xml:space="preserve">10-HV-003</t>
  </si>
  <si>
    <t xml:space="preserve">RICE transformer 230 kV to bay 1 (strung)</t>
  </si>
  <si>
    <t xml:space="preserve">10-HV-004</t>
  </si>
  <si>
    <t xml:space="preserve">Strung main bus bay 1 - bay 2</t>
  </si>
  <si>
    <t xml:space="preserve">Rated for total plant export</t>
  </si>
  <si>
    <t xml:space="preserve">10-HV-005</t>
  </si>
  <si>
    <t xml:space="preserve">Strung main bus bay 2 - bay 3</t>
  </si>
  <si>
    <t xml:space="preserve">10-HV-006</t>
  </si>
  <si>
    <t xml:space="preserve">Strung main bus bay 3 - bay 4</t>
  </si>
  <si>
    <t xml:space="preserve">10-HV-007</t>
  </si>
  <si>
    <t xml:space="preserve">Outgoing 230 kV line: bay 4 to terminal tower T1</t>
  </si>
  <si>
    <t xml:space="preserve">10-HV-008</t>
  </si>
  <si>
    <t xml:space="preserve">Outgoing 230 kV line span T1 - T2</t>
  </si>
  <si>
    <t xml:space="preserve">10-HV-009</t>
  </si>
  <si>
    <t xml:space="preserve">Outgoing 230 kV line span T2 - T3</t>
  </si>
  <si>
    <t xml:space="preserve">10-HV-010</t>
  </si>
  <si>
    <t xml:space="preserve">Switchyard shield wires (2 off) bay 1 - bay 4</t>
  </si>
  <si>
    <t xml:space="preserve">Lightning shielding over gantries</t>
  </si>
  <si>
    <t xml:space="preserve">10-HV-011</t>
  </si>
  <si>
    <t xml:space="preserve">Line OPGW: bay 4 to T3 (teleprotection / SCADA)</t>
  </si>
  <si>
    <t xml:space="preserve">Chord length bay 4 -&gt; T3; refine per tower spotting</t>
  </si>
  <si>
    <t xml:space="preserve">20-IPB-001</t>
  </si>
  <si>
    <t xml:space="preserve">GT generator main IPB to GSU-GT LV</t>
  </si>
  <si>
    <t xml:space="preserve">IPB-GT</t>
  </si>
  <si>
    <t xml:space="preserve">M</t>
  </si>
  <si>
    <t xml:space="preserve">Includes GCB if fitted</t>
  </si>
  <si>
    <t xml:space="preserve">20-IPB-002</t>
  </si>
  <si>
    <t xml:space="preserve">GT IPB tap to UAT-1</t>
  </si>
  <si>
    <t xml:space="preserve">20-IPB-003</t>
  </si>
  <si>
    <t xml:space="preserve">ST generator main IPB to GSU-ST LV</t>
  </si>
  <si>
    <t xml:space="preserve">IPB-ST</t>
  </si>
  <si>
    <t xml:space="preserve">20-IPB-004</t>
  </si>
  <si>
    <t xml:space="preserve">ST IPB tap to UAT-2</t>
  </si>
  <si>
    <t xml:space="preserve">20-MV-001</t>
  </si>
  <si>
    <t xml:space="preserve">GT generator neutral to NGR</t>
  </si>
  <si>
    <t xml:space="preserve">LOCAL</t>
  </si>
  <si>
    <t xml:space="preserve">Neutral - fault current limited by NGR</t>
  </si>
  <si>
    <t xml:space="preserve">20-MV-002</t>
  </si>
  <si>
    <t xml:space="preserve">ST generator neutral to NGR</t>
  </si>
  <si>
    <t xml:space="preserve">70-MV-001</t>
  </si>
  <si>
    <t xml:space="preserve">UAT-1 to 11 kV main switchboard incomer</t>
  </si>
  <si>
    <t xml:space="preserve">DB-03</t>
  </si>
  <si>
    <t xml:space="preserve">4 x trefoil sets</t>
  </si>
  <si>
    <t xml:space="preserve">70-MV-002</t>
  </si>
  <si>
    <t xml:space="preserve">UAT-2 to CCS 11 kV switchboard incomer</t>
  </si>
  <si>
    <t xml:space="preserve">TR-02</t>
  </si>
  <si>
    <t xml:space="preserve">3 x trefoil sets</t>
  </si>
  <si>
    <t xml:space="preserve">70-MV-003</t>
  </si>
  <si>
    <t xml:space="preserve">MVS-1 / MVS-CCS bus tie</t>
  </si>
  <si>
    <t xml:space="preserve">70-MV-004</t>
  </si>
  <si>
    <t xml:space="preserve">MVS-1 to GT LCI isolation transformer</t>
  </si>
  <si>
    <t xml:space="preserve">TR-01</t>
  </si>
  <si>
    <t xml:space="preserve">70-MV-005</t>
  </si>
  <si>
    <t xml:space="preserve">LCI output to GT generator (start-up)</t>
  </si>
  <si>
    <t xml:space="preserve">Variable frequency, LCI max output voltage assumed 6 kV</t>
  </si>
  <si>
    <t xml:space="preserve">70-MV-006</t>
  </si>
  <si>
    <t xml:space="preserve">Boiler feed pump A</t>
  </si>
  <si>
    <t xml:space="preserve">PF x efficiency</t>
  </si>
  <si>
    <t xml:space="preserve">70-MV-007</t>
  </si>
  <si>
    <t xml:space="preserve">Boiler feed pump B</t>
  </si>
  <si>
    <t xml:space="preserve">70-MV-008</t>
  </si>
  <si>
    <t xml:space="preserve">Condensate extraction pump A</t>
  </si>
  <si>
    <t xml:space="preserve">70 mm2 minimum for fault withstand</t>
  </si>
  <si>
    <t xml:space="preserve">70-MV-009</t>
  </si>
  <si>
    <t xml:space="preserve">Condensate extraction pump B</t>
  </si>
  <si>
    <t xml:space="preserve">70-MV-010</t>
  </si>
  <si>
    <t xml:space="preserve">Main LV transformer LVT-1</t>
  </si>
  <si>
    <t xml:space="preserve">70-MV-011</t>
  </si>
  <si>
    <t xml:space="preserve">ACC fan transformer LVT-ACC</t>
  </si>
  <si>
    <t xml:space="preserve">70-MV-012</t>
  </si>
  <si>
    <t xml:space="preserve">Gas station transformer LVT-GAS</t>
  </si>
  <si>
    <t xml:space="preserve">TR-03</t>
  </si>
  <si>
    <t xml:space="preserve">70-MV-013</t>
  </si>
  <si>
    <t xml:space="preserve">BOG compressor motor</t>
  </si>
  <si>
    <t xml:space="preserve">Hazardous area - Ex d terminal box</t>
  </si>
  <si>
    <t xml:space="preserve">70-MV-014</t>
  </si>
  <si>
    <t xml:space="preserve">RICE black-start / island tie to MVS-1</t>
  </si>
  <si>
    <t xml:space="preserve">DB-02</t>
  </si>
  <si>
    <t xml:space="preserve">40-MV-001</t>
  </si>
  <si>
    <t xml:space="preserve">Flue gas booster fan</t>
  </si>
  <si>
    <t xml:space="preserve">TR-05</t>
  </si>
  <si>
    <t xml:space="preserve">DOL - check starting dip</t>
  </si>
  <si>
    <t xml:space="preserve">40-MV-002</t>
  </si>
  <si>
    <t xml:space="preserve">CO2 compressor motor (via VFD)</t>
  </si>
  <si>
    <t xml:space="preserve">VFD in compressor bldg</t>
  </si>
  <si>
    <t xml:space="preserve">40-MV-003</t>
  </si>
  <si>
    <t xml:space="preserve">Lean amine pump A</t>
  </si>
  <si>
    <t xml:space="preserve">40-MV-004</t>
  </si>
  <si>
    <t xml:space="preserve">Lean amine pump B</t>
  </si>
  <si>
    <t xml:space="preserve">40-MV-005</t>
  </si>
  <si>
    <t xml:space="preserve">Rich amine pump A</t>
  </si>
  <si>
    <t xml:space="preserve">40-MV-006</t>
  </si>
  <si>
    <t xml:space="preserve">Rich amine pump B</t>
  </si>
  <si>
    <t xml:space="preserve">40-MV-007</t>
  </si>
  <si>
    <t xml:space="preserve">DCC circulation pump A</t>
  </si>
  <si>
    <t xml:space="preserve">40-MV-008</t>
  </si>
  <si>
    <t xml:space="preserve">DCC circulation pump B</t>
  </si>
  <si>
    <t xml:space="preserve">40-MV-009</t>
  </si>
  <si>
    <t xml:space="preserve">CCS LV transformer LVT-CCS</t>
  </si>
  <si>
    <t xml:space="preserve">50-MV-001</t>
  </si>
  <si>
    <t xml:space="preserve">Genset 1 to collector switchgear</t>
  </si>
  <si>
    <t xml:space="preserve">TR-04</t>
  </si>
  <si>
    <t xml:space="preserve">50-MV-002</t>
  </si>
  <si>
    <t xml:space="preserve">Genset 2 to collector switchgear</t>
  </si>
  <si>
    <t xml:space="preserve">50-MV-003</t>
  </si>
  <si>
    <t xml:space="preserve">Genset 3 to collector switchgear</t>
  </si>
  <si>
    <t xml:space="preserve">50-MV-004</t>
  </si>
  <si>
    <t xml:space="preserve">Genset 4 to collector switchgear</t>
  </si>
  <si>
    <t xml:space="preserve">50-MV-005</t>
  </si>
  <si>
    <t xml:space="preserve">Genset 5 to collector switchgear</t>
  </si>
  <si>
    <t xml:space="preserve">50-MV-006</t>
  </si>
  <si>
    <t xml:space="preserve">Genset 6 to collector switchgear</t>
  </si>
  <si>
    <t xml:space="preserve">50-MV-007</t>
  </si>
  <si>
    <t xml:space="preserve">Genset 7 to collector switchgear</t>
  </si>
  <si>
    <t xml:space="preserve">50-MV-008</t>
  </si>
  <si>
    <t xml:space="preserve">Genset 8 to collector switchgear</t>
  </si>
  <si>
    <t xml:space="preserve">50-MV-009</t>
  </si>
  <si>
    <t xml:space="preserve">Collector switchgear to RICE step-up transformer LV</t>
  </si>
  <si>
    <t xml:space="preserve">50-MV-010</t>
  </si>
  <si>
    <t xml:space="preserve">RICE auxiliary transformer LVT-RICE</t>
  </si>
  <si>
    <t xml:space="preserve">70-BD-001</t>
  </si>
  <si>
    <t xml:space="preserve">LVT-1 to PMCC-1 incomer</t>
  </si>
  <si>
    <t xml:space="preserve">BD</t>
  </si>
  <si>
    <t xml:space="preserve">30-BD-001</t>
  </si>
  <si>
    <t xml:space="preserve">LVT-ACC to ACC VFD switchboard</t>
  </si>
  <si>
    <t xml:space="preserve">60-BD-001</t>
  </si>
  <si>
    <t xml:space="preserve">LVT-GAS to gas station MCC</t>
  </si>
  <si>
    <t xml:space="preserve">40-BD-001</t>
  </si>
  <si>
    <t xml:space="preserve">LVT-CCS to PMCC-CCS</t>
  </si>
  <si>
    <t xml:space="preserve">50-BD-001</t>
  </si>
  <si>
    <t xml:space="preserve">LVT-RICE to RICE MCC</t>
  </si>
  <si>
    <t xml:space="preserve">70-LV-001</t>
  </si>
  <si>
    <t xml:space="preserve">PMCC-1 to GT auxiliary MCC</t>
  </si>
  <si>
    <t xml:space="preserve">70-LV-002</t>
  </si>
  <si>
    <t xml:space="preserve">PMCC-1 to HRSG auxiliary MCC</t>
  </si>
  <si>
    <t xml:space="preserve">70-LV-003</t>
  </si>
  <si>
    <t xml:space="preserve">PMCC-1 to ST auxiliary MCC</t>
  </si>
  <si>
    <t xml:space="preserve">70-LV-004</t>
  </si>
  <si>
    <t xml:space="preserve">PMCC-1 to UPS-1 rectifier</t>
  </si>
  <si>
    <t xml:space="preserve">70-LV-005</t>
  </si>
  <si>
    <t xml:space="preserve">PMCC-1 to 125 V DC chargers</t>
  </si>
  <si>
    <t xml:space="preserve">70-LV-006</t>
  </si>
  <si>
    <t xml:space="preserve">PMCC-1 to switchyard relay bldg ACDB</t>
  </si>
  <si>
    <t xml:space="preserve">DB-01</t>
  </si>
  <si>
    <t xml:space="preserve">Relay bldg has its own 125 V DC battery</t>
  </si>
  <si>
    <t xml:space="preserve">70-LV-007</t>
  </si>
  <si>
    <t xml:space="preserve">PMCC-1 to CEMS shelter</t>
  </si>
  <si>
    <t xml:space="preserve">20-LV-001</t>
  </si>
  <si>
    <t xml:space="preserve">GT AC lube oil pump</t>
  </si>
  <si>
    <t xml:space="preserve">20-LV-002</t>
  </si>
  <si>
    <t xml:space="preserve">GT enclosure vent fan A</t>
  </si>
  <si>
    <t xml:space="preserve">20-LV-003</t>
  </si>
  <si>
    <t xml:space="preserve">GT enclosure vent fan B</t>
  </si>
  <si>
    <t xml:space="preserve">20-LV-004</t>
  </si>
  <si>
    <t xml:space="preserve">HRSG recirculation pump</t>
  </si>
  <si>
    <t xml:space="preserve">20-LV-005</t>
  </si>
  <si>
    <t xml:space="preserve">ST turning gear</t>
  </si>
  <si>
    <t xml:space="preserve">20-LV-006</t>
  </si>
  <si>
    <t xml:space="preserve">ST AC lube oil pump</t>
  </si>
  <si>
    <t xml:space="preserve">30-LV-001</t>
  </si>
  <si>
    <t xml:space="preserve">ACC fan motor 01 (VFD output)</t>
  </si>
  <si>
    <t xml:space="preserve">TR-06</t>
  </si>
  <si>
    <t xml:space="preserve">Symmetrical screened VFD cable</t>
  </si>
  <si>
    <t xml:space="preserve">30-LV-002</t>
  </si>
  <si>
    <t xml:space="preserve">ACC fan motor 02 (VFD output)</t>
  </si>
  <si>
    <t xml:space="preserve">30-LV-003</t>
  </si>
  <si>
    <t xml:space="preserve">ACC fan motor 03 (VFD output)</t>
  </si>
  <si>
    <t xml:space="preserve">30-LV-004</t>
  </si>
  <si>
    <t xml:space="preserve">ACC fan motor 04 (VFD output)</t>
  </si>
  <si>
    <t xml:space="preserve">30-LV-005</t>
  </si>
  <si>
    <t xml:space="preserve">ACC fan motor 05 (VFD output)</t>
  </si>
  <si>
    <t xml:space="preserve">30-LV-006</t>
  </si>
  <si>
    <t xml:space="preserve">ACC fan motor 06 (VFD output)</t>
  </si>
  <si>
    <t xml:space="preserve">30-LV-007</t>
  </si>
  <si>
    <t xml:space="preserve">ACC fan motor 07 (VFD output)</t>
  </si>
  <si>
    <t xml:space="preserve">30-LV-008</t>
  </si>
  <si>
    <t xml:space="preserve">ACC fan motor 08 (VFD output)</t>
  </si>
  <si>
    <t xml:space="preserve">30-LV-009</t>
  </si>
  <si>
    <t xml:space="preserve">ACC fan motor 09 (VFD output)</t>
  </si>
  <si>
    <t xml:space="preserve">30-LV-010</t>
  </si>
  <si>
    <t xml:space="preserve">ACC fan motor 10 (VFD output)</t>
  </si>
  <si>
    <t xml:space="preserve">30-LV-011</t>
  </si>
  <si>
    <t xml:space="preserve">ACC fan motor 11 (VFD output)</t>
  </si>
  <si>
    <t xml:space="preserve">30-LV-012</t>
  </si>
  <si>
    <t xml:space="preserve">ACC fan motor 12 (VFD output)</t>
  </si>
  <si>
    <t xml:space="preserve">30-LV-013</t>
  </si>
  <si>
    <t xml:space="preserve">ACC fan motor 13 (VFD output)</t>
  </si>
  <si>
    <t xml:space="preserve">30-LV-014</t>
  </si>
  <si>
    <t xml:space="preserve">ACC fan motor 14 (VFD output)</t>
  </si>
  <si>
    <t xml:space="preserve">30-LV-015</t>
  </si>
  <si>
    <t xml:space="preserve">ACC fan motor 15 (VFD output)</t>
  </si>
  <si>
    <t xml:space="preserve">40-LV-001</t>
  </si>
  <si>
    <t xml:space="preserve">Reboiler condensate pump A</t>
  </si>
  <si>
    <t xml:space="preserve">40-LV-002</t>
  </si>
  <si>
    <t xml:space="preserve">CO2 dehydration package</t>
  </si>
  <si>
    <t xml:space="preserve">40-LV-003</t>
  </si>
  <si>
    <t xml:space="preserve">CO2 fiscal meter skid</t>
  </si>
  <si>
    <t xml:space="preserve">50-LV-001</t>
  </si>
  <si>
    <t xml:space="preserve">Genset 1 auxiliaries</t>
  </si>
  <si>
    <t xml:space="preserve">50-LV-002</t>
  </si>
  <si>
    <t xml:space="preserve">Genset 2 auxiliaries</t>
  </si>
  <si>
    <t xml:space="preserve">50-LV-003</t>
  </si>
  <si>
    <t xml:space="preserve">Genset 3 auxiliaries</t>
  </si>
  <si>
    <t xml:space="preserve">50-LV-004</t>
  </si>
  <si>
    <t xml:space="preserve">Genset 4 auxiliaries</t>
  </si>
  <si>
    <t xml:space="preserve">50-LV-005</t>
  </si>
  <si>
    <t xml:space="preserve">Genset 5 auxiliaries</t>
  </si>
  <si>
    <t xml:space="preserve">50-LV-006</t>
  </si>
  <si>
    <t xml:space="preserve">Genset 6 auxiliaries</t>
  </si>
  <si>
    <t xml:space="preserve">50-LV-007</t>
  </si>
  <si>
    <t xml:space="preserve">Genset 7 auxiliaries</t>
  </si>
  <si>
    <t xml:space="preserve">50-LV-008</t>
  </si>
  <si>
    <t xml:space="preserve">Genset 8 auxiliaries</t>
  </si>
  <si>
    <t xml:space="preserve">60-LV-001</t>
  </si>
  <si>
    <t xml:space="preserve">Fuel gas electric heater H-101</t>
  </si>
  <si>
    <t xml:space="preserve">TR-07</t>
  </si>
  <si>
    <t xml:space="preserve">Thyristor controlled; Ex e</t>
  </si>
  <si>
    <t xml:space="preserve">60-LV-002</t>
  </si>
  <si>
    <t xml:space="preserve">LNG in-tank pump 1</t>
  </si>
  <si>
    <t xml:space="preserve">Submerged motor - vendor power cable inside tank</t>
  </si>
  <si>
    <t xml:space="preserve">60-LV-003</t>
  </si>
  <si>
    <t xml:space="preserve">LNG in-tank pump 2</t>
  </si>
  <si>
    <t xml:space="preserve">60-LV-004</t>
  </si>
  <si>
    <t xml:space="preserve">LNG area heat tracing / lighting panel</t>
  </si>
  <si>
    <t xml:space="preserve">60-LV-005</t>
  </si>
  <si>
    <t xml:space="preserve">Inlet ESD valve hydraulic power unit</t>
  </si>
  <si>
    <t xml:space="preserve">60-LV-006</t>
  </si>
  <si>
    <t xml:space="preserve">Gas chromatograph supply</t>
  </si>
  <si>
    <t xml:space="preserve">70-DC-001</t>
  </si>
  <si>
    <t xml:space="preserve">GT DC emergency lube oil pump</t>
  </si>
  <si>
    <t xml:space="preserve">DC</t>
  </si>
  <si>
    <t xml:space="preserve">Fire-resistant cable (IEC 60331)</t>
  </si>
  <si>
    <t xml:space="preserve">70-DC-002</t>
  </si>
  <si>
    <t xml:space="preserve">ST DC emergency lube oil pump</t>
  </si>
  <si>
    <t xml:space="preserve">70-DC-003</t>
  </si>
  <si>
    <t xml:space="preserve">125 V DC trip / closing supply to MVS-1</t>
  </si>
  <si>
    <t xml:space="preserve">70-DC-004</t>
  </si>
  <si>
    <t xml:space="preserve">125 V DC to GT control / PEECC</t>
  </si>
  <si>
    <t xml:space="preserve">70-UP-001</t>
  </si>
  <si>
    <t xml:space="preserve">UPS to DCS servers / CCR</t>
  </si>
  <si>
    <t xml:space="preserve">70-UP-002</t>
  </si>
  <si>
    <t xml:space="preserve">UPS to GT control panel</t>
  </si>
  <si>
    <t xml:space="preserve">70-UP-003</t>
  </si>
  <si>
    <t xml:space="preserve">UPS to ST control panel</t>
  </si>
  <si>
    <t xml:space="preserve">70-UP-004</t>
  </si>
  <si>
    <t xml:space="preserve">UPS to power block RIO</t>
  </si>
  <si>
    <t xml:space="preserve">70-UP-005</t>
  </si>
  <si>
    <t xml:space="preserve">UPS to CCS RIO</t>
  </si>
  <si>
    <t xml:space="preserve">70-UP-006</t>
  </si>
  <si>
    <t xml:space="preserve">UPS to gas station RIO / flow computer</t>
  </si>
  <si>
    <t xml:space="preserve">10-CT-001</t>
  </si>
  <si>
    <t xml:space="preserve">Bay 1 breaker / disconnector control &amp; status</t>
  </si>
  <si>
    <t xml:space="preserve">TR-08</t>
  </si>
  <si>
    <t xml:space="preserve">10-CT-002</t>
  </si>
  <si>
    <t xml:space="preserve">Bay 1 CT / CVT secondaries</t>
  </si>
  <si>
    <t xml:space="preserve">Check CT burden</t>
  </si>
  <si>
    <t xml:space="preserve">10-CT-003</t>
  </si>
  <si>
    <t xml:space="preserve">Bay 2 breaker / disconnector control &amp; status</t>
  </si>
  <si>
    <t xml:space="preserve">10-CT-004</t>
  </si>
  <si>
    <t xml:space="preserve">Bay 2 CT / CVT secondaries</t>
  </si>
  <si>
    <t xml:space="preserve">10-CT-005</t>
  </si>
  <si>
    <t xml:space="preserve">Bay 3 breaker / disconnector control &amp; status</t>
  </si>
  <si>
    <t xml:space="preserve">10-CT-006</t>
  </si>
  <si>
    <t xml:space="preserve">Bay 3 CT / CVT secondaries</t>
  </si>
  <si>
    <t xml:space="preserve">10-CT-007</t>
  </si>
  <si>
    <t xml:space="preserve">Bay 4 breaker / disconnector control &amp; status</t>
  </si>
  <si>
    <t xml:space="preserve">10-CT-008</t>
  </si>
  <si>
    <t xml:space="preserve">Bay 4 CT / CVT secondaries</t>
  </si>
  <si>
    <t xml:space="preserve">20-CT-001</t>
  </si>
  <si>
    <t xml:space="preserve">GSU-GT protection: CTs, Buchholz, WTI/OTI, OLTC</t>
  </si>
  <si>
    <t xml:space="preserve">20-CT-002</t>
  </si>
  <si>
    <t xml:space="preserve">GSU-GT alarms / cooling control</t>
  </si>
  <si>
    <t xml:space="preserve">20-CT-003</t>
  </si>
  <si>
    <t xml:space="preserve">GSU-ST protection: CTs, Buchholz, WTI/OTI, OLTC</t>
  </si>
  <si>
    <t xml:space="preserve">20-CT-004</t>
  </si>
  <si>
    <t xml:space="preserve">GSU-ST alarms / cooling control</t>
  </si>
  <si>
    <t xml:space="preserve">20-CT-005</t>
  </si>
  <si>
    <t xml:space="preserve">UAT-1 protection &amp; alarms</t>
  </si>
  <si>
    <t xml:space="preserve">20-CT-006</t>
  </si>
  <si>
    <t xml:space="preserve">UAT-2 protection &amp; alarms</t>
  </si>
  <si>
    <t xml:space="preserve">20-CT-007</t>
  </si>
  <si>
    <t xml:space="preserve">GT generator CT / VT secondaries</t>
  </si>
  <si>
    <t xml:space="preserve">20-CT-008</t>
  </si>
  <si>
    <t xml:space="preserve">ST generator CT / VT secondaries</t>
  </si>
  <si>
    <t xml:space="preserve">50-CT-001</t>
  </si>
  <si>
    <t xml:space="preserve">RICE transformer protection &amp; alarms</t>
  </si>
  <si>
    <t xml:space="preserve">70-CT-001</t>
  </si>
  <si>
    <t xml:space="preserve">MVS-1 hardwired interface to DCS</t>
  </si>
  <si>
    <t xml:space="preserve">20-CT-009</t>
  </si>
  <si>
    <t xml:space="preserve">GT control to GT aux MCC</t>
  </si>
  <si>
    <t xml:space="preserve">20-CT-010</t>
  </si>
  <si>
    <t xml:space="preserve">GT control to LCI</t>
  </si>
  <si>
    <t xml:space="preserve">60-CT-001</t>
  </si>
  <si>
    <t xml:space="preserve">Inlet ESD valve solenoids and limit switches</t>
  </si>
  <si>
    <t xml:space="preserve">Ex d / Ex i as applicable</t>
  </si>
  <si>
    <t xml:space="preserve">40-CT-001</t>
  </si>
  <si>
    <t xml:space="preserve">CO2 compressor UCP to VFD / CCS switchboard</t>
  </si>
  <si>
    <t xml:space="preserve">10-FO-001</t>
  </si>
  <si>
    <t xml:space="preserve">Switchyard relay bldg to DCS / SCADA</t>
  </si>
  <si>
    <t xml:space="preserve">Diverse routes recommended</t>
  </si>
  <si>
    <t xml:space="preserve">10-FO-002</t>
  </si>
  <si>
    <t xml:space="preserve">Generator protection intertrip to switchyard</t>
  </si>
  <si>
    <t xml:space="preserve">20-FO-001</t>
  </si>
  <si>
    <t xml:space="preserve">GT control to DCS</t>
  </si>
  <si>
    <t xml:space="preserve">Redundant pair</t>
  </si>
  <si>
    <t xml:space="preserve">20-FO-002</t>
  </si>
  <si>
    <t xml:space="preserve">ST control to DCS</t>
  </si>
  <si>
    <t xml:space="preserve">20-FO-003</t>
  </si>
  <si>
    <t xml:space="preserve">Power block RIO to DCS</t>
  </si>
  <si>
    <t xml:space="preserve">20-FO-004</t>
  </si>
  <si>
    <t xml:space="preserve">CEMS shelter to DCS</t>
  </si>
  <si>
    <t xml:space="preserve">30-FO-001</t>
  </si>
  <si>
    <t xml:space="preserve">ACC VFD switchroom to DCS</t>
  </si>
  <si>
    <t xml:space="preserve">40-FO-001</t>
  </si>
  <si>
    <t xml:space="preserve">CCS RIO to DCS</t>
  </si>
  <si>
    <t xml:space="preserve">40-FO-002</t>
  </si>
  <si>
    <t xml:space="preserve">CO2 compressor UCP to CCS RIO</t>
  </si>
  <si>
    <t xml:space="preserve">50-FO-001</t>
  </si>
  <si>
    <t xml:space="preserve">RICE plant controller to DCS</t>
  </si>
  <si>
    <t xml:space="preserve">60-FO-001</t>
  </si>
  <si>
    <t xml:space="preserve">Gas station RIO to DCS</t>
  </si>
  <si>
    <t xml:space="preserve">50-CT-002</t>
  </si>
  <si>
    <t xml:space="preserve">Genset 1 control / sync / protection to RPC</t>
  </si>
  <si>
    <t xml:space="preserve">Plus genset LAN on FO by vendor</t>
  </si>
  <si>
    <t xml:space="preserve">50-CT-003</t>
  </si>
  <si>
    <t xml:space="preserve">Genset 2 control / sync / protection to RPC</t>
  </si>
  <si>
    <t xml:space="preserve">50-CT-004</t>
  </si>
  <si>
    <t xml:space="preserve">Genset 3 control / sync / protection to RPC</t>
  </si>
  <si>
    <t xml:space="preserve">50-CT-005</t>
  </si>
  <si>
    <t xml:space="preserve">Genset 4 control / sync / protection to RPC</t>
  </si>
  <si>
    <t xml:space="preserve">50-CT-006</t>
  </si>
  <si>
    <t xml:space="preserve">Genset 5 control / sync / protection to RPC</t>
  </si>
  <si>
    <t xml:space="preserve">50-CT-007</t>
  </si>
  <si>
    <t xml:space="preserve">Genset 6 control / sync / protection to RPC</t>
  </si>
  <si>
    <t xml:space="preserve">50-CT-008</t>
  </si>
  <si>
    <t xml:space="preserve">Genset 7 control / sync / protection to RPC</t>
  </si>
  <si>
    <t xml:space="preserve">50-CT-009</t>
  </si>
  <si>
    <t xml:space="preserve">Genset 8 control / sync / protection to RPC</t>
  </si>
  <si>
    <t xml:space="preserve">60-IN-001</t>
  </si>
  <si>
    <t xml:space="preserve">Ultrasonic meter A to flow computer</t>
  </si>
  <si>
    <t xml:space="preserve">Fiscal - IS</t>
  </si>
  <si>
    <t xml:space="preserve">60-IN-002</t>
  </si>
  <si>
    <t xml:space="preserve">Ultrasonic meter B to flow computer</t>
  </si>
  <si>
    <t xml:space="preserve">60-IN-003</t>
  </si>
  <si>
    <t xml:space="preserve">Ultrasonic meter C to flow computer</t>
  </si>
  <si>
    <t xml:space="preserve">60-IN-004</t>
  </si>
  <si>
    <t xml:space="preserve">Gas chromatograph to flow computer (Modbus)</t>
  </si>
  <si>
    <t xml:space="preserve">60-IN-005</t>
  </si>
  <si>
    <t xml:space="preserve">Flow computer to gas station RIO (Modbus)</t>
  </si>
  <si>
    <t xml:space="preserve">60-IN-006</t>
  </si>
  <si>
    <t xml:space="preserve">Gas station JB (PT/TT/DPT) to RIO</t>
  </si>
  <si>
    <t xml:space="preserve">IS</t>
  </si>
  <si>
    <t xml:space="preserve">60-IN-007</t>
  </si>
  <si>
    <t xml:space="preserve">Pressure regulator position / PT to JB</t>
  </si>
  <si>
    <t xml:space="preserve">60-IN-008</t>
  </si>
  <si>
    <t xml:space="preserve">LNG tank gauging to RIO</t>
  </si>
  <si>
    <t xml:space="preserve">60-IN-009</t>
  </si>
  <si>
    <t xml:space="preserve">LNG area JB to RIO</t>
  </si>
  <si>
    <t xml:space="preserve">20-IN-001</t>
  </si>
  <si>
    <t xml:space="preserve">GT exhaust thermocouples to GT control</t>
  </si>
  <si>
    <t xml:space="preserve">20-IN-002</t>
  </si>
  <si>
    <t xml:space="preserve">HRSG drum JB to power block RIO</t>
  </si>
  <si>
    <t xml:space="preserve">20-IN-003</t>
  </si>
  <si>
    <t xml:space="preserve">CEMS probe to analyser shelter</t>
  </si>
  <si>
    <t xml:space="preserve">Heated sample line by vendor</t>
  </si>
  <si>
    <t xml:space="preserve">30-IN-001</t>
  </si>
  <si>
    <t xml:space="preserve">ACC JB to power block RIO</t>
  </si>
  <si>
    <t xml:space="preserve">40-IN-001</t>
  </si>
  <si>
    <t xml:space="preserve">Absorber JB to CCS RIO</t>
  </si>
  <si>
    <t xml:space="preserve">40-IN-002</t>
  </si>
  <si>
    <t xml:space="preserve">Stripper JB to CCS RIO</t>
  </si>
  <si>
    <t xml:space="preserve">40-IN-003</t>
  </si>
  <si>
    <t xml:space="preserve">CO2 fiscal meter to CCS RIO (Modbus)</t>
  </si>
  <si>
    <t xml:space="preserve">70-FG-001</t>
  </si>
  <si>
    <t xml:space="preserve">F&amp;G loop: gas station / LNG detectors</t>
  </si>
  <si>
    <t xml:space="preserve">Fire-resistant (IEC 60331)</t>
  </si>
  <si>
    <t xml:space="preserve">70-FG-002</t>
  </si>
  <si>
    <t xml:space="preserve">F&amp;G loop: GT enclosure detectors</t>
  </si>
  <si>
    <t xml:space="preserve">70-FG-003</t>
  </si>
  <si>
    <t xml:space="preserve">F&amp;G loop: CCS area detectors</t>
  </si>
  <si>
    <t xml:space="preserve">20-EG-001</t>
  </si>
  <si>
    <t xml:space="preserve">Power block main earth grid (mesh)</t>
  </si>
  <si>
    <t xml:space="preserve">EG</t>
  </si>
  <si>
    <t xml:space="preserve">Length estimate - confirm by IEEE 80 study</t>
  </si>
  <si>
    <t xml:space="preserve">10-EG-001</t>
  </si>
  <si>
    <t xml:space="preserve">Switchyard earth grid (mesh)</t>
  </si>
  <si>
    <t xml:space="preserve">40-EG-001</t>
  </si>
  <si>
    <t xml:space="preserve">CCS area earth grid (mesh)</t>
  </si>
  <si>
    <t xml:space="preserve">Length estimate</t>
  </si>
  <si>
    <t xml:space="preserve">60-EG-001</t>
  </si>
  <si>
    <t xml:space="preserve">Gas / LNG area earth grid (mesh)</t>
  </si>
  <si>
    <t xml:space="preserve">50-EG-001</t>
  </si>
  <si>
    <t xml:space="preserve">RICE area earth grid (mesh)</t>
  </si>
  <si>
    <t xml:space="preserve">10-EG-002</t>
  </si>
  <si>
    <t xml:space="preserve">Interconnection power block grid - switchyard grid</t>
  </si>
  <si>
    <t xml:space="preserve">Two diverse connections</t>
  </si>
  <si>
    <t xml:space="preserve">50-EG-002</t>
  </si>
  <si>
    <t xml:space="preserve">Interconnection power block grid - RICE grid</t>
  </si>
  <si>
    <t xml:space="preserve">40-EG-002</t>
  </si>
  <si>
    <t xml:space="preserve">Interconnection power block grid - CCS grid</t>
  </si>
  <si>
    <t xml:space="preserve">60-EG-002</t>
  </si>
  <si>
    <t xml:space="preserve">Interconnection power block grid - gas/LNG grid</t>
  </si>
  <si>
    <t xml:space="preserve">Insulating joints on gas pipe - check CP</t>
  </si>
  <si>
    <t xml:space="preserve">20-EG-002</t>
  </si>
  <si>
    <t xml:space="preserve">GSU-GT tank and neutral bonds</t>
  </si>
  <si>
    <t xml:space="preserve">20-EG-003</t>
  </si>
  <si>
    <t xml:space="preserve">GSU-ST tank and neutral bonds</t>
  </si>
  <si>
    <t xml:space="preserve">20-EG-004</t>
  </si>
  <si>
    <t xml:space="preserve">Stack lightning down conductors</t>
  </si>
  <si>
    <t xml:space="preserve">40-EG-003</t>
  </si>
  <si>
    <t xml:space="preserve">Absorber column bonds</t>
  </si>
  <si>
    <t xml:space="preserve">60-EG-003</t>
  </si>
  <si>
    <t xml:space="preserve">LNG tank bonds</t>
  </si>
  <si>
    <t xml:space="preserve">Raceway ID</t>
  </si>
  <si>
    <t xml:space="preserve">Type</t>
  </si>
  <si>
    <t xml:space="preserve">Elevation (m)</t>
  </si>
  <si>
    <t xml:space="preserve">Width (mm)</t>
  </si>
  <si>
    <t xml:space="preserve">Usable depth (mm)</t>
  </si>
  <si>
    <t xml:space="preserve">Tiers</t>
  </si>
  <si>
    <t xml:space="preserve">Max fill</t>
  </si>
  <si>
    <t xml:space="preserve">Derating factor</t>
  </si>
  <si>
    <t xml:space="preserve">Capacity (mm2)</t>
  </si>
  <si>
    <t xml:space="preserve">Cable area used (mm2)</t>
  </si>
  <si>
    <t xml:space="preserve">Fill (% of max)</t>
  </si>
  <si>
    <t xml:space="preserve">Overhead strung conductors (switchyard / line)</t>
  </si>
  <si>
    <t xml:space="preserve">Overhead</t>
  </si>
  <si>
    <t xml:space="preserve">Isolated phase bus route GT generator -&gt; GSU / UAT-1</t>
  </si>
  <si>
    <t xml:space="preserve">Isolated phase bus route ST generator -&gt; GSU / UAT-2</t>
  </si>
  <si>
    <t xml:space="preserve">LV busduct, transformer to switchboard (local)</t>
  </si>
  <si>
    <t xml:space="preserve">Ladder tray: main electrical bldg -&gt; GT / HRSG (40,50 -&gt; 40,20 -&gt; 46,20)</t>
  </si>
  <si>
    <t xml:space="preserve">Tray</t>
  </si>
  <si>
    <t xml:space="preserve">Ladder tray: main electrical bldg -&gt; ACC -&gt; CCS (46,53 -&gt; 140,53 -&gt; 140,64 -&gt; 180,64 -&gt; 180,40)</t>
  </si>
  <si>
    <t xml:space="preserve">Ladder tray: main electrical bldg -&gt; gas station / LNG (40,50 -&gt; -4,50 -&gt; -4,14)</t>
  </si>
  <si>
    <t xml:space="preserve">Ladder tray: RICE gensets -&gt; collector e-house (4,70 -&gt; 4,104 -&gt; 12,104)</t>
  </si>
  <si>
    <t xml:space="preserve">Ladder tray: CCS internal (substation -&gt; absorber / stripper / compressor)</t>
  </si>
  <si>
    <t xml:space="preserve">Ladder tray: ACC VFD room riser -&gt; fan deck</t>
  </si>
  <si>
    <t xml:space="preserve">Ladder tray: gas station / LNG local</t>
  </si>
  <si>
    <t xml:space="preserve">Concrete cable trench: switchyard bays -&gt; relay building</t>
  </si>
  <si>
    <t xml:space="preserve">Trench</t>
  </si>
  <si>
    <t xml:space="preserve">Duct bank: main electrical bldg / transformer yard -&gt; switchyard relay bldg</t>
  </si>
  <si>
    <t xml:space="preserve">Duct bank</t>
  </si>
  <si>
    <t xml:space="preserve">Duct bank: RICE e-house -&gt; main electrical bldg</t>
  </si>
  <si>
    <t xml:space="preserve">Duct bank: UAT-1 -&gt; main 11 kV switchboard</t>
  </si>
  <si>
    <t xml:space="preserve">Local tray / conduit within a building or package</t>
  </si>
  <si>
    <t xml:space="preserve">Local</t>
  </si>
  <si>
    <t xml:space="preserve">Buried earth grid / bonding</t>
  </si>
  <si>
    <t xml:space="preserve">BILL OF QUANTITIES - CABLES, CONDUCTORS AND BUSDUCT</t>
  </si>
  <si>
    <t xml:space="preserve">No. of circuits</t>
  </si>
  <si>
    <t xml:space="preserve">Schedule length (m)</t>
  </si>
  <si>
    <t xml:space="preserve">Incl. wastage (m)</t>
  </si>
  <si>
    <t xml:space="preserve">Drum length (m)</t>
  </si>
  <si>
    <t xml:space="preserve">No. of drums</t>
  </si>
  <si>
    <t xml:space="preserve">Mass (t)</t>
  </si>
  <si>
    <t xml:space="preserve">TOTAL</t>
  </si>
  <si>
    <t xml:space="preserve">Busduct lengths are per phase metre for IPB (3 per run) and per metre for LV busduct; OHL lengths are conductor metres.</t>
  </si>
  <si>
    <t xml:space="preserve">SUMMARY BY SYSTEM</t>
  </si>
  <si>
    <t xml:space="preserve">Conductor length (m)</t>
  </si>
  <si>
    <t xml:space="preserve">Circuits OK</t>
  </si>
  <si>
    <t xml:space="preserve">Circuits CHECK</t>
  </si>
  <si>
    <t xml:space="preserve">Max loading</t>
  </si>
  <si>
    <t xml:space="preserve">Max volt drop</t>
  </si>
  <si>
    <t xml:space="preserve">PUBLIC REFERENCE DOCUMENTS</t>
  </si>
  <si>
    <t xml:space="preserve">These public documents were identified as references for typical plant arrangements. They were NOT opened or transcribed for this schedule: equipment positions come from the 3D model and ratings are representative values. Replace with project data before use.</t>
  </si>
  <si>
    <t xml:space="preserve">Topic</t>
  </si>
  <si>
    <t xml:space="preserve">Document</t>
  </si>
  <si>
    <t xml:space="preserve">URL</t>
  </si>
  <si>
    <t xml:space="preserve">CCPP + LNG + gas metering</t>
  </si>
  <si>
    <t xml:space="preserve">Shannon Technology &amp; Energy Park power plant - list of planning drawings (incl. gas metering / regulating enclosures)</t>
  </si>
  <si>
    <t xml:space="preserve">https://www.pleanala.ie/publicaccess/EIAR-NIS/319566/Shannon%20Technology%20and%20Energy%20Park%20(STEP)%20Power%20Plant/02_Planning%20Drawings/SLNG_PP_List%20of%20Planning_Drawings.pdf</t>
  </si>
  <si>
    <t xml:space="preserve">CCPP layout</t>
  </si>
  <si>
    <t xml:space="preserve">Shannon - Combined Cycle Power Plant general arrangement</t>
  </si>
  <si>
    <t xml:space="preserve">https://www.pleanala.ie/publicaccess/EIAR-NIS/311233/Drawings/Structures/198291-1GSU-G2001.pdf</t>
  </si>
  <si>
    <t xml:space="preserve">Tees CCPP - indicative generating station sheet 1</t>
  </si>
  <si>
    <t xml:space="preserve">https://infrastructure.planninginspectorate.gov.uk/wp-content/ipc/uploads/projects/EN010082/EN010082-000370-4.5%20-%20Tees%20CCPP%20-%20Indicative%20Generating%20Station%20Sheet%201%20-%20Rev%202.pdf</t>
  </si>
  <si>
    <t xml:space="preserve">ESC Brooke County CCGT air permit application (conceptual layout, App. A)</t>
  </si>
  <si>
    <t xml:space="preserve">https://dep.wv.gov/daq/Documents/December%202016%20Applications/033-00264_APPL_R14-0036.pdf</t>
  </si>
  <si>
    <t xml:space="preserve">Bechtel / Panda Sherman NGCC carbon capture FEED final report (OSTI)</t>
  </si>
  <si>
    <t xml:space="preserve">https://www.osti.gov/servlets/purl/1836563</t>
  </si>
  <si>
    <t xml:space="preserve">NETL - EPRI CalCapture (Elk Hills) NGCC CCS FEED</t>
  </si>
  <si>
    <t xml:space="preserve">https://netl.doe.gov/sites/default/files/netl-file/21CMOG_CCUS_Bhown.pdf</t>
  </si>
  <si>
    <t xml:space="preserve">NETL - Calpine Deer Park CCS FEED</t>
  </si>
  <si>
    <t xml:space="preserve">https://netl.doe.gov/sites/default/files/netl-file/23CM_PSCC28_Herman.pdf</t>
  </si>
  <si>
    <t xml:space="preserve">Gas metering</t>
  </si>
  <si>
    <t xml:space="preserve">Adams County CO - regulator station site plan submittal</t>
  </si>
  <si>
    <t xml:space="preserve">https://adcogov.org/sites/default/files/2024-05/RCU2024-00010-submittal1.pdf</t>
  </si>
  <si>
    <t xml:space="preserve">RICE</t>
  </si>
  <si>
    <t xml:space="preserve">KYMEA Energy Center (4 x Wartsila 18V50SG) - KY PSC case 2024-00290</t>
  </si>
  <si>
    <t xml:space="preserve">https://psc.ky.gov/pscecf/2024-00290/tosterloh@sturgillturner.com/10042024124833/07_Attachment_E_-_Public_Meeting_Information.pdf</t>
  </si>
  <si>
    <t xml:space="preserve">We Energies Paris RICE generation project</t>
  </si>
  <si>
    <t xml:space="preserve">https://www.we-energies.com/company/paris-generation-project</t>
  </si>
  <si>
    <t xml:space="preserve">Switchyard / SLD</t>
  </si>
  <si>
    <t xml:space="preserve">PJM facilities study - 1,100 MW combined cycle interconnection (one-lines)</t>
  </si>
  <si>
    <t xml:space="preserve">https://www.pjm.com/pjmfiles/pub/planning/project-queues/facilities/b03_fac.pdf</t>
  </si>
  <si>
    <t xml:space="preserve">SPP GEN-2008-006 facility study - 2-on-1 CCGT, 138 kV one-lines</t>
  </si>
  <si>
    <t xml:space="preserve">https://opsportal.spp.org/documents/studies/files/2008_Generation_Studies/GEN-2008-006FS.pdf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</si>
</sst>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%"/>
    <numFmt numFmtId="166" formatCode="0.0"/>
    <numFmt numFmtId="167" formatCode="0"/>
    <numFmt numFmtId="168" formatCode="0.0%"/>
    <numFmt numFmtId="169" formatCode="0.00"/>
    <numFmt numFmtId="170" formatCode="#,##0"/>
    <numFmt numFmtId="171" formatCode="#,##0.0"/>
    <numFmt numFmtId="172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FF"/>
      <name val="Arial"/>
      <family val="0"/>
      <charset val="1"/>
    </font>
    <font>
      <b val="true"/>
      <sz val="9"/>
      <color rgb="FF00800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sz val="10"/>
      <name val="Arial"/>
      <family val="2"/>
    </font>
    <font>
      <i val="true"/>
      <sz val="8"/>
      <name val="Arial"/>
      <family val="0"/>
      <charset val="1"/>
    </font>
    <font>
      <i val="true"/>
      <sz val="9"/>
      <name val="Arial"/>
      <family val="0"/>
      <charset val="1"/>
    </font>
    <font>
      <u val="single"/>
      <sz val="9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4B084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leanala.ie/publicaccess/EIAR-NIS/319566/Shannon%20Technology%20and%20Energy%20Park%20(STEP)%20Power%20Plant/02_Planning%20Drawings/SLNG_PP_List%20of%20Planning_Drawings.pdf" TargetMode="External"/><Relationship Id="rId2" Type="http://schemas.openxmlformats.org/officeDocument/2006/relationships/hyperlink" Target="https://www.pleanala.ie/publicaccess/EIAR-NIS/311233/Drawings/Structures/198291-1GSU-G2001.pdf" TargetMode="External"/><Relationship Id="rId3" Type="http://schemas.openxmlformats.org/officeDocument/2006/relationships/hyperlink" Target="https://infrastructure.planninginspectorate.gov.uk/wp-content/ipc/uploads/projects/EN010082/EN010082-000370-4.5%20-%20Tees%20CCPP%20-%20Indicative%20Generating%20Station%20Sheet%201%20-%20Rev%202.pdf" TargetMode="External"/><Relationship Id="rId4" Type="http://schemas.openxmlformats.org/officeDocument/2006/relationships/hyperlink" Target="https://dep.wv.gov/daq/Documents/December%202016%20Applications/033-00264_APPL_R14-0036.pdf" TargetMode="External"/><Relationship Id="rId5" Type="http://schemas.openxmlformats.org/officeDocument/2006/relationships/hyperlink" Target="https://www.osti.gov/servlets/purl/1836563" TargetMode="External"/><Relationship Id="rId6" Type="http://schemas.openxmlformats.org/officeDocument/2006/relationships/hyperlink" Target="https://netl.doe.gov/sites/default/files/netl-file/21CMOG_CCUS_Bhown.pdf" TargetMode="External"/><Relationship Id="rId7" Type="http://schemas.openxmlformats.org/officeDocument/2006/relationships/hyperlink" Target="https://netl.doe.gov/sites/default/files/netl-file/23CM_PSCC28_Herman.pdf" TargetMode="External"/><Relationship Id="rId8" Type="http://schemas.openxmlformats.org/officeDocument/2006/relationships/hyperlink" Target="https://adcogov.org/sites/default/files/2024-05/RCU2024-00010-submittal1.pdf" TargetMode="External"/><Relationship Id="rId9" Type="http://schemas.openxmlformats.org/officeDocument/2006/relationships/hyperlink" Target="https://psc.ky.gov/pscecf/2024-00290/tosterloh@sturgillturner.com/10042024124833/07_Attachment_E_-_Public_Meeting_Information.pdf" TargetMode="External"/><Relationship Id="rId10" Type="http://schemas.openxmlformats.org/officeDocument/2006/relationships/hyperlink" Target="https://www.we-energies.com/company/paris-generation-project" TargetMode="External"/><Relationship Id="rId11" Type="http://schemas.openxmlformats.org/officeDocument/2006/relationships/hyperlink" Target="https://www.pjm.com/pjmfiles/pub/planning/project-queues/facilities/b03_fac.pdf" TargetMode="External"/><Relationship Id="rId12" Type="http://schemas.openxmlformats.org/officeDocument/2006/relationships/hyperlink" Target="https://opsportal.spp.org/documents/studies/files/2008_Generation_Studies/GEN-2008-006FS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22.35" hidden="false" customHeight="false" outlineLevel="0" collapsed="false">
      <c r="A7" s="3" t="s">
        <v>8</v>
      </c>
      <c r="B7" s="4" t="s">
        <v>9</v>
      </c>
    </row>
    <row r="8" customFormat="false" ht="22.3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3" t="s">
        <v>12</v>
      </c>
    </row>
    <row r="11" customFormat="false" ht="15" hidden="false" customHeight="false" outlineLevel="0" collapsed="false">
      <c r="A11" s="3" t="s">
        <v>13</v>
      </c>
      <c r="B11" s="4" t="s">
        <v>14</v>
      </c>
    </row>
    <row r="12" customFormat="false" ht="15" hidden="false" customHeight="false" outlineLevel="0" collapsed="false">
      <c r="A12" s="3" t="s">
        <v>15</v>
      </c>
      <c r="B12" s="4" t="s">
        <v>16</v>
      </c>
    </row>
    <row r="13" customFormat="false" ht="15" hidden="false" customHeight="false" outlineLevel="0" collapsed="false">
      <c r="A13" s="3" t="s">
        <v>17</v>
      </c>
      <c r="B13" s="4" t="s">
        <v>18</v>
      </c>
    </row>
    <row r="14" customFormat="false" ht="15" hidden="false" customHeight="false" outlineLevel="0" collapsed="false">
      <c r="A14" s="3" t="s">
        <v>19</v>
      </c>
      <c r="B14" s="4" t="s">
        <v>20</v>
      </c>
    </row>
    <row r="15" customFormat="false" ht="15" hidden="false" customHeight="false" outlineLevel="0" collapsed="false">
      <c r="A15" s="3" t="s">
        <v>21</v>
      </c>
      <c r="B15" s="4" t="s">
        <v>22</v>
      </c>
    </row>
    <row r="16" customFormat="false" ht="15" hidden="false" customHeight="false" outlineLevel="0" collapsed="false">
      <c r="A16" s="3" t="s">
        <v>23</v>
      </c>
      <c r="B16" s="4" t="s">
        <v>24</v>
      </c>
    </row>
    <row r="17" customFormat="false" ht="15" hidden="false" customHeight="false" outlineLevel="0" collapsed="false">
      <c r="A17" s="3" t="s">
        <v>25</v>
      </c>
      <c r="B17" s="4" t="s">
        <v>26</v>
      </c>
    </row>
    <row r="18" customFormat="false" ht="15" hidden="false" customHeight="false" outlineLevel="0" collapsed="false">
      <c r="A18" s="3"/>
    </row>
    <row r="19" customFormat="false" ht="15" hidden="false" customHeight="false" outlineLevel="0" collapsed="false">
      <c r="A19" s="3" t="s">
        <v>27</v>
      </c>
    </row>
    <row r="20" customFormat="false" ht="15" hidden="false" customHeight="false" outlineLevel="0" collapsed="false">
      <c r="A20" s="5" t="s">
        <v>28</v>
      </c>
      <c r="B20" s="4" t="s">
        <v>29</v>
      </c>
    </row>
    <row r="21" customFormat="false" ht="15" hidden="false" customHeight="false" outlineLevel="0" collapsed="false">
      <c r="A21" s="3" t="s">
        <v>30</v>
      </c>
      <c r="B21" s="4" t="s">
        <v>31</v>
      </c>
    </row>
    <row r="22" customFormat="false" ht="15" hidden="false" customHeight="false" outlineLevel="0" collapsed="false">
      <c r="A22" s="6" t="s">
        <v>32</v>
      </c>
      <c r="B22" s="4" t="s">
        <v>33</v>
      </c>
    </row>
    <row r="23" customFormat="false" ht="15" hidden="false" customHeight="false" outlineLevel="0" collapsed="false">
      <c r="A23" s="7" t="s">
        <v>34</v>
      </c>
      <c r="B23" s="4" t="s">
        <v>35</v>
      </c>
    </row>
    <row r="24" customFormat="false" ht="15" hidden="false" customHeight="false" outlineLevel="0" collapsed="false">
      <c r="A24" s="3"/>
    </row>
    <row r="25" customFormat="false" ht="22.35" hidden="false" customHeight="false" outlineLevel="0" collapsed="false">
      <c r="A25" s="3" t="s">
        <v>36</v>
      </c>
      <c r="B25" s="4" t="s">
        <v>37</v>
      </c>
    </row>
    <row r="26" customFormat="false" ht="32.8" hidden="false" customHeight="false" outlineLevel="0" collapsed="false">
      <c r="A26" s="3" t="s">
        <v>38</v>
      </c>
      <c r="B26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28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8" t="s">
        <v>40</v>
      </c>
    </row>
    <row r="3" customFormat="false" ht="15" hidden="false" customHeight="false" outlineLevel="0" collapsed="false">
      <c r="A3" s="9" t="s">
        <v>41</v>
      </c>
      <c r="C3" s="9" t="s">
        <v>42</v>
      </c>
      <c r="D3" s="9" t="s">
        <v>43</v>
      </c>
    </row>
    <row r="4" customFormat="false" ht="15" hidden="false" customHeight="false" outlineLevel="0" collapsed="false">
      <c r="A4" s="10" t="s">
        <v>44</v>
      </c>
      <c r="C4" s="11" t="n">
        <v>0.1</v>
      </c>
      <c r="D4" s="10" t="s">
        <v>45</v>
      </c>
    </row>
    <row r="5" customFormat="false" ht="15" hidden="false" customHeight="false" outlineLevel="0" collapsed="false">
      <c r="A5" s="10" t="s">
        <v>46</v>
      </c>
      <c r="C5" s="12" t="n">
        <v>3</v>
      </c>
      <c r="D5" s="10" t="s">
        <v>47</v>
      </c>
    </row>
    <row r="6" customFormat="false" ht="15" hidden="false" customHeight="false" outlineLevel="0" collapsed="false">
      <c r="A6" s="10" t="s">
        <v>48</v>
      </c>
      <c r="C6" s="11" t="n">
        <v>0.03</v>
      </c>
      <c r="D6" s="10" t="s">
        <v>49</v>
      </c>
    </row>
    <row r="7" customFormat="false" ht="15" hidden="false" customHeight="false" outlineLevel="0" collapsed="false">
      <c r="A7" s="10" t="s">
        <v>50</v>
      </c>
      <c r="C7" s="11" t="n">
        <v>0.05</v>
      </c>
      <c r="D7" s="10" t="s">
        <v>51</v>
      </c>
    </row>
    <row r="8" customFormat="false" ht="15" hidden="false" customHeight="false" outlineLevel="0" collapsed="false">
      <c r="A8" s="10" t="s">
        <v>52</v>
      </c>
      <c r="C8" s="13" t="n">
        <v>40</v>
      </c>
      <c r="D8" s="10" t="s">
        <v>53</v>
      </c>
    </row>
    <row r="9" customFormat="false" ht="15" hidden="false" customHeight="false" outlineLevel="0" collapsed="false">
      <c r="A9" s="10" t="s">
        <v>54</v>
      </c>
      <c r="C9" s="12" t="n">
        <v>1.5</v>
      </c>
      <c r="D9" s="10" t="s">
        <v>55</v>
      </c>
    </row>
    <row r="12" customFormat="false" ht="15" hidden="false" customHeight="false" outlineLevel="0" collapsed="false">
      <c r="A12" s="9" t="s">
        <v>56</v>
      </c>
      <c r="B12" s="9" t="s">
        <v>57</v>
      </c>
      <c r="C12" s="9" t="s">
        <v>58</v>
      </c>
      <c r="D12" s="9" t="s">
        <v>43</v>
      </c>
    </row>
    <row r="13" customFormat="false" ht="15" hidden="false" customHeight="false" outlineLevel="0" collapsed="false">
      <c r="A13" s="14" t="s">
        <v>59</v>
      </c>
      <c r="B13" s="14" t="s">
        <v>60</v>
      </c>
      <c r="C13" s="15"/>
      <c r="D13" s="10" t="s">
        <v>61</v>
      </c>
    </row>
    <row r="14" customFormat="false" ht="15" hidden="false" customHeight="false" outlineLevel="0" collapsed="false">
      <c r="A14" s="14" t="s">
        <v>62</v>
      </c>
      <c r="B14" s="14" t="s">
        <v>63</v>
      </c>
      <c r="C14" s="15"/>
      <c r="D14" s="10" t="s">
        <v>64</v>
      </c>
    </row>
    <row r="15" customFormat="false" ht="15" hidden="false" customHeight="false" outlineLevel="0" collapsed="false">
      <c r="A15" s="14" t="s">
        <v>65</v>
      </c>
      <c r="B15" s="14" t="s">
        <v>66</v>
      </c>
      <c r="C15" s="16" t="n">
        <v>0.03</v>
      </c>
      <c r="D15" s="10" t="s">
        <v>67</v>
      </c>
    </row>
    <row r="16" customFormat="false" ht="15" hidden="false" customHeight="false" outlineLevel="0" collapsed="false">
      <c r="A16" s="14" t="s">
        <v>68</v>
      </c>
      <c r="B16" s="14" t="s">
        <v>69</v>
      </c>
      <c r="C16" s="16" t="n">
        <v>0.04</v>
      </c>
      <c r="D16" s="10" t="s">
        <v>70</v>
      </c>
    </row>
    <row r="17" customFormat="false" ht="15" hidden="false" customHeight="false" outlineLevel="0" collapsed="false">
      <c r="A17" s="14" t="s">
        <v>71</v>
      </c>
      <c r="B17" s="14" t="s">
        <v>72</v>
      </c>
      <c r="C17" s="16" t="n">
        <v>0.03</v>
      </c>
      <c r="D17" s="10" t="s">
        <v>73</v>
      </c>
    </row>
    <row r="18" customFormat="false" ht="15" hidden="false" customHeight="false" outlineLevel="0" collapsed="false">
      <c r="A18" s="14" t="s">
        <v>74</v>
      </c>
      <c r="B18" s="14" t="s">
        <v>75</v>
      </c>
      <c r="C18" s="15"/>
      <c r="D18" s="10" t="s">
        <v>76</v>
      </c>
    </row>
    <row r="19" customFormat="false" ht="15" hidden="false" customHeight="false" outlineLevel="0" collapsed="false">
      <c r="A19" s="14" t="s">
        <v>77</v>
      </c>
      <c r="B19" s="14" t="s">
        <v>78</v>
      </c>
      <c r="C19" s="15"/>
      <c r="D19" s="10" t="s">
        <v>79</v>
      </c>
    </row>
    <row r="20" customFormat="false" ht="15" hidden="false" customHeight="false" outlineLevel="0" collapsed="false">
      <c r="A20" s="14" t="s">
        <v>80</v>
      </c>
      <c r="B20" s="14" t="s">
        <v>81</v>
      </c>
      <c r="C20" s="15"/>
      <c r="D20" s="10" t="s">
        <v>81</v>
      </c>
    </row>
    <row r="21" customFormat="false" ht="15" hidden="false" customHeight="false" outlineLevel="0" collapsed="false">
      <c r="A21" s="14" t="s">
        <v>82</v>
      </c>
      <c r="B21" s="14" t="s">
        <v>81</v>
      </c>
      <c r="C21" s="15"/>
      <c r="D21" s="10" t="s">
        <v>83</v>
      </c>
    </row>
    <row r="24" customFormat="false" ht="15" hidden="false" customHeight="false" outlineLevel="0" collapsed="false">
      <c r="A24" s="3" t="s">
        <v>84</v>
      </c>
    </row>
    <row r="25" customFormat="false" ht="15" hidden="false" customHeight="false" outlineLevel="0" collapsed="false">
      <c r="A25" s="10" t="s">
        <v>85</v>
      </c>
    </row>
    <row r="26" customFormat="false" ht="15" hidden="false" customHeight="false" outlineLevel="0" collapsed="false">
      <c r="A26" s="10" t="s">
        <v>86</v>
      </c>
    </row>
    <row r="27" customFormat="false" ht="15" hidden="false" customHeight="false" outlineLevel="0" collapsed="false">
      <c r="A27" s="10" t="s">
        <v>87</v>
      </c>
    </row>
    <row r="28" customFormat="false" ht="15" hidden="false" customHeight="false" outlineLevel="0" collapsed="false">
      <c r="A28" s="10" t="s">
        <v>88</v>
      </c>
    </row>
    <row r="29" customFormat="false" ht="15" hidden="false" customHeight="false" outlineLevel="0" collapsed="false">
      <c r="A29" s="10" t="s">
        <v>89</v>
      </c>
    </row>
    <row r="30" customFormat="false" ht="15" hidden="false" customHeight="false" outlineLevel="0" collapsed="false">
      <c r="A30" s="10" t="s">
        <v>90</v>
      </c>
    </row>
    <row r="31" customFormat="false" ht="15" hidden="false" customHeight="false" outlineLevel="0" collapsed="false">
      <c r="A31" s="10" t="s">
        <v>91</v>
      </c>
    </row>
    <row r="32" customFormat="false" ht="15" hidden="false" customHeight="false" outlineLevel="0" collapsed="false">
      <c r="A32" s="10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2"/>
    <col collapsed="false" customWidth="true" hidden="false" outlineLevel="0" max="3" min="3" style="0" width="6"/>
    <col collapsed="false" customWidth="true" hidden="false" outlineLevel="0" max="5" min="4" style="0" width="8"/>
    <col collapsed="false" customWidth="true" hidden="false" outlineLevel="0" max="6" min="6" style="0" width="10"/>
    <col collapsed="false" customWidth="true" hidden="false" outlineLevel="0" max="7" min="7" style="0" width="36"/>
  </cols>
  <sheetData>
    <row r="1" customFormat="false" ht="15" hidden="false" customHeight="false" outlineLevel="0" collapsed="false">
      <c r="A1" s="17" t="s">
        <v>93</v>
      </c>
      <c r="B1" s="17" t="s">
        <v>94</v>
      </c>
      <c r="C1" s="17" t="s">
        <v>95</v>
      </c>
      <c r="D1" s="17" t="s">
        <v>96</v>
      </c>
      <c r="E1" s="17" t="s">
        <v>97</v>
      </c>
      <c r="F1" s="17" t="s">
        <v>98</v>
      </c>
      <c r="G1" s="17" t="s">
        <v>99</v>
      </c>
    </row>
    <row r="2" customFormat="false" ht="15" hidden="false" customHeight="false" outlineLevel="0" collapsed="false">
      <c r="A2" s="18" t="s">
        <v>100</v>
      </c>
      <c r="B2" s="18" t="s">
        <v>101</v>
      </c>
      <c r="C2" s="18" t="s">
        <v>102</v>
      </c>
      <c r="D2" s="19" t="n">
        <v>20</v>
      </c>
      <c r="E2" s="19" t="n">
        <v>137.5</v>
      </c>
      <c r="F2" s="19" t="n">
        <v>12.5</v>
      </c>
      <c r="G2" s="20" t="s">
        <v>103</v>
      </c>
    </row>
    <row r="3" customFormat="false" ht="15" hidden="false" customHeight="false" outlineLevel="0" collapsed="false">
      <c r="A3" s="18" t="s">
        <v>104</v>
      </c>
      <c r="B3" s="18" t="s">
        <v>105</v>
      </c>
      <c r="C3" s="18" t="s">
        <v>102</v>
      </c>
      <c r="D3" s="19" t="n">
        <v>40</v>
      </c>
      <c r="E3" s="19" t="n">
        <v>137.5</v>
      </c>
      <c r="F3" s="19" t="n">
        <v>12.5</v>
      </c>
      <c r="G3" s="20" t="s">
        <v>106</v>
      </c>
    </row>
    <row r="4" customFormat="false" ht="15" hidden="false" customHeight="false" outlineLevel="0" collapsed="false">
      <c r="A4" s="18" t="s">
        <v>107</v>
      </c>
      <c r="B4" s="18" t="s">
        <v>108</v>
      </c>
      <c r="C4" s="18" t="s">
        <v>102</v>
      </c>
      <c r="D4" s="19" t="n">
        <v>60</v>
      </c>
      <c r="E4" s="19" t="n">
        <v>137.5</v>
      </c>
      <c r="F4" s="19" t="n">
        <v>12.5</v>
      </c>
      <c r="G4" s="20" t="s">
        <v>109</v>
      </c>
    </row>
    <row r="5" customFormat="false" ht="15" hidden="false" customHeight="false" outlineLevel="0" collapsed="false">
      <c r="A5" s="18" t="s">
        <v>110</v>
      </c>
      <c r="B5" s="18" t="s">
        <v>111</v>
      </c>
      <c r="C5" s="18" t="s">
        <v>102</v>
      </c>
      <c r="D5" s="19" t="n">
        <v>80</v>
      </c>
      <c r="E5" s="19" t="n">
        <v>137.5</v>
      </c>
      <c r="F5" s="19" t="n">
        <v>12.5</v>
      </c>
      <c r="G5" s="20" t="s">
        <v>112</v>
      </c>
    </row>
    <row r="6" customFormat="false" ht="15" hidden="false" customHeight="false" outlineLevel="0" collapsed="false">
      <c r="A6" s="18" t="s">
        <v>113</v>
      </c>
      <c r="B6" s="18" t="s">
        <v>114</v>
      </c>
      <c r="C6" s="18" t="s">
        <v>102</v>
      </c>
      <c r="D6" s="19" t="n">
        <v>130</v>
      </c>
      <c r="E6" s="19" t="n">
        <v>137.5</v>
      </c>
      <c r="F6" s="19" t="n">
        <v>31.5</v>
      </c>
      <c r="G6" s="20" t="s">
        <v>115</v>
      </c>
    </row>
    <row r="7" customFormat="false" ht="15" hidden="false" customHeight="false" outlineLevel="0" collapsed="false">
      <c r="A7" s="18" t="s">
        <v>116</v>
      </c>
      <c r="B7" s="18" t="s">
        <v>117</v>
      </c>
      <c r="C7" s="18" t="s">
        <v>102</v>
      </c>
      <c r="D7" s="19" t="n">
        <v>200</v>
      </c>
      <c r="E7" s="19" t="n">
        <v>152.5</v>
      </c>
      <c r="F7" s="19" t="n">
        <v>31.5</v>
      </c>
      <c r="G7" s="20" t="s">
        <v>118</v>
      </c>
    </row>
    <row r="8" customFormat="false" ht="15" hidden="false" customHeight="false" outlineLevel="0" collapsed="false">
      <c r="A8" s="18" t="s">
        <v>119</v>
      </c>
      <c r="B8" s="18" t="s">
        <v>120</v>
      </c>
      <c r="C8" s="18" t="s">
        <v>102</v>
      </c>
      <c r="D8" s="19" t="n">
        <v>270</v>
      </c>
      <c r="E8" s="19" t="n">
        <v>167.5</v>
      </c>
      <c r="F8" s="19" t="n">
        <v>31.5</v>
      </c>
      <c r="G8" s="20" t="s">
        <v>121</v>
      </c>
    </row>
    <row r="9" customFormat="false" ht="15" hidden="false" customHeight="false" outlineLevel="0" collapsed="false">
      <c r="A9" s="18" t="s">
        <v>122</v>
      </c>
      <c r="B9" s="18" t="s">
        <v>123</v>
      </c>
      <c r="C9" s="18" t="s">
        <v>102</v>
      </c>
      <c r="D9" s="19" t="n">
        <v>95</v>
      </c>
      <c r="E9" s="19" t="n">
        <v>128</v>
      </c>
      <c r="F9" s="19" t="n">
        <v>0.5</v>
      </c>
      <c r="G9" s="21" t="s">
        <v>124</v>
      </c>
    </row>
    <row r="10" customFormat="false" ht="15" hidden="false" customHeight="false" outlineLevel="0" collapsed="false">
      <c r="A10" s="18" t="s">
        <v>125</v>
      </c>
      <c r="B10" s="18" t="s">
        <v>126</v>
      </c>
      <c r="C10" s="18" t="s">
        <v>127</v>
      </c>
      <c r="D10" s="19" t="n">
        <v>19</v>
      </c>
      <c r="E10" s="19" t="n">
        <v>107.5</v>
      </c>
      <c r="F10" s="19" t="n">
        <v>8</v>
      </c>
      <c r="G10" s="20" t="s">
        <v>128</v>
      </c>
    </row>
    <row r="11" customFormat="false" ht="15" hidden="false" customHeight="false" outlineLevel="0" collapsed="false">
      <c r="A11" s="18" t="s">
        <v>129</v>
      </c>
      <c r="B11" s="18" t="s">
        <v>130</v>
      </c>
      <c r="C11" s="18" t="s">
        <v>127</v>
      </c>
      <c r="D11" s="19" t="n">
        <v>14.5</v>
      </c>
      <c r="E11" s="19" t="n">
        <v>107.5</v>
      </c>
      <c r="F11" s="19" t="n">
        <v>2</v>
      </c>
      <c r="G11" s="20" t="s">
        <v>128</v>
      </c>
    </row>
    <row r="12" customFormat="false" ht="15" hidden="false" customHeight="false" outlineLevel="0" collapsed="false">
      <c r="A12" s="18" t="s">
        <v>131</v>
      </c>
      <c r="B12" s="18" t="s">
        <v>132</v>
      </c>
      <c r="C12" s="18" t="s">
        <v>133</v>
      </c>
      <c r="D12" s="19" t="n">
        <v>58</v>
      </c>
      <c r="E12" s="19" t="n">
        <v>18</v>
      </c>
      <c r="F12" s="19" t="n">
        <v>4</v>
      </c>
      <c r="G12" s="20" t="s">
        <v>134</v>
      </c>
    </row>
    <row r="13" customFormat="false" ht="15" hidden="false" customHeight="false" outlineLevel="0" collapsed="false">
      <c r="A13" s="18" t="s">
        <v>135</v>
      </c>
      <c r="B13" s="18" t="s">
        <v>136</v>
      </c>
      <c r="C13" s="18" t="s">
        <v>133</v>
      </c>
      <c r="D13" s="19" t="n">
        <v>60</v>
      </c>
      <c r="E13" s="19" t="n">
        <v>46</v>
      </c>
      <c r="F13" s="19" t="n">
        <v>6</v>
      </c>
      <c r="G13" s="20" t="s">
        <v>137</v>
      </c>
    </row>
    <row r="14" customFormat="false" ht="15" hidden="false" customHeight="false" outlineLevel="0" collapsed="false">
      <c r="A14" s="18" t="s">
        <v>138</v>
      </c>
      <c r="B14" s="18" t="s">
        <v>139</v>
      </c>
      <c r="C14" s="18" t="s">
        <v>133</v>
      </c>
      <c r="D14" s="19" t="n">
        <v>54</v>
      </c>
      <c r="E14" s="19" t="n">
        <v>65.5</v>
      </c>
      <c r="F14" s="19" t="n">
        <v>10</v>
      </c>
      <c r="G14" s="20" t="s">
        <v>140</v>
      </c>
    </row>
    <row r="15" customFormat="false" ht="15" hidden="false" customHeight="false" outlineLevel="0" collapsed="false">
      <c r="A15" s="18" t="s">
        <v>141</v>
      </c>
      <c r="B15" s="18" t="s">
        <v>142</v>
      </c>
      <c r="C15" s="18" t="s">
        <v>133</v>
      </c>
      <c r="D15" s="19" t="n">
        <v>54</v>
      </c>
      <c r="E15" s="19" t="n">
        <v>60</v>
      </c>
      <c r="F15" s="19" t="n">
        <v>4.5</v>
      </c>
      <c r="G15" s="20" t="s">
        <v>140</v>
      </c>
    </row>
    <row r="16" customFormat="false" ht="15" hidden="false" customHeight="false" outlineLevel="0" collapsed="false">
      <c r="A16" s="18" t="s">
        <v>143</v>
      </c>
      <c r="B16" s="18" t="s">
        <v>144</v>
      </c>
      <c r="C16" s="18" t="s">
        <v>133</v>
      </c>
      <c r="D16" s="19" t="n">
        <v>74</v>
      </c>
      <c r="E16" s="19" t="n">
        <v>65.5</v>
      </c>
      <c r="F16" s="19" t="n">
        <v>10</v>
      </c>
      <c r="G16" s="20" t="s">
        <v>145</v>
      </c>
    </row>
    <row r="17" customFormat="false" ht="15" hidden="false" customHeight="false" outlineLevel="0" collapsed="false">
      <c r="A17" s="18" t="s">
        <v>146</v>
      </c>
      <c r="B17" s="18" t="s">
        <v>147</v>
      </c>
      <c r="C17" s="18" t="s">
        <v>133</v>
      </c>
      <c r="D17" s="19" t="n">
        <v>74</v>
      </c>
      <c r="E17" s="19" t="n">
        <v>60</v>
      </c>
      <c r="F17" s="19" t="n">
        <v>4.5</v>
      </c>
      <c r="G17" s="20" t="s">
        <v>145</v>
      </c>
    </row>
    <row r="18" customFormat="false" ht="15" hidden="false" customHeight="false" outlineLevel="0" collapsed="false">
      <c r="A18" s="18" t="s">
        <v>148</v>
      </c>
      <c r="B18" s="18" t="s">
        <v>149</v>
      </c>
      <c r="C18" s="18" t="s">
        <v>133</v>
      </c>
      <c r="D18" s="19" t="n">
        <v>44</v>
      </c>
      <c r="E18" s="19" t="n">
        <v>64</v>
      </c>
      <c r="F18" s="19" t="n">
        <v>3</v>
      </c>
      <c r="G18" s="21" t="s">
        <v>150</v>
      </c>
    </row>
    <row r="19" customFormat="false" ht="15" hidden="false" customHeight="false" outlineLevel="0" collapsed="false">
      <c r="A19" s="18" t="s">
        <v>151</v>
      </c>
      <c r="B19" s="18" t="s">
        <v>152</v>
      </c>
      <c r="C19" s="18" t="s">
        <v>133</v>
      </c>
      <c r="D19" s="19" t="n">
        <v>86</v>
      </c>
      <c r="E19" s="19" t="n">
        <v>64</v>
      </c>
      <c r="F19" s="19" t="n">
        <v>3</v>
      </c>
      <c r="G19" s="21" t="s">
        <v>153</v>
      </c>
    </row>
    <row r="20" customFormat="false" ht="15" hidden="false" customHeight="false" outlineLevel="0" collapsed="false">
      <c r="A20" s="18" t="s">
        <v>154</v>
      </c>
      <c r="B20" s="18" t="s">
        <v>155</v>
      </c>
      <c r="C20" s="18" t="s">
        <v>133</v>
      </c>
      <c r="D20" s="19" t="n">
        <v>62</v>
      </c>
      <c r="E20" s="19" t="n">
        <v>18</v>
      </c>
      <c r="F20" s="19" t="n">
        <v>1</v>
      </c>
      <c r="G20" s="21" t="s">
        <v>156</v>
      </c>
    </row>
    <row r="21" customFormat="false" ht="15" hidden="false" customHeight="false" outlineLevel="0" collapsed="false">
      <c r="A21" s="18" t="s">
        <v>157</v>
      </c>
      <c r="B21" s="18" t="s">
        <v>158</v>
      </c>
      <c r="C21" s="18" t="s">
        <v>133</v>
      </c>
      <c r="D21" s="19" t="n">
        <v>64</v>
      </c>
      <c r="E21" s="19" t="n">
        <v>46</v>
      </c>
      <c r="F21" s="19" t="n">
        <v>1</v>
      </c>
      <c r="G21" s="21" t="s">
        <v>156</v>
      </c>
    </row>
    <row r="22" customFormat="false" ht="15" hidden="false" customHeight="false" outlineLevel="0" collapsed="false">
      <c r="A22" s="18" t="s">
        <v>159</v>
      </c>
      <c r="B22" s="18" t="s">
        <v>160</v>
      </c>
      <c r="C22" s="18" t="s">
        <v>133</v>
      </c>
      <c r="D22" s="19" t="n">
        <v>40</v>
      </c>
      <c r="E22" s="19" t="n">
        <v>-6</v>
      </c>
      <c r="F22" s="19" t="n">
        <v>0.5</v>
      </c>
      <c r="G22" s="21" t="s">
        <v>161</v>
      </c>
    </row>
    <row r="23" customFormat="false" ht="15" hidden="false" customHeight="false" outlineLevel="0" collapsed="false">
      <c r="A23" s="18" t="s">
        <v>162</v>
      </c>
      <c r="B23" s="18" t="s">
        <v>163</v>
      </c>
      <c r="C23" s="18" t="s">
        <v>133</v>
      </c>
      <c r="D23" s="19" t="n">
        <v>44</v>
      </c>
      <c r="E23" s="19" t="n">
        <v>-6</v>
      </c>
      <c r="F23" s="19" t="n">
        <v>0.5</v>
      </c>
      <c r="G23" s="21" t="s">
        <v>161</v>
      </c>
    </row>
    <row r="24" customFormat="false" ht="15" hidden="false" customHeight="false" outlineLevel="0" collapsed="false">
      <c r="A24" s="18" t="s">
        <v>164</v>
      </c>
      <c r="B24" s="18" t="s">
        <v>165</v>
      </c>
      <c r="C24" s="18" t="s">
        <v>133</v>
      </c>
      <c r="D24" s="19" t="n">
        <v>46</v>
      </c>
      <c r="E24" s="19" t="n">
        <v>-6</v>
      </c>
      <c r="F24" s="19" t="n">
        <v>0.5</v>
      </c>
      <c r="G24" s="21" t="s">
        <v>161</v>
      </c>
    </row>
    <row r="25" customFormat="false" ht="15" hidden="false" customHeight="false" outlineLevel="0" collapsed="false">
      <c r="A25" s="18" t="s">
        <v>166</v>
      </c>
      <c r="B25" s="18" t="s">
        <v>167</v>
      </c>
      <c r="C25" s="18" t="s">
        <v>133</v>
      </c>
      <c r="D25" s="19" t="n">
        <v>48</v>
      </c>
      <c r="E25" s="19" t="n">
        <v>-6</v>
      </c>
      <c r="F25" s="19" t="n">
        <v>0.5</v>
      </c>
      <c r="G25" s="21" t="s">
        <v>161</v>
      </c>
    </row>
    <row r="26" customFormat="false" ht="15" hidden="false" customHeight="false" outlineLevel="0" collapsed="false">
      <c r="A26" s="18" t="s">
        <v>168</v>
      </c>
      <c r="B26" s="18" t="s">
        <v>169</v>
      </c>
      <c r="C26" s="18" t="s">
        <v>133</v>
      </c>
      <c r="D26" s="19" t="n">
        <v>60</v>
      </c>
      <c r="E26" s="19" t="n">
        <v>-5</v>
      </c>
      <c r="F26" s="19" t="n">
        <v>0.5</v>
      </c>
      <c r="G26" s="20" t="s">
        <v>170</v>
      </c>
    </row>
    <row r="27" customFormat="false" ht="15" hidden="false" customHeight="false" outlineLevel="0" collapsed="false">
      <c r="A27" s="18" t="s">
        <v>171</v>
      </c>
      <c r="B27" s="18" t="s">
        <v>172</v>
      </c>
      <c r="C27" s="18" t="s">
        <v>133</v>
      </c>
      <c r="D27" s="19" t="n">
        <v>61</v>
      </c>
      <c r="E27" s="19" t="n">
        <v>-5</v>
      </c>
      <c r="F27" s="19" t="n">
        <v>0.5</v>
      </c>
      <c r="G27" s="20" t="s">
        <v>173</v>
      </c>
    </row>
    <row r="28" customFormat="false" ht="15" hidden="false" customHeight="false" outlineLevel="0" collapsed="false">
      <c r="A28" s="18" t="s">
        <v>174</v>
      </c>
      <c r="B28" s="18" t="s">
        <v>175</v>
      </c>
      <c r="C28" s="18" t="s">
        <v>133</v>
      </c>
      <c r="D28" s="19" t="n">
        <v>52</v>
      </c>
      <c r="E28" s="19" t="n">
        <v>6.5</v>
      </c>
      <c r="F28" s="19" t="n">
        <v>11</v>
      </c>
      <c r="G28" s="20" t="s">
        <v>176</v>
      </c>
    </row>
    <row r="29" customFormat="false" ht="15" hidden="false" customHeight="false" outlineLevel="0" collapsed="false">
      <c r="A29" s="18" t="s">
        <v>177</v>
      </c>
      <c r="B29" s="18" t="s">
        <v>178</v>
      </c>
      <c r="C29" s="18" t="s">
        <v>133</v>
      </c>
      <c r="D29" s="19" t="n">
        <v>60</v>
      </c>
      <c r="E29" s="19" t="n">
        <v>6.5</v>
      </c>
      <c r="F29" s="19" t="n">
        <v>11</v>
      </c>
      <c r="G29" s="20" t="s">
        <v>179</v>
      </c>
    </row>
    <row r="30" customFormat="false" ht="15" hidden="false" customHeight="false" outlineLevel="0" collapsed="false">
      <c r="A30" s="18" t="s">
        <v>180</v>
      </c>
      <c r="B30" s="18" t="s">
        <v>181</v>
      </c>
      <c r="C30" s="18" t="s">
        <v>133</v>
      </c>
      <c r="D30" s="19" t="n">
        <v>72</v>
      </c>
      <c r="E30" s="19" t="n">
        <v>2</v>
      </c>
      <c r="F30" s="19" t="n">
        <v>6</v>
      </c>
      <c r="G30" s="20" t="s">
        <v>182</v>
      </c>
    </row>
    <row r="31" customFormat="false" ht="15" hidden="false" customHeight="false" outlineLevel="0" collapsed="false">
      <c r="A31" s="18" t="s">
        <v>183</v>
      </c>
      <c r="B31" s="18" t="s">
        <v>184</v>
      </c>
      <c r="C31" s="18" t="s">
        <v>133</v>
      </c>
      <c r="D31" s="19" t="n">
        <v>60</v>
      </c>
      <c r="E31" s="19" t="n">
        <v>-3</v>
      </c>
      <c r="F31" s="19" t="n">
        <v>1</v>
      </c>
      <c r="G31" s="20" t="s">
        <v>173</v>
      </c>
    </row>
    <row r="32" customFormat="false" ht="15" hidden="false" customHeight="false" outlineLevel="0" collapsed="false">
      <c r="A32" s="18" t="s">
        <v>185</v>
      </c>
      <c r="B32" s="18" t="s">
        <v>186</v>
      </c>
      <c r="C32" s="18" t="s">
        <v>133</v>
      </c>
      <c r="D32" s="19" t="n">
        <v>80</v>
      </c>
      <c r="E32" s="19" t="n">
        <v>-9</v>
      </c>
      <c r="F32" s="19" t="n">
        <v>0.5</v>
      </c>
      <c r="G32" s="21" t="s">
        <v>187</v>
      </c>
    </row>
    <row r="33" customFormat="false" ht="15" hidden="false" customHeight="false" outlineLevel="0" collapsed="false">
      <c r="A33" s="18" t="s">
        <v>188</v>
      </c>
      <c r="B33" s="18" t="s">
        <v>189</v>
      </c>
      <c r="C33" s="18" t="s">
        <v>133</v>
      </c>
      <c r="D33" s="19" t="n">
        <v>86</v>
      </c>
      <c r="E33" s="19" t="n">
        <v>-9</v>
      </c>
      <c r="F33" s="19" t="n">
        <v>0.5</v>
      </c>
      <c r="G33" s="20" t="s">
        <v>190</v>
      </c>
    </row>
    <row r="34" customFormat="false" ht="15" hidden="false" customHeight="false" outlineLevel="0" collapsed="false">
      <c r="A34" s="18" t="s">
        <v>191</v>
      </c>
      <c r="B34" s="18" t="s">
        <v>192</v>
      </c>
      <c r="C34" s="18" t="s">
        <v>133</v>
      </c>
      <c r="D34" s="19" t="n">
        <v>90</v>
      </c>
      <c r="E34" s="19" t="n">
        <v>-9</v>
      </c>
      <c r="F34" s="19" t="n">
        <v>0.5</v>
      </c>
      <c r="G34" s="20" t="s">
        <v>190</v>
      </c>
    </row>
    <row r="35" customFormat="false" ht="15" hidden="false" customHeight="false" outlineLevel="0" collapsed="false">
      <c r="A35" s="18" t="s">
        <v>193</v>
      </c>
      <c r="B35" s="18" t="s">
        <v>194</v>
      </c>
      <c r="C35" s="18" t="s">
        <v>133</v>
      </c>
      <c r="D35" s="19" t="n">
        <v>100</v>
      </c>
      <c r="E35" s="19" t="n">
        <v>-8</v>
      </c>
      <c r="F35" s="19" t="n">
        <v>0.5</v>
      </c>
      <c r="G35" s="20" t="s">
        <v>190</v>
      </c>
    </row>
    <row r="36" customFormat="false" ht="15" hidden="false" customHeight="false" outlineLevel="0" collapsed="false">
      <c r="A36" s="18" t="s">
        <v>195</v>
      </c>
      <c r="B36" s="18" t="s">
        <v>196</v>
      </c>
      <c r="C36" s="18" t="s">
        <v>133</v>
      </c>
      <c r="D36" s="19" t="n">
        <v>97</v>
      </c>
      <c r="E36" s="19" t="n">
        <v>-6</v>
      </c>
      <c r="F36" s="19" t="n">
        <v>30</v>
      </c>
      <c r="G36" s="20" t="s">
        <v>197</v>
      </c>
    </row>
    <row r="37" customFormat="false" ht="15" hidden="false" customHeight="false" outlineLevel="0" collapsed="false">
      <c r="A37" s="18" t="s">
        <v>198</v>
      </c>
      <c r="B37" s="18" t="s">
        <v>199</v>
      </c>
      <c r="C37" s="18" t="s">
        <v>133</v>
      </c>
      <c r="D37" s="19" t="n">
        <v>117</v>
      </c>
      <c r="E37" s="19" t="n">
        <v>3</v>
      </c>
      <c r="F37" s="19" t="n">
        <v>55</v>
      </c>
      <c r="G37" s="20" t="s">
        <v>200</v>
      </c>
    </row>
    <row r="38" customFormat="false" ht="15" hidden="false" customHeight="false" outlineLevel="0" collapsed="false">
      <c r="A38" s="18" t="s">
        <v>201</v>
      </c>
      <c r="B38" s="18" t="s">
        <v>202</v>
      </c>
      <c r="C38" s="18" t="s">
        <v>133</v>
      </c>
      <c r="D38" s="19" t="n">
        <v>117</v>
      </c>
      <c r="E38" s="19" t="n">
        <v>-0.5</v>
      </c>
      <c r="F38" s="19" t="n">
        <v>40</v>
      </c>
      <c r="G38" s="20" t="s">
        <v>203</v>
      </c>
    </row>
    <row r="39" customFormat="false" ht="15" hidden="false" customHeight="false" outlineLevel="0" collapsed="false">
      <c r="A39" s="18" t="s">
        <v>204</v>
      </c>
      <c r="B39" s="18" t="s">
        <v>205</v>
      </c>
      <c r="C39" s="18" t="s">
        <v>133</v>
      </c>
      <c r="D39" s="19" t="n">
        <v>122</v>
      </c>
      <c r="E39" s="19" t="n">
        <v>-8</v>
      </c>
      <c r="F39" s="19" t="n">
        <v>0.5</v>
      </c>
      <c r="G39" s="21" t="s">
        <v>156</v>
      </c>
    </row>
    <row r="40" customFormat="false" ht="15" hidden="false" customHeight="false" outlineLevel="0" collapsed="false">
      <c r="A40" s="18" t="s">
        <v>206</v>
      </c>
      <c r="B40" s="18" t="s">
        <v>207</v>
      </c>
      <c r="C40" s="18" t="s">
        <v>133</v>
      </c>
      <c r="D40" s="19" t="n">
        <v>85</v>
      </c>
      <c r="E40" s="19" t="n">
        <v>40</v>
      </c>
      <c r="F40" s="19" t="n">
        <v>0.5</v>
      </c>
      <c r="G40" s="20" t="s">
        <v>208</v>
      </c>
    </row>
    <row r="41" customFormat="false" ht="15" hidden="false" customHeight="false" outlineLevel="0" collapsed="false">
      <c r="A41" s="18" t="s">
        <v>209</v>
      </c>
      <c r="B41" s="18" t="s">
        <v>210</v>
      </c>
      <c r="C41" s="18" t="s">
        <v>133</v>
      </c>
      <c r="D41" s="19" t="n">
        <v>88</v>
      </c>
      <c r="E41" s="19" t="n">
        <v>30</v>
      </c>
      <c r="F41" s="19" t="n">
        <v>0.5</v>
      </c>
      <c r="G41" s="20" t="s">
        <v>211</v>
      </c>
    </row>
    <row r="42" customFormat="false" ht="15" hidden="false" customHeight="false" outlineLevel="0" collapsed="false">
      <c r="A42" s="18" t="s">
        <v>212</v>
      </c>
      <c r="B42" s="18" t="s">
        <v>213</v>
      </c>
      <c r="C42" s="18" t="s">
        <v>133</v>
      </c>
      <c r="D42" s="19" t="n">
        <v>66</v>
      </c>
      <c r="E42" s="19" t="n">
        <v>36</v>
      </c>
      <c r="F42" s="19" t="n">
        <v>6</v>
      </c>
      <c r="G42" s="20" t="s">
        <v>214</v>
      </c>
    </row>
    <row r="43" customFormat="false" ht="15" hidden="false" customHeight="false" outlineLevel="0" collapsed="false">
      <c r="A43" s="18" t="s">
        <v>215</v>
      </c>
      <c r="B43" s="18" t="s">
        <v>216</v>
      </c>
      <c r="C43" s="18" t="s">
        <v>133</v>
      </c>
      <c r="D43" s="19" t="n">
        <v>70</v>
      </c>
      <c r="E43" s="19" t="n">
        <v>30</v>
      </c>
      <c r="F43" s="19" t="n">
        <v>0.5</v>
      </c>
      <c r="G43" s="20" t="s">
        <v>211</v>
      </c>
    </row>
    <row r="44" customFormat="false" ht="15" hidden="false" customHeight="false" outlineLevel="0" collapsed="false">
      <c r="A44" s="18" t="s">
        <v>217</v>
      </c>
      <c r="B44" s="18" t="s">
        <v>218</v>
      </c>
      <c r="C44" s="18" t="s">
        <v>133</v>
      </c>
      <c r="D44" s="19" t="n">
        <v>72</v>
      </c>
      <c r="E44" s="19" t="n">
        <v>30</v>
      </c>
      <c r="F44" s="19" t="n">
        <v>0.5</v>
      </c>
      <c r="G44" s="20" t="s">
        <v>211</v>
      </c>
    </row>
    <row r="45" customFormat="false" ht="15" hidden="false" customHeight="false" outlineLevel="0" collapsed="false">
      <c r="A45" s="18" t="s">
        <v>219</v>
      </c>
      <c r="B45" s="18" t="s">
        <v>220</v>
      </c>
      <c r="C45" s="18" t="s">
        <v>133</v>
      </c>
      <c r="D45" s="19" t="n">
        <v>88</v>
      </c>
      <c r="E45" s="19" t="n">
        <v>44</v>
      </c>
      <c r="F45" s="19" t="n">
        <v>0.5</v>
      </c>
      <c r="G45" s="20" t="s">
        <v>211</v>
      </c>
    </row>
    <row r="46" customFormat="false" ht="15" hidden="false" customHeight="false" outlineLevel="0" collapsed="false">
      <c r="A46" s="18" t="s">
        <v>221</v>
      </c>
      <c r="B46" s="18" t="s">
        <v>222</v>
      </c>
      <c r="C46" s="18" t="s">
        <v>133</v>
      </c>
      <c r="D46" s="19" t="n">
        <v>88</v>
      </c>
      <c r="E46" s="19" t="n">
        <v>41</v>
      </c>
      <c r="F46" s="19" t="n">
        <v>0.5</v>
      </c>
      <c r="G46" s="20" t="s">
        <v>211</v>
      </c>
    </row>
    <row r="47" customFormat="false" ht="15" hidden="false" customHeight="false" outlineLevel="0" collapsed="false">
      <c r="A47" s="18" t="s">
        <v>223</v>
      </c>
      <c r="B47" s="18" t="s">
        <v>224</v>
      </c>
      <c r="C47" s="18" t="s">
        <v>133</v>
      </c>
      <c r="D47" s="19" t="n">
        <v>68</v>
      </c>
      <c r="E47" s="19" t="n">
        <v>22</v>
      </c>
      <c r="F47" s="19" t="n">
        <v>0.5</v>
      </c>
      <c r="G47" s="21" t="s">
        <v>156</v>
      </c>
    </row>
    <row r="48" customFormat="false" ht="15" hidden="false" customHeight="false" outlineLevel="0" collapsed="false">
      <c r="A48" s="18" t="s">
        <v>225</v>
      </c>
      <c r="B48" s="18" t="s">
        <v>226</v>
      </c>
      <c r="C48" s="18" t="s">
        <v>133</v>
      </c>
      <c r="D48" s="19" t="n">
        <v>75</v>
      </c>
      <c r="E48" s="19" t="n">
        <v>20</v>
      </c>
      <c r="F48" s="19" t="n">
        <v>-0.8</v>
      </c>
      <c r="G48" s="20" t="s">
        <v>227</v>
      </c>
    </row>
    <row r="49" customFormat="false" ht="15" hidden="false" customHeight="false" outlineLevel="0" collapsed="false">
      <c r="A49" s="18" t="s">
        <v>228</v>
      </c>
      <c r="B49" s="18" t="s">
        <v>229</v>
      </c>
      <c r="C49" s="18" t="s">
        <v>230</v>
      </c>
      <c r="D49" s="19" t="n">
        <v>146</v>
      </c>
      <c r="E49" s="19" t="n">
        <v>40</v>
      </c>
      <c r="F49" s="19" t="n">
        <v>0.5</v>
      </c>
      <c r="G49" s="20" t="s">
        <v>231</v>
      </c>
    </row>
    <row r="50" customFormat="false" ht="15" hidden="false" customHeight="false" outlineLevel="0" collapsed="false">
      <c r="A50" s="18" t="s">
        <v>232</v>
      </c>
      <c r="B50" s="18" t="s">
        <v>233</v>
      </c>
      <c r="C50" s="18" t="s">
        <v>230</v>
      </c>
      <c r="D50" s="19" t="n">
        <v>146</v>
      </c>
      <c r="E50" s="19" t="n">
        <v>46</v>
      </c>
      <c r="F50" s="19" t="n">
        <v>0.5</v>
      </c>
      <c r="G50" s="20" t="s">
        <v>234</v>
      </c>
    </row>
    <row r="51" customFormat="false" ht="15" hidden="false" customHeight="false" outlineLevel="0" collapsed="false">
      <c r="A51" s="18" t="s">
        <v>235</v>
      </c>
      <c r="B51" s="18" t="s">
        <v>236</v>
      </c>
      <c r="C51" s="18" t="s">
        <v>230</v>
      </c>
      <c r="D51" s="19" t="n">
        <v>142</v>
      </c>
      <c r="E51" s="19" t="n">
        <v>30</v>
      </c>
      <c r="F51" s="19" t="n">
        <v>0.5</v>
      </c>
      <c r="G51" s="20" t="s">
        <v>237</v>
      </c>
    </row>
    <row r="52" customFormat="false" ht="15" hidden="false" customHeight="false" outlineLevel="0" collapsed="false">
      <c r="A52" s="18" t="s">
        <v>238</v>
      </c>
      <c r="B52" s="18" t="s">
        <v>239</v>
      </c>
      <c r="C52" s="18" t="s">
        <v>230</v>
      </c>
      <c r="D52" s="19" t="n">
        <v>104</v>
      </c>
      <c r="E52" s="19" t="n">
        <v>32</v>
      </c>
      <c r="F52" s="19" t="n">
        <v>20.5</v>
      </c>
      <c r="G52" s="20" t="s">
        <v>240</v>
      </c>
    </row>
    <row r="53" customFormat="false" ht="15" hidden="false" customHeight="false" outlineLevel="0" collapsed="false">
      <c r="A53" s="18" t="s">
        <v>241</v>
      </c>
      <c r="B53" s="18" t="s">
        <v>242</v>
      </c>
      <c r="C53" s="18" t="s">
        <v>230</v>
      </c>
      <c r="D53" s="19" t="n">
        <v>104</v>
      </c>
      <c r="E53" s="19" t="n">
        <v>43</v>
      </c>
      <c r="F53" s="19" t="n">
        <v>20.5</v>
      </c>
      <c r="G53" s="20" t="s">
        <v>243</v>
      </c>
    </row>
    <row r="54" customFormat="false" ht="15" hidden="false" customHeight="false" outlineLevel="0" collapsed="false">
      <c r="A54" s="18" t="s">
        <v>244</v>
      </c>
      <c r="B54" s="18" t="s">
        <v>245</v>
      </c>
      <c r="C54" s="18" t="s">
        <v>230</v>
      </c>
      <c r="D54" s="19" t="n">
        <v>104</v>
      </c>
      <c r="E54" s="19" t="n">
        <v>54</v>
      </c>
      <c r="F54" s="19" t="n">
        <v>20.5</v>
      </c>
      <c r="G54" s="20" t="s">
        <v>246</v>
      </c>
    </row>
    <row r="55" customFormat="false" ht="15" hidden="false" customHeight="false" outlineLevel="0" collapsed="false">
      <c r="A55" s="18" t="s">
        <v>247</v>
      </c>
      <c r="B55" s="18" t="s">
        <v>248</v>
      </c>
      <c r="C55" s="18" t="s">
        <v>230</v>
      </c>
      <c r="D55" s="19" t="n">
        <v>112</v>
      </c>
      <c r="E55" s="19" t="n">
        <v>32</v>
      </c>
      <c r="F55" s="19" t="n">
        <v>20.5</v>
      </c>
      <c r="G55" s="20" t="s">
        <v>249</v>
      </c>
    </row>
    <row r="56" customFormat="false" ht="15" hidden="false" customHeight="false" outlineLevel="0" collapsed="false">
      <c r="A56" s="18" t="s">
        <v>250</v>
      </c>
      <c r="B56" s="18" t="s">
        <v>251</v>
      </c>
      <c r="C56" s="18" t="s">
        <v>230</v>
      </c>
      <c r="D56" s="19" t="n">
        <v>112</v>
      </c>
      <c r="E56" s="19" t="n">
        <v>43</v>
      </c>
      <c r="F56" s="19" t="n">
        <v>20.5</v>
      </c>
      <c r="G56" s="20" t="s">
        <v>252</v>
      </c>
    </row>
    <row r="57" customFormat="false" ht="15" hidden="false" customHeight="false" outlineLevel="0" collapsed="false">
      <c r="A57" s="18" t="s">
        <v>253</v>
      </c>
      <c r="B57" s="18" t="s">
        <v>254</v>
      </c>
      <c r="C57" s="18" t="s">
        <v>230</v>
      </c>
      <c r="D57" s="19" t="n">
        <v>112</v>
      </c>
      <c r="E57" s="19" t="n">
        <v>54</v>
      </c>
      <c r="F57" s="19" t="n">
        <v>20.5</v>
      </c>
      <c r="G57" s="20" t="s">
        <v>255</v>
      </c>
    </row>
    <row r="58" customFormat="false" ht="15" hidden="false" customHeight="false" outlineLevel="0" collapsed="false">
      <c r="A58" s="18" t="s">
        <v>256</v>
      </c>
      <c r="B58" s="18" t="s">
        <v>257</v>
      </c>
      <c r="C58" s="18" t="s">
        <v>230</v>
      </c>
      <c r="D58" s="19" t="n">
        <v>120</v>
      </c>
      <c r="E58" s="19" t="n">
        <v>32</v>
      </c>
      <c r="F58" s="19" t="n">
        <v>20.5</v>
      </c>
      <c r="G58" s="20" t="s">
        <v>258</v>
      </c>
    </row>
    <row r="59" customFormat="false" ht="15" hidden="false" customHeight="false" outlineLevel="0" collapsed="false">
      <c r="A59" s="18" t="s">
        <v>259</v>
      </c>
      <c r="B59" s="18" t="s">
        <v>260</v>
      </c>
      <c r="C59" s="18" t="s">
        <v>230</v>
      </c>
      <c r="D59" s="19" t="n">
        <v>120</v>
      </c>
      <c r="E59" s="19" t="n">
        <v>43</v>
      </c>
      <c r="F59" s="19" t="n">
        <v>20.5</v>
      </c>
      <c r="G59" s="20" t="s">
        <v>261</v>
      </c>
    </row>
    <row r="60" customFormat="false" ht="15" hidden="false" customHeight="false" outlineLevel="0" collapsed="false">
      <c r="A60" s="18" t="s">
        <v>262</v>
      </c>
      <c r="B60" s="18" t="s">
        <v>263</v>
      </c>
      <c r="C60" s="18" t="s">
        <v>230</v>
      </c>
      <c r="D60" s="19" t="n">
        <v>120</v>
      </c>
      <c r="E60" s="19" t="n">
        <v>54</v>
      </c>
      <c r="F60" s="19" t="n">
        <v>20.5</v>
      </c>
      <c r="G60" s="20" t="s">
        <v>264</v>
      </c>
    </row>
    <row r="61" customFormat="false" ht="15" hidden="false" customHeight="false" outlineLevel="0" collapsed="false">
      <c r="A61" s="18" t="s">
        <v>265</v>
      </c>
      <c r="B61" s="18" t="s">
        <v>266</v>
      </c>
      <c r="C61" s="18" t="s">
        <v>230</v>
      </c>
      <c r="D61" s="19" t="n">
        <v>128</v>
      </c>
      <c r="E61" s="19" t="n">
        <v>32</v>
      </c>
      <c r="F61" s="19" t="n">
        <v>20.5</v>
      </c>
      <c r="G61" s="20" t="s">
        <v>267</v>
      </c>
    </row>
    <row r="62" customFormat="false" ht="15" hidden="false" customHeight="false" outlineLevel="0" collapsed="false">
      <c r="A62" s="18" t="s">
        <v>268</v>
      </c>
      <c r="B62" s="18" t="s">
        <v>269</v>
      </c>
      <c r="C62" s="18" t="s">
        <v>230</v>
      </c>
      <c r="D62" s="19" t="n">
        <v>128</v>
      </c>
      <c r="E62" s="19" t="n">
        <v>43</v>
      </c>
      <c r="F62" s="19" t="n">
        <v>20.5</v>
      </c>
      <c r="G62" s="20" t="s">
        <v>270</v>
      </c>
    </row>
    <row r="63" customFormat="false" ht="15" hidden="false" customHeight="false" outlineLevel="0" collapsed="false">
      <c r="A63" s="18" t="s">
        <v>271</v>
      </c>
      <c r="B63" s="18" t="s">
        <v>272</v>
      </c>
      <c r="C63" s="18" t="s">
        <v>230</v>
      </c>
      <c r="D63" s="19" t="n">
        <v>128</v>
      </c>
      <c r="E63" s="19" t="n">
        <v>54</v>
      </c>
      <c r="F63" s="19" t="n">
        <v>20.5</v>
      </c>
      <c r="G63" s="20" t="s">
        <v>273</v>
      </c>
    </row>
    <row r="64" customFormat="false" ht="15" hidden="false" customHeight="false" outlineLevel="0" collapsed="false">
      <c r="A64" s="18" t="s">
        <v>274</v>
      </c>
      <c r="B64" s="18" t="s">
        <v>275</v>
      </c>
      <c r="C64" s="18" t="s">
        <v>230</v>
      </c>
      <c r="D64" s="19" t="n">
        <v>136</v>
      </c>
      <c r="E64" s="19" t="n">
        <v>32</v>
      </c>
      <c r="F64" s="19" t="n">
        <v>20.5</v>
      </c>
      <c r="G64" s="20" t="s">
        <v>276</v>
      </c>
    </row>
    <row r="65" customFormat="false" ht="15" hidden="false" customHeight="false" outlineLevel="0" collapsed="false">
      <c r="A65" s="18" t="s">
        <v>277</v>
      </c>
      <c r="B65" s="18" t="s">
        <v>278</v>
      </c>
      <c r="C65" s="18" t="s">
        <v>230</v>
      </c>
      <c r="D65" s="19" t="n">
        <v>136</v>
      </c>
      <c r="E65" s="19" t="n">
        <v>43</v>
      </c>
      <c r="F65" s="19" t="n">
        <v>20.5</v>
      </c>
      <c r="G65" s="20" t="s">
        <v>279</v>
      </c>
    </row>
    <row r="66" customFormat="false" ht="15" hidden="false" customHeight="false" outlineLevel="0" collapsed="false">
      <c r="A66" s="18" t="s">
        <v>280</v>
      </c>
      <c r="B66" s="18" t="s">
        <v>281</v>
      </c>
      <c r="C66" s="18" t="s">
        <v>230</v>
      </c>
      <c r="D66" s="19" t="n">
        <v>136</v>
      </c>
      <c r="E66" s="19" t="n">
        <v>54</v>
      </c>
      <c r="F66" s="19" t="n">
        <v>20.5</v>
      </c>
      <c r="G66" s="20" t="s">
        <v>282</v>
      </c>
    </row>
    <row r="67" customFormat="false" ht="15" hidden="false" customHeight="false" outlineLevel="0" collapsed="false">
      <c r="A67" s="18" t="s">
        <v>283</v>
      </c>
      <c r="B67" s="18" t="s">
        <v>284</v>
      </c>
      <c r="C67" s="18" t="s">
        <v>285</v>
      </c>
      <c r="D67" s="19" t="n">
        <v>178</v>
      </c>
      <c r="E67" s="19" t="n">
        <v>58</v>
      </c>
      <c r="F67" s="19" t="n">
        <v>0.5</v>
      </c>
      <c r="G67" s="20" t="s">
        <v>286</v>
      </c>
    </row>
    <row r="68" customFormat="false" ht="15" hidden="false" customHeight="false" outlineLevel="0" collapsed="false">
      <c r="A68" s="18" t="s">
        <v>287</v>
      </c>
      <c r="B68" s="18" t="s">
        <v>288</v>
      </c>
      <c r="C68" s="18" t="s">
        <v>285</v>
      </c>
      <c r="D68" s="19" t="n">
        <v>182</v>
      </c>
      <c r="E68" s="19" t="n">
        <v>60</v>
      </c>
      <c r="F68" s="19" t="n">
        <v>0.5</v>
      </c>
      <c r="G68" s="20" t="s">
        <v>289</v>
      </c>
    </row>
    <row r="69" customFormat="false" ht="15" hidden="false" customHeight="false" outlineLevel="0" collapsed="false">
      <c r="A69" s="18" t="s">
        <v>290</v>
      </c>
      <c r="B69" s="18" t="s">
        <v>291</v>
      </c>
      <c r="C69" s="18" t="s">
        <v>285</v>
      </c>
      <c r="D69" s="19" t="n">
        <v>176</v>
      </c>
      <c r="E69" s="19" t="n">
        <v>60</v>
      </c>
      <c r="F69" s="19" t="n">
        <v>0.5</v>
      </c>
      <c r="G69" s="20" t="s">
        <v>289</v>
      </c>
    </row>
    <row r="70" customFormat="false" ht="15" hidden="false" customHeight="false" outlineLevel="0" collapsed="false">
      <c r="A70" s="18" t="s">
        <v>292</v>
      </c>
      <c r="B70" s="18" t="s">
        <v>293</v>
      </c>
      <c r="C70" s="18" t="s">
        <v>285</v>
      </c>
      <c r="D70" s="19" t="n">
        <v>174</v>
      </c>
      <c r="E70" s="19" t="n">
        <v>58</v>
      </c>
      <c r="F70" s="19" t="n">
        <v>0.5</v>
      </c>
      <c r="G70" s="20" t="s">
        <v>289</v>
      </c>
    </row>
    <row r="71" customFormat="false" ht="15" hidden="false" customHeight="false" outlineLevel="0" collapsed="false">
      <c r="A71" s="18" t="s">
        <v>294</v>
      </c>
      <c r="B71" s="18" t="s">
        <v>295</v>
      </c>
      <c r="C71" s="18" t="s">
        <v>285</v>
      </c>
      <c r="D71" s="19" t="n">
        <v>150</v>
      </c>
      <c r="E71" s="19" t="n">
        <v>-4</v>
      </c>
      <c r="F71" s="19" t="n">
        <v>0.5</v>
      </c>
      <c r="G71" s="20" t="s">
        <v>296</v>
      </c>
    </row>
    <row r="72" customFormat="false" ht="15" hidden="false" customHeight="false" outlineLevel="0" collapsed="false">
      <c r="A72" s="18" t="s">
        <v>297</v>
      </c>
      <c r="B72" s="18" t="s">
        <v>298</v>
      </c>
      <c r="C72" s="18" t="s">
        <v>285</v>
      </c>
      <c r="D72" s="19" t="n">
        <v>146</v>
      </c>
      <c r="E72" s="19" t="n">
        <v>6</v>
      </c>
      <c r="F72" s="19" t="n">
        <v>0.5</v>
      </c>
      <c r="G72" s="20" t="s">
        <v>299</v>
      </c>
    </row>
    <row r="73" customFormat="false" ht="15" hidden="false" customHeight="false" outlineLevel="0" collapsed="false">
      <c r="A73" s="18" t="s">
        <v>300</v>
      </c>
      <c r="B73" s="18" t="s">
        <v>301</v>
      </c>
      <c r="C73" s="18" t="s">
        <v>285</v>
      </c>
      <c r="D73" s="19" t="n">
        <v>146</v>
      </c>
      <c r="E73" s="19" t="n">
        <v>9</v>
      </c>
      <c r="F73" s="19" t="n">
        <v>0.5</v>
      </c>
      <c r="G73" s="20" t="s">
        <v>302</v>
      </c>
    </row>
    <row r="74" customFormat="false" ht="15" hidden="false" customHeight="false" outlineLevel="0" collapsed="false">
      <c r="A74" s="18" t="s">
        <v>303</v>
      </c>
      <c r="B74" s="18" t="s">
        <v>304</v>
      </c>
      <c r="C74" s="18" t="s">
        <v>285</v>
      </c>
      <c r="D74" s="19" t="n">
        <v>174</v>
      </c>
      <c r="E74" s="19" t="n">
        <v>16</v>
      </c>
      <c r="F74" s="19" t="n">
        <v>0.5</v>
      </c>
      <c r="G74" s="20" t="s">
        <v>305</v>
      </c>
    </row>
    <row r="75" customFormat="false" ht="15" hidden="false" customHeight="false" outlineLevel="0" collapsed="false">
      <c r="A75" s="18" t="s">
        <v>306</v>
      </c>
      <c r="B75" s="18" t="s">
        <v>307</v>
      </c>
      <c r="C75" s="18" t="s">
        <v>285</v>
      </c>
      <c r="D75" s="19" t="n">
        <v>177</v>
      </c>
      <c r="E75" s="19" t="n">
        <v>16</v>
      </c>
      <c r="F75" s="19" t="n">
        <v>0.5</v>
      </c>
      <c r="G75" s="20" t="s">
        <v>308</v>
      </c>
    </row>
    <row r="76" customFormat="false" ht="15" hidden="false" customHeight="false" outlineLevel="0" collapsed="false">
      <c r="A76" s="18" t="s">
        <v>309</v>
      </c>
      <c r="B76" s="18" t="s">
        <v>310</v>
      </c>
      <c r="C76" s="18" t="s">
        <v>285</v>
      </c>
      <c r="D76" s="19" t="n">
        <v>186</v>
      </c>
      <c r="E76" s="19" t="n">
        <v>12</v>
      </c>
      <c r="F76" s="19" t="n">
        <v>0.5</v>
      </c>
      <c r="G76" s="20" t="s">
        <v>311</v>
      </c>
    </row>
    <row r="77" customFormat="false" ht="15" hidden="false" customHeight="false" outlineLevel="0" collapsed="false">
      <c r="A77" s="18" t="s">
        <v>312</v>
      </c>
      <c r="B77" s="18" t="s">
        <v>313</v>
      </c>
      <c r="C77" s="18" t="s">
        <v>285</v>
      </c>
      <c r="D77" s="19" t="n">
        <v>186</v>
      </c>
      <c r="E77" s="19" t="n">
        <v>15</v>
      </c>
      <c r="F77" s="19" t="n">
        <v>0.5</v>
      </c>
      <c r="G77" s="20" t="s">
        <v>314</v>
      </c>
    </row>
    <row r="78" customFormat="false" ht="15" hidden="false" customHeight="false" outlineLevel="0" collapsed="false">
      <c r="A78" s="18" t="s">
        <v>315</v>
      </c>
      <c r="B78" s="18" t="s">
        <v>316</v>
      </c>
      <c r="C78" s="18" t="s">
        <v>285</v>
      </c>
      <c r="D78" s="19" t="n">
        <v>200</v>
      </c>
      <c r="E78" s="19" t="n">
        <v>24</v>
      </c>
      <c r="F78" s="19" t="n">
        <v>0.5</v>
      </c>
      <c r="G78" s="20" t="s">
        <v>317</v>
      </c>
    </row>
    <row r="79" customFormat="false" ht="15" hidden="false" customHeight="false" outlineLevel="0" collapsed="false">
      <c r="A79" s="18" t="s">
        <v>318</v>
      </c>
      <c r="B79" s="18" t="s">
        <v>319</v>
      </c>
      <c r="C79" s="18" t="s">
        <v>285</v>
      </c>
      <c r="D79" s="19" t="n">
        <v>195</v>
      </c>
      <c r="E79" s="19" t="n">
        <v>39</v>
      </c>
      <c r="F79" s="19" t="n">
        <v>0.5</v>
      </c>
      <c r="G79" s="20" t="s">
        <v>320</v>
      </c>
    </row>
    <row r="80" customFormat="false" ht="15" hidden="false" customHeight="false" outlineLevel="0" collapsed="false">
      <c r="A80" s="18" t="s">
        <v>321</v>
      </c>
      <c r="B80" s="18" t="s">
        <v>322</v>
      </c>
      <c r="C80" s="18" t="s">
        <v>285</v>
      </c>
      <c r="D80" s="19" t="n">
        <v>192</v>
      </c>
      <c r="E80" s="19" t="n">
        <v>34</v>
      </c>
      <c r="F80" s="19" t="n">
        <v>0.5</v>
      </c>
      <c r="G80" s="20" t="s">
        <v>323</v>
      </c>
    </row>
    <row r="81" customFormat="false" ht="15" hidden="false" customHeight="false" outlineLevel="0" collapsed="false">
      <c r="A81" s="18" t="s">
        <v>324</v>
      </c>
      <c r="B81" s="18" t="s">
        <v>325</v>
      </c>
      <c r="C81" s="18" t="s">
        <v>285</v>
      </c>
      <c r="D81" s="19" t="n">
        <v>214</v>
      </c>
      <c r="E81" s="19" t="n">
        <v>39</v>
      </c>
      <c r="F81" s="19" t="n">
        <v>0.5</v>
      </c>
      <c r="G81" s="20" t="s">
        <v>326</v>
      </c>
    </row>
    <row r="82" customFormat="false" ht="15" hidden="false" customHeight="false" outlineLevel="0" collapsed="false">
      <c r="A82" s="18" t="s">
        <v>327</v>
      </c>
      <c r="B82" s="18" t="s">
        <v>328</v>
      </c>
      <c r="C82" s="18" t="s">
        <v>285</v>
      </c>
      <c r="D82" s="19" t="n">
        <v>242</v>
      </c>
      <c r="E82" s="19" t="n">
        <v>39</v>
      </c>
      <c r="F82" s="19" t="n">
        <v>1</v>
      </c>
      <c r="G82" s="20" t="s">
        <v>329</v>
      </c>
    </row>
    <row r="83" customFormat="false" ht="15" hidden="false" customHeight="false" outlineLevel="0" collapsed="false">
      <c r="A83" s="18" t="s">
        <v>330</v>
      </c>
      <c r="B83" s="18" t="s">
        <v>331</v>
      </c>
      <c r="C83" s="18" t="s">
        <v>285</v>
      </c>
      <c r="D83" s="19" t="n">
        <v>170</v>
      </c>
      <c r="E83" s="19" t="n">
        <v>-2.5</v>
      </c>
      <c r="F83" s="19" t="n">
        <v>30</v>
      </c>
      <c r="G83" s="20" t="s">
        <v>308</v>
      </c>
    </row>
    <row r="84" customFormat="false" ht="15" hidden="false" customHeight="false" outlineLevel="0" collapsed="false">
      <c r="A84" s="18" t="s">
        <v>332</v>
      </c>
      <c r="B84" s="18" t="s">
        <v>333</v>
      </c>
      <c r="C84" s="18" t="s">
        <v>285</v>
      </c>
      <c r="D84" s="19" t="n">
        <v>190</v>
      </c>
      <c r="E84" s="19" t="n">
        <v>15.5</v>
      </c>
      <c r="F84" s="19" t="n">
        <v>20</v>
      </c>
      <c r="G84" s="20" t="s">
        <v>314</v>
      </c>
    </row>
    <row r="85" customFormat="false" ht="15" hidden="false" customHeight="false" outlineLevel="0" collapsed="false">
      <c r="A85" s="18" t="s">
        <v>334</v>
      </c>
      <c r="B85" s="18" t="s">
        <v>335</v>
      </c>
      <c r="C85" s="18" t="s">
        <v>285</v>
      </c>
      <c r="D85" s="19" t="n">
        <v>172</v>
      </c>
      <c r="E85" s="19" t="n">
        <v>-3</v>
      </c>
      <c r="F85" s="19" t="n">
        <v>1</v>
      </c>
      <c r="G85" s="20" t="s">
        <v>336</v>
      </c>
    </row>
    <row r="86" customFormat="false" ht="15" hidden="false" customHeight="false" outlineLevel="0" collapsed="false">
      <c r="A86" s="18" t="s">
        <v>337</v>
      </c>
      <c r="B86" s="18" t="s">
        <v>338</v>
      </c>
      <c r="C86" s="18" t="s">
        <v>285</v>
      </c>
      <c r="D86" s="19" t="n">
        <v>170</v>
      </c>
      <c r="E86" s="19" t="n">
        <v>6</v>
      </c>
      <c r="F86" s="19" t="n">
        <v>0</v>
      </c>
      <c r="G86" s="20" t="s">
        <v>308</v>
      </c>
    </row>
    <row r="87" customFormat="false" ht="15" hidden="false" customHeight="false" outlineLevel="0" collapsed="false">
      <c r="A87" s="18" t="s">
        <v>339</v>
      </c>
      <c r="B87" s="18" t="s">
        <v>340</v>
      </c>
      <c r="C87" s="18" t="s">
        <v>285</v>
      </c>
      <c r="D87" s="19" t="n">
        <v>190</v>
      </c>
      <c r="E87" s="19" t="n">
        <v>25</v>
      </c>
      <c r="F87" s="19" t="n">
        <v>-0.8</v>
      </c>
      <c r="G87" s="20" t="s">
        <v>227</v>
      </c>
    </row>
    <row r="88" customFormat="false" ht="15" hidden="false" customHeight="false" outlineLevel="0" collapsed="false">
      <c r="A88" s="18" t="s">
        <v>341</v>
      </c>
      <c r="B88" s="18" t="s">
        <v>342</v>
      </c>
      <c r="C88" s="18" t="s">
        <v>127</v>
      </c>
      <c r="D88" s="19" t="n">
        <v>12</v>
      </c>
      <c r="E88" s="19" t="n">
        <v>99</v>
      </c>
      <c r="F88" s="19" t="n">
        <v>0.5</v>
      </c>
      <c r="G88" s="20" t="s">
        <v>343</v>
      </c>
    </row>
    <row r="89" customFormat="false" ht="15" hidden="false" customHeight="false" outlineLevel="0" collapsed="false">
      <c r="A89" s="18" t="s">
        <v>344</v>
      </c>
      <c r="B89" s="18" t="s">
        <v>345</v>
      </c>
      <c r="C89" s="18" t="s">
        <v>127</v>
      </c>
      <c r="D89" s="19" t="n">
        <v>10</v>
      </c>
      <c r="E89" s="19" t="n">
        <v>104</v>
      </c>
      <c r="F89" s="19" t="n">
        <v>0.5</v>
      </c>
      <c r="G89" s="21" t="s">
        <v>156</v>
      </c>
    </row>
    <row r="90" customFormat="false" ht="15" hidden="false" customHeight="false" outlineLevel="0" collapsed="false">
      <c r="A90" s="18" t="s">
        <v>346</v>
      </c>
      <c r="B90" s="18" t="s">
        <v>347</v>
      </c>
      <c r="C90" s="18" t="s">
        <v>127</v>
      </c>
      <c r="D90" s="19" t="n">
        <v>16</v>
      </c>
      <c r="E90" s="19" t="n">
        <v>99</v>
      </c>
      <c r="F90" s="19" t="n">
        <v>0.5</v>
      </c>
      <c r="G90" s="20" t="s">
        <v>348</v>
      </c>
    </row>
    <row r="91" customFormat="false" ht="15" hidden="false" customHeight="false" outlineLevel="0" collapsed="false">
      <c r="A91" s="18" t="s">
        <v>349</v>
      </c>
      <c r="B91" s="18" t="s">
        <v>350</v>
      </c>
      <c r="C91" s="18" t="s">
        <v>127</v>
      </c>
      <c r="D91" s="19" t="n">
        <v>8</v>
      </c>
      <c r="E91" s="19" t="n">
        <v>99</v>
      </c>
      <c r="F91" s="19" t="n">
        <v>0.5</v>
      </c>
      <c r="G91" s="20" t="s">
        <v>348</v>
      </c>
    </row>
    <row r="92" customFormat="false" ht="15" hidden="false" customHeight="false" outlineLevel="0" collapsed="false">
      <c r="A92" s="18" t="s">
        <v>351</v>
      </c>
      <c r="B92" s="18" t="s">
        <v>352</v>
      </c>
      <c r="C92" s="18" t="s">
        <v>127</v>
      </c>
      <c r="D92" s="19" t="n">
        <v>-4</v>
      </c>
      <c r="E92" s="19" t="n">
        <v>85</v>
      </c>
      <c r="F92" s="19" t="n">
        <v>-0.8</v>
      </c>
      <c r="G92" s="20" t="s">
        <v>227</v>
      </c>
    </row>
    <row r="93" customFormat="false" ht="15" hidden="false" customHeight="false" outlineLevel="0" collapsed="false">
      <c r="A93" s="18" t="s">
        <v>353</v>
      </c>
      <c r="B93" s="18" t="s">
        <v>354</v>
      </c>
      <c r="C93" s="18" t="s">
        <v>127</v>
      </c>
      <c r="D93" s="19" t="n">
        <v>2.2</v>
      </c>
      <c r="E93" s="19" t="n">
        <v>71.45</v>
      </c>
      <c r="F93" s="19" t="n">
        <v>1.5</v>
      </c>
      <c r="G93" s="20" t="s">
        <v>355</v>
      </c>
    </row>
    <row r="94" customFormat="false" ht="15" hidden="false" customHeight="false" outlineLevel="0" collapsed="false">
      <c r="A94" s="18" t="s">
        <v>356</v>
      </c>
      <c r="B94" s="18" t="s">
        <v>357</v>
      </c>
      <c r="C94" s="18" t="s">
        <v>127</v>
      </c>
      <c r="D94" s="19" t="n">
        <v>2.2</v>
      </c>
      <c r="E94" s="19" t="n">
        <v>75.65</v>
      </c>
      <c r="F94" s="19" t="n">
        <v>1.5</v>
      </c>
      <c r="G94" s="20" t="s">
        <v>358</v>
      </c>
    </row>
    <row r="95" customFormat="false" ht="15" hidden="false" customHeight="false" outlineLevel="0" collapsed="false">
      <c r="A95" s="18" t="s">
        <v>359</v>
      </c>
      <c r="B95" s="18" t="s">
        <v>360</v>
      </c>
      <c r="C95" s="18" t="s">
        <v>127</v>
      </c>
      <c r="D95" s="19" t="n">
        <v>2.2</v>
      </c>
      <c r="E95" s="19" t="n">
        <v>79.85</v>
      </c>
      <c r="F95" s="19" t="n">
        <v>1.5</v>
      </c>
      <c r="G95" s="20" t="s">
        <v>361</v>
      </c>
    </row>
    <row r="96" customFormat="false" ht="15" hidden="false" customHeight="false" outlineLevel="0" collapsed="false">
      <c r="A96" s="18" t="s">
        <v>362</v>
      </c>
      <c r="B96" s="18" t="s">
        <v>363</v>
      </c>
      <c r="C96" s="18" t="s">
        <v>127</v>
      </c>
      <c r="D96" s="19" t="n">
        <v>2.2</v>
      </c>
      <c r="E96" s="19" t="n">
        <v>84.05</v>
      </c>
      <c r="F96" s="19" t="n">
        <v>1.5</v>
      </c>
      <c r="G96" s="20" t="s">
        <v>364</v>
      </c>
    </row>
    <row r="97" customFormat="false" ht="15" hidden="false" customHeight="false" outlineLevel="0" collapsed="false">
      <c r="A97" s="18" t="s">
        <v>365</v>
      </c>
      <c r="B97" s="18" t="s">
        <v>366</v>
      </c>
      <c r="C97" s="18" t="s">
        <v>127</v>
      </c>
      <c r="D97" s="19" t="n">
        <v>2.2</v>
      </c>
      <c r="E97" s="19" t="n">
        <v>88.25</v>
      </c>
      <c r="F97" s="19" t="n">
        <v>1.5</v>
      </c>
      <c r="G97" s="20" t="s">
        <v>367</v>
      </c>
    </row>
    <row r="98" customFormat="false" ht="15" hidden="false" customHeight="false" outlineLevel="0" collapsed="false">
      <c r="A98" s="18" t="s">
        <v>368</v>
      </c>
      <c r="B98" s="18" t="s">
        <v>369</v>
      </c>
      <c r="C98" s="18" t="s">
        <v>127</v>
      </c>
      <c r="D98" s="19" t="n">
        <v>2.2</v>
      </c>
      <c r="E98" s="19" t="n">
        <v>92.45</v>
      </c>
      <c r="F98" s="19" t="n">
        <v>1.5</v>
      </c>
      <c r="G98" s="20" t="s">
        <v>370</v>
      </c>
    </row>
    <row r="99" customFormat="false" ht="15" hidden="false" customHeight="false" outlineLevel="0" collapsed="false">
      <c r="A99" s="18" t="s">
        <v>371</v>
      </c>
      <c r="B99" s="18" t="s">
        <v>372</v>
      </c>
      <c r="C99" s="18" t="s">
        <v>127</v>
      </c>
      <c r="D99" s="19" t="n">
        <v>2.2</v>
      </c>
      <c r="E99" s="19" t="n">
        <v>96.65</v>
      </c>
      <c r="F99" s="19" t="n">
        <v>1.5</v>
      </c>
      <c r="G99" s="20" t="s">
        <v>373</v>
      </c>
    </row>
    <row r="100" customFormat="false" ht="15" hidden="false" customHeight="false" outlineLevel="0" collapsed="false">
      <c r="A100" s="18" t="s">
        <v>374</v>
      </c>
      <c r="B100" s="18" t="s">
        <v>375</v>
      </c>
      <c r="C100" s="18" t="s">
        <v>127</v>
      </c>
      <c r="D100" s="19" t="n">
        <v>2.2</v>
      </c>
      <c r="E100" s="19" t="n">
        <v>100.85</v>
      </c>
      <c r="F100" s="19" t="n">
        <v>1.5</v>
      </c>
      <c r="G100" s="20" t="s">
        <v>376</v>
      </c>
    </row>
    <row r="101" customFormat="false" ht="15" hidden="false" customHeight="false" outlineLevel="0" collapsed="false">
      <c r="A101" s="18" t="s">
        <v>377</v>
      </c>
      <c r="B101" s="18" t="s">
        <v>378</v>
      </c>
      <c r="C101" s="18" t="s">
        <v>127</v>
      </c>
      <c r="D101" s="19" t="n">
        <v>-4</v>
      </c>
      <c r="E101" s="19" t="n">
        <v>71.45</v>
      </c>
      <c r="F101" s="19" t="n">
        <v>1</v>
      </c>
      <c r="G101" s="20" t="s">
        <v>355</v>
      </c>
    </row>
    <row r="102" customFormat="false" ht="15" hidden="false" customHeight="false" outlineLevel="0" collapsed="false">
      <c r="A102" s="18" t="s">
        <v>379</v>
      </c>
      <c r="B102" s="18" t="s">
        <v>380</v>
      </c>
      <c r="C102" s="18" t="s">
        <v>127</v>
      </c>
      <c r="D102" s="19" t="n">
        <v>-4</v>
      </c>
      <c r="E102" s="19" t="n">
        <v>75.65</v>
      </c>
      <c r="F102" s="19" t="n">
        <v>1</v>
      </c>
      <c r="G102" s="20" t="s">
        <v>358</v>
      </c>
    </row>
    <row r="103" customFormat="false" ht="15" hidden="false" customHeight="false" outlineLevel="0" collapsed="false">
      <c r="A103" s="18" t="s">
        <v>381</v>
      </c>
      <c r="B103" s="18" t="s">
        <v>382</v>
      </c>
      <c r="C103" s="18" t="s">
        <v>127</v>
      </c>
      <c r="D103" s="19" t="n">
        <v>-4</v>
      </c>
      <c r="E103" s="19" t="n">
        <v>79.85</v>
      </c>
      <c r="F103" s="19" t="n">
        <v>1</v>
      </c>
      <c r="G103" s="20" t="s">
        <v>361</v>
      </c>
    </row>
    <row r="104" customFormat="false" ht="15" hidden="false" customHeight="false" outlineLevel="0" collapsed="false">
      <c r="A104" s="18" t="s">
        <v>383</v>
      </c>
      <c r="B104" s="18" t="s">
        <v>384</v>
      </c>
      <c r="C104" s="18" t="s">
        <v>127</v>
      </c>
      <c r="D104" s="19" t="n">
        <v>-4</v>
      </c>
      <c r="E104" s="19" t="n">
        <v>84.05</v>
      </c>
      <c r="F104" s="19" t="n">
        <v>1</v>
      </c>
      <c r="G104" s="20" t="s">
        <v>364</v>
      </c>
    </row>
    <row r="105" customFormat="false" ht="15" hidden="false" customHeight="false" outlineLevel="0" collapsed="false">
      <c r="A105" s="18" t="s">
        <v>385</v>
      </c>
      <c r="B105" s="18" t="s">
        <v>386</v>
      </c>
      <c r="C105" s="18" t="s">
        <v>127</v>
      </c>
      <c r="D105" s="19" t="n">
        <v>-4</v>
      </c>
      <c r="E105" s="19" t="n">
        <v>88.25</v>
      </c>
      <c r="F105" s="19" t="n">
        <v>1</v>
      </c>
      <c r="G105" s="20" t="s">
        <v>367</v>
      </c>
    </row>
    <row r="106" customFormat="false" ht="15" hidden="false" customHeight="false" outlineLevel="0" collapsed="false">
      <c r="A106" s="18" t="s">
        <v>387</v>
      </c>
      <c r="B106" s="18" t="s">
        <v>388</v>
      </c>
      <c r="C106" s="18" t="s">
        <v>127</v>
      </c>
      <c r="D106" s="19" t="n">
        <v>-4</v>
      </c>
      <c r="E106" s="19" t="n">
        <v>92.45</v>
      </c>
      <c r="F106" s="19" t="n">
        <v>1</v>
      </c>
      <c r="G106" s="20" t="s">
        <v>370</v>
      </c>
    </row>
    <row r="107" customFormat="false" ht="15" hidden="false" customHeight="false" outlineLevel="0" collapsed="false">
      <c r="A107" s="18" t="s">
        <v>389</v>
      </c>
      <c r="B107" s="18" t="s">
        <v>390</v>
      </c>
      <c r="C107" s="18" t="s">
        <v>127</v>
      </c>
      <c r="D107" s="19" t="n">
        <v>-4</v>
      </c>
      <c r="E107" s="19" t="n">
        <v>96.65</v>
      </c>
      <c r="F107" s="19" t="n">
        <v>1</v>
      </c>
      <c r="G107" s="20" t="s">
        <v>373</v>
      </c>
    </row>
    <row r="108" customFormat="false" ht="15" hidden="false" customHeight="false" outlineLevel="0" collapsed="false">
      <c r="A108" s="18" t="s">
        <v>391</v>
      </c>
      <c r="B108" s="18" t="s">
        <v>392</v>
      </c>
      <c r="C108" s="18" t="s">
        <v>127</v>
      </c>
      <c r="D108" s="19" t="n">
        <v>-4</v>
      </c>
      <c r="E108" s="19" t="n">
        <v>100.85</v>
      </c>
      <c r="F108" s="19" t="n">
        <v>1</v>
      </c>
      <c r="G108" s="20" t="s">
        <v>376</v>
      </c>
    </row>
    <row r="109" customFormat="false" ht="15" hidden="false" customHeight="false" outlineLevel="0" collapsed="false">
      <c r="A109" s="18" t="s">
        <v>393</v>
      </c>
      <c r="B109" s="18" t="s">
        <v>394</v>
      </c>
      <c r="C109" s="18" t="s">
        <v>395</v>
      </c>
      <c r="D109" s="19" t="n">
        <v>-60</v>
      </c>
      <c r="E109" s="19" t="n">
        <v>10</v>
      </c>
      <c r="F109" s="19" t="n">
        <v>0</v>
      </c>
      <c r="G109" s="20" t="s">
        <v>396</v>
      </c>
    </row>
    <row r="110" customFormat="false" ht="15" hidden="false" customHeight="false" outlineLevel="0" collapsed="false">
      <c r="A110" s="18" t="s">
        <v>397</v>
      </c>
      <c r="B110" s="18" t="s">
        <v>398</v>
      </c>
      <c r="C110" s="18" t="s">
        <v>395</v>
      </c>
      <c r="D110" s="19" t="n">
        <v>-60</v>
      </c>
      <c r="E110" s="19" t="n">
        <v>10</v>
      </c>
      <c r="F110" s="19" t="n">
        <v>24</v>
      </c>
      <c r="G110" s="20" t="s">
        <v>399</v>
      </c>
    </row>
    <row r="111" customFormat="false" ht="15" hidden="false" customHeight="false" outlineLevel="0" collapsed="false">
      <c r="A111" s="18" t="s">
        <v>400</v>
      </c>
      <c r="B111" s="18" t="s">
        <v>401</v>
      </c>
      <c r="C111" s="18" t="s">
        <v>395</v>
      </c>
      <c r="D111" s="19" t="n">
        <v>-58</v>
      </c>
      <c r="E111" s="19" t="n">
        <v>12</v>
      </c>
      <c r="F111" s="19" t="n">
        <v>24</v>
      </c>
      <c r="G111" s="20" t="s">
        <v>399</v>
      </c>
    </row>
    <row r="112" customFormat="false" ht="15" hidden="false" customHeight="false" outlineLevel="0" collapsed="false">
      <c r="A112" s="18" t="s">
        <v>402</v>
      </c>
      <c r="B112" s="18" t="s">
        <v>403</v>
      </c>
      <c r="C112" s="18" t="s">
        <v>395</v>
      </c>
      <c r="D112" s="19" t="n">
        <v>-60</v>
      </c>
      <c r="E112" s="19" t="n">
        <v>-6</v>
      </c>
      <c r="F112" s="19" t="n">
        <v>24</v>
      </c>
      <c r="G112" s="20" t="s">
        <v>404</v>
      </c>
    </row>
    <row r="113" customFormat="false" ht="15" hidden="false" customHeight="false" outlineLevel="0" collapsed="false">
      <c r="A113" s="18" t="s">
        <v>405</v>
      </c>
      <c r="B113" s="18" t="s">
        <v>406</v>
      </c>
      <c r="C113" s="18" t="s">
        <v>395</v>
      </c>
      <c r="D113" s="19" t="n">
        <v>-45</v>
      </c>
      <c r="E113" s="19" t="n">
        <v>25</v>
      </c>
      <c r="F113" s="19" t="n">
        <v>0.5</v>
      </c>
      <c r="G113" s="21" t="s">
        <v>407</v>
      </c>
    </row>
    <row r="114" customFormat="false" ht="15" hidden="false" customHeight="false" outlineLevel="0" collapsed="false">
      <c r="A114" s="18" t="s">
        <v>408</v>
      </c>
      <c r="B114" s="18" t="s">
        <v>409</v>
      </c>
      <c r="C114" s="18" t="s">
        <v>395</v>
      </c>
      <c r="D114" s="19" t="n">
        <v>-44</v>
      </c>
      <c r="E114" s="19" t="n">
        <v>8</v>
      </c>
      <c r="F114" s="19" t="n">
        <v>0.5</v>
      </c>
      <c r="G114" s="20" t="s">
        <v>410</v>
      </c>
    </row>
    <row r="115" customFormat="false" ht="15" hidden="false" customHeight="false" outlineLevel="0" collapsed="false">
      <c r="A115" s="18" t="s">
        <v>411</v>
      </c>
      <c r="B115" s="18" t="s">
        <v>412</v>
      </c>
      <c r="C115" s="18" t="s">
        <v>395</v>
      </c>
      <c r="D115" s="19" t="n">
        <v>-42</v>
      </c>
      <c r="E115" s="19" t="n">
        <v>4</v>
      </c>
      <c r="F115" s="19" t="n">
        <v>0.5</v>
      </c>
      <c r="G115" s="21" t="s">
        <v>156</v>
      </c>
    </row>
    <row r="116" customFormat="false" ht="15" hidden="false" customHeight="false" outlineLevel="0" collapsed="false">
      <c r="A116" s="18" t="s">
        <v>413</v>
      </c>
      <c r="B116" s="18" t="s">
        <v>414</v>
      </c>
      <c r="C116" s="18" t="s">
        <v>395</v>
      </c>
      <c r="D116" s="19" t="n">
        <v>-24</v>
      </c>
      <c r="E116" s="19" t="n">
        <v>10</v>
      </c>
      <c r="F116" s="19" t="n">
        <v>4</v>
      </c>
      <c r="G116" s="20" t="s">
        <v>415</v>
      </c>
    </row>
    <row r="117" customFormat="false" ht="15" hidden="false" customHeight="false" outlineLevel="0" collapsed="false">
      <c r="A117" s="18" t="s">
        <v>416</v>
      </c>
      <c r="B117" s="18" t="s">
        <v>417</v>
      </c>
      <c r="C117" s="18" t="s">
        <v>395</v>
      </c>
      <c r="D117" s="19" t="n">
        <v>-12</v>
      </c>
      <c r="E117" s="19" t="n">
        <v>16</v>
      </c>
      <c r="F117" s="19" t="n">
        <v>0.5</v>
      </c>
      <c r="G117" s="21" t="s">
        <v>418</v>
      </c>
    </row>
    <row r="118" customFormat="false" ht="15" hidden="false" customHeight="false" outlineLevel="0" collapsed="false">
      <c r="A118" s="18" t="s">
        <v>419</v>
      </c>
      <c r="B118" s="18" t="s">
        <v>420</v>
      </c>
      <c r="C118" s="18" t="s">
        <v>395</v>
      </c>
      <c r="D118" s="19" t="n">
        <v>-20</v>
      </c>
      <c r="E118" s="19" t="n">
        <v>12</v>
      </c>
      <c r="F118" s="19" t="n">
        <v>0.5</v>
      </c>
      <c r="G118" s="20" t="s">
        <v>421</v>
      </c>
    </row>
    <row r="119" customFormat="false" ht="15" hidden="false" customHeight="false" outlineLevel="0" collapsed="false">
      <c r="A119" s="18" t="s">
        <v>422</v>
      </c>
      <c r="B119" s="18" t="s">
        <v>423</v>
      </c>
      <c r="C119" s="18" t="s">
        <v>395</v>
      </c>
      <c r="D119" s="19" t="n">
        <v>-18</v>
      </c>
      <c r="E119" s="19" t="n">
        <v>12</v>
      </c>
      <c r="F119" s="19" t="n">
        <v>0.5</v>
      </c>
      <c r="G119" s="20" t="s">
        <v>424</v>
      </c>
    </row>
    <row r="120" customFormat="false" ht="15" hidden="false" customHeight="false" outlineLevel="0" collapsed="false">
      <c r="A120" s="18" t="s">
        <v>425</v>
      </c>
      <c r="B120" s="18" t="s">
        <v>426</v>
      </c>
      <c r="C120" s="18" t="s">
        <v>395</v>
      </c>
      <c r="D120" s="19" t="n">
        <v>-17</v>
      </c>
      <c r="E120" s="19" t="n">
        <v>12</v>
      </c>
      <c r="F120" s="19" t="n">
        <v>0.5</v>
      </c>
      <c r="G120" s="20" t="s">
        <v>424</v>
      </c>
    </row>
    <row r="121" customFormat="false" ht="15" hidden="false" customHeight="false" outlineLevel="0" collapsed="false">
      <c r="A121" s="18" t="s">
        <v>427</v>
      </c>
      <c r="B121" s="18" t="s">
        <v>428</v>
      </c>
      <c r="C121" s="18" t="s">
        <v>395</v>
      </c>
      <c r="D121" s="19" t="n">
        <v>-22</v>
      </c>
      <c r="E121" s="19" t="n">
        <v>12</v>
      </c>
      <c r="F121" s="19" t="n">
        <v>0.5</v>
      </c>
      <c r="G121" s="20" t="s">
        <v>424</v>
      </c>
    </row>
    <row r="122" customFormat="false" ht="15" hidden="false" customHeight="false" outlineLevel="0" collapsed="false">
      <c r="A122" s="18" t="s">
        <v>429</v>
      </c>
      <c r="B122" s="18" t="s">
        <v>430</v>
      </c>
      <c r="C122" s="18" t="s">
        <v>395</v>
      </c>
      <c r="D122" s="19" t="n">
        <v>-7.25</v>
      </c>
      <c r="E122" s="19" t="n">
        <v>-3</v>
      </c>
      <c r="F122" s="19" t="n">
        <v>2.2</v>
      </c>
      <c r="G122" s="20" t="s">
        <v>431</v>
      </c>
    </row>
    <row r="123" customFormat="false" ht="15" hidden="false" customHeight="false" outlineLevel="0" collapsed="false">
      <c r="A123" s="18" t="s">
        <v>432</v>
      </c>
      <c r="B123" s="18" t="s">
        <v>433</v>
      </c>
      <c r="C123" s="18" t="s">
        <v>395</v>
      </c>
      <c r="D123" s="19" t="n">
        <v>-7.25</v>
      </c>
      <c r="E123" s="19" t="n">
        <v>0</v>
      </c>
      <c r="F123" s="19" t="n">
        <v>2.2</v>
      </c>
      <c r="G123" s="20" t="s">
        <v>434</v>
      </c>
    </row>
    <row r="124" customFormat="false" ht="15" hidden="false" customHeight="false" outlineLevel="0" collapsed="false">
      <c r="A124" s="18" t="s">
        <v>435</v>
      </c>
      <c r="B124" s="18" t="s">
        <v>436</v>
      </c>
      <c r="C124" s="18" t="s">
        <v>395</v>
      </c>
      <c r="D124" s="19" t="n">
        <v>-7.25</v>
      </c>
      <c r="E124" s="19" t="n">
        <v>3</v>
      </c>
      <c r="F124" s="19" t="n">
        <v>2.2</v>
      </c>
      <c r="G124" s="20" t="s">
        <v>437</v>
      </c>
    </row>
    <row r="125" customFormat="false" ht="15" hidden="false" customHeight="false" outlineLevel="0" collapsed="false">
      <c r="A125" s="18" t="s">
        <v>438</v>
      </c>
      <c r="B125" s="18" t="s">
        <v>439</v>
      </c>
      <c r="C125" s="18" t="s">
        <v>395</v>
      </c>
      <c r="D125" s="19" t="n">
        <v>1.5</v>
      </c>
      <c r="E125" s="19" t="n">
        <v>1.5</v>
      </c>
      <c r="F125" s="19" t="n">
        <v>2.5</v>
      </c>
      <c r="G125" s="20" t="s">
        <v>440</v>
      </c>
    </row>
    <row r="126" customFormat="false" ht="15" hidden="false" customHeight="false" outlineLevel="0" collapsed="false">
      <c r="A126" s="18" t="s">
        <v>441</v>
      </c>
      <c r="B126" s="18" t="s">
        <v>442</v>
      </c>
      <c r="C126" s="18" t="s">
        <v>395</v>
      </c>
      <c r="D126" s="19" t="n">
        <v>2</v>
      </c>
      <c r="E126" s="19" t="n">
        <v>7</v>
      </c>
      <c r="F126" s="19" t="n">
        <v>1.5</v>
      </c>
      <c r="G126" s="20" t="s">
        <v>443</v>
      </c>
    </row>
    <row r="127" customFormat="false" ht="15" hidden="false" customHeight="false" outlineLevel="0" collapsed="false">
      <c r="A127" s="18" t="s">
        <v>444</v>
      </c>
      <c r="B127" s="18" t="s">
        <v>445</v>
      </c>
      <c r="C127" s="18" t="s">
        <v>395</v>
      </c>
      <c r="D127" s="19" t="n">
        <v>-10</v>
      </c>
      <c r="E127" s="19" t="n">
        <v>8</v>
      </c>
      <c r="F127" s="19" t="n">
        <v>0.5</v>
      </c>
      <c r="G127" s="20" t="s">
        <v>446</v>
      </c>
    </row>
    <row r="128" customFormat="false" ht="15" hidden="false" customHeight="false" outlineLevel="0" collapsed="false">
      <c r="A128" s="18" t="s">
        <v>447</v>
      </c>
      <c r="B128" s="18" t="s">
        <v>448</v>
      </c>
      <c r="C128" s="18" t="s">
        <v>395</v>
      </c>
      <c r="D128" s="19" t="n">
        <v>-30</v>
      </c>
      <c r="E128" s="19" t="n">
        <v>5</v>
      </c>
      <c r="F128" s="19" t="n">
        <v>-0.8</v>
      </c>
      <c r="G128" s="20" t="s">
        <v>227</v>
      </c>
    </row>
    <row r="129" customFormat="false" ht="15" hidden="false" customHeight="false" outlineLevel="0" collapsed="false">
      <c r="A129" s="18" t="s">
        <v>449</v>
      </c>
      <c r="B129" s="18" t="s">
        <v>450</v>
      </c>
      <c r="C129" s="18" t="s">
        <v>451</v>
      </c>
      <c r="D129" s="19" t="n">
        <v>36</v>
      </c>
      <c r="E129" s="19" t="n">
        <v>52</v>
      </c>
      <c r="F129" s="19" t="n">
        <v>0.5</v>
      </c>
      <c r="G129" s="20" t="s">
        <v>452</v>
      </c>
    </row>
    <row r="130" customFormat="false" ht="15" hidden="false" customHeight="false" outlineLevel="0" collapsed="false">
      <c r="A130" s="18" t="s">
        <v>453</v>
      </c>
      <c r="B130" s="18" t="s">
        <v>454</v>
      </c>
      <c r="C130" s="18" t="s">
        <v>451</v>
      </c>
      <c r="D130" s="19" t="n">
        <v>44</v>
      </c>
      <c r="E130" s="19" t="n">
        <v>52</v>
      </c>
      <c r="F130" s="19" t="n">
        <v>0.5</v>
      </c>
      <c r="G130" s="20" t="s">
        <v>348</v>
      </c>
    </row>
    <row r="131" customFormat="false" ht="15" hidden="false" customHeight="false" outlineLevel="0" collapsed="false">
      <c r="A131" s="18" t="s">
        <v>455</v>
      </c>
      <c r="B131" s="18" t="s">
        <v>456</v>
      </c>
      <c r="C131" s="18" t="s">
        <v>451</v>
      </c>
      <c r="D131" s="19" t="n">
        <v>34</v>
      </c>
      <c r="E131" s="19" t="n">
        <v>57</v>
      </c>
      <c r="F131" s="19" t="n">
        <v>0.5</v>
      </c>
      <c r="G131" s="20" t="s">
        <v>457</v>
      </c>
    </row>
    <row r="132" customFormat="false" ht="15" hidden="false" customHeight="false" outlineLevel="0" collapsed="false">
      <c r="A132" s="18" t="s">
        <v>458</v>
      </c>
      <c r="B132" s="18" t="s">
        <v>459</v>
      </c>
      <c r="C132" s="18" t="s">
        <v>451</v>
      </c>
      <c r="D132" s="19" t="n">
        <v>40</v>
      </c>
      <c r="E132" s="19" t="n">
        <v>55</v>
      </c>
      <c r="F132" s="19" t="n">
        <v>0.5</v>
      </c>
      <c r="G132" s="20" t="s">
        <v>348</v>
      </c>
    </row>
    <row r="133" customFormat="false" ht="15" hidden="false" customHeight="false" outlineLevel="0" collapsed="false">
      <c r="A133" s="18" t="s">
        <v>460</v>
      </c>
      <c r="B133" s="18" t="s">
        <v>461</v>
      </c>
      <c r="C133" s="18" t="s">
        <v>451</v>
      </c>
      <c r="D133" s="19" t="n">
        <v>38</v>
      </c>
      <c r="E133" s="19" t="n">
        <v>55</v>
      </c>
      <c r="F133" s="19" t="n">
        <v>0.5</v>
      </c>
      <c r="G133" s="20" t="s">
        <v>348</v>
      </c>
    </row>
    <row r="134" customFormat="false" ht="15" hidden="false" customHeight="false" outlineLevel="0" collapsed="false">
      <c r="A134" s="18" t="s">
        <v>462</v>
      </c>
      <c r="B134" s="18" t="s">
        <v>463</v>
      </c>
      <c r="C134" s="18" t="s">
        <v>451</v>
      </c>
      <c r="D134" s="19" t="n">
        <v>42</v>
      </c>
      <c r="E134" s="19" t="n">
        <v>55</v>
      </c>
      <c r="F134" s="19" t="n">
        <v>0.5</v>
      </c>
      <c r="G134" s="20" t="s">
        <v>348</v>
      </c>
    </row>
    <row r="135" customFormat="false" ht="15" hidden="false" customHeight="false" outlineLevel="0" collapsed="false">
      <c r="A135" s="18" t="s">
        <v>464</v>
      </c>
      <c r="B135" s="18" t="s">
        <v>465</v>
      </c>
      <c r="C135" s="18" t="s">
        <v>451</v>
      </c>
      <c r="D135" s="19" t="n">
        <v>43</v>
      </c>
      <c r="E135" s="19" t="n">
        <v>55</v>
      </c>
      <c r="F135" s="19" t="n">
        <v>0.5</v>
      </c>
      <c r="G135" s="20" t="s">
        <v>348</v>
      </c>
    </row>
    <row r="136" customFormat="false" ht="15" hidden="false" customHeight="false" outlineLevel="0" collapsed="false">
      <c r="A136" s="18" t="s">
        <v>466</v>
      </c>
      <c r="B136" s="18" t="s">
        <v>467</v>
      </c>
      <c r="C136" s="18" t="s">
        <v>451</v>
      </c>
      <c r="D136" s="19" t="n">
        <v>39</v>
      </c>
      <c r="E136" s="19" t="n">
        <v>55.5</v>
      </c>
      <c r="F136" s="19" t="n">
        <v>0.5</v>
      </c>
      <c r="G136" s="20" t="s">
        <v>348</v>
      </c>
    </row>
    <row r="137" customFormat="false" ht="15" hidden="false" customHeight="false" outlineLevel="0" collapsed="false">
      <c r="A137" s="18" t="s">
        <v>468</v>
      </c>
      <c r="B137" s="18" t="s">
        <v>469</v>
      </c>
      <c r="C137" s="18" t="s">
        <v>102</v>
      </c>
      <c r="D137" s="19" t="n">
        <v>50</v>
      </c>
      <c r="E137" s="19" t="n">
        <v>137.5</v>
      </c>
      <c r="F137" s="19" t="n">
        <v>-0.8</v>
      </c>
      <c r="G137" s="20" t="s">
        <v>227</v>
      </c>
    </row>
  </sheetData>
  <autoFilter ref="A1:G1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52"/>
    <col collapsed="false" customWidth="true" hidden="false" outlineLevel="0" max="4" min="3" style="0" width="1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9" min="8" style="0" width="12"/>
    <col collapsed="false" customWidth="true" hidden="false" outlineLevel="0" max="10" min="10" style="0" width="50"/>
  </cols>
  <sheetData>
    <row r="1" customFormat="false" ht="32.8" hidden="false" customHeight="false" outlineLevel="0" collapsed="false">
      <c r="A1" s="17" t="s">
        <v>470</v>
      </c>
      <c r="B1" s="17" t="s">
        <v>94</v>
      </c>
      <c r="C1" s="17" t="s">
        <v>471</v>
      </c>
      <c r="D1" s="17" t="s">
        <v>472</v>
      </c>
      <c r="E1" s="17" t="s">
        <v>473</v>
      </c>
      <c r="F1" s="17" t="s">
        <v>474</v>
      </c>
      <c r="G1" s="17" t="s">
        <v>475</v>
      </c>
      <c r="H1" s="17" t="s">
        <v>476</v>
      </c>
      <c r="I1" s="17" t="s">
        <v>477</v>
      </c>
      <c r="J1" s="17" t="s">
        <v>478</v>
      </c>
    </row>
    <row r="2" customFormat="false" ht="15" hidden="false" customHeight="false" outlineLevel="0" collapsed="false">
      <c r="A2" s="18" t="s">
        <v>479</v>
      </c>
      <c r="B2" s="18" t="s">
        <v>480</v>
      </c>
      <c r="C2" s="18" t="s">
        <v>59</v>
      </c>
      <c r="D2" s="18" t="n">
        <v>3</v>
      </c>
      <c r="E2" s="18" t="n">
        <v>28.1</v>
      </c>
      <c r="F2" s="22" t="n">
        <v>900</v>
      </c>
      <c r="G2" s="23"/>
      <c r="H2" s="18" t="n">
        <v>1.628</v>
      </c>
      <c r="I2" s="18" t="n">
        <v>2000</v>
      </c>
      <c r="J2" s="20" t="s">
        <v>481</v>
      </c>
    </row>
    <row r="3" customFormat="false" ht="15" hidden="false" customHeight="false" outlineLevel="0" collapsed="false">
      <c r="A3" s="18" t="s">
        <v>482</v>
      </c>
      <c r="B3" s="18" t="s">
        <v>483</v>
      </c>
      <c r="C3" s="18" t="s">
        <v>59</v>
      </c>
      <c r="D3" s="18" t="n">
        <v>6</v>
      </c>
      <c r="E3" s="18" t="n">
        <v>28.1</v>
      </c>
      <c r="F3" s="22" t="n">
        <v>1800</v>
      </c>
      <c r="G3" s="23"/>
      <c r="H3" s="18" t="n">
        <v>1.628</v>
      </c>
      <c r="I3" s="18" t="n">
        <v>2000</v>
      </c>
      <c r="J3" s="20" t="s">
        <v>481</v>
      </c>
    </row>
    <row r="4" customFormat="false" ht="15" hidden="false" customHeight="false" outlineLevel="0" collapsed="false">
      <c r="A4" s="18" t="s">
        <v>484</v>
      </c>
      <c r="B4" s="18" t="s">
        <v>485</v>
      </c>
      <c r="C4" s="18" t="s">
        <v>59</v>
      </c>
      <c r="D4" s="18" t="n">
        <v>1</v>
      </c>
      <c r="E4" s="18" t="n">
        <v>11.1</v>
      </c>
      <c r="F4" s="18"/>
      <c r="G4" s="23"/>
      <c r="H4" s="18" t="n">
        <v>0.595</v>
      </c>
      <c r="I4" s="18" t="n">
        <v>3000</v>
      </c>
      <c r="J4" s="20" t="s">
        <v>481</v>
      </c>
    </row>
    <row r="5" customFormat="false" ht="15" hidden="false" customHeight="false" outlineLevel="0" collapsed="false">
      <c r="A5" s="18" t="s">
        <v>486</v>
      </c>
      <c r="B5" s="18" t="s">
        <v>487</v>
      </c>
      <c r="C5" s="18" t="s">
        <v>59</v>
      </c>
      <c r="D5" s="18" t="n">
        <v>1</v>
      </c>
      <c r="E5" s="18" t="n">
        <v>14</v>
      </c>
      <c r="F5" s="18"/>
      <c r="G5" s="23"/>
      <c r="H5" s="18" t="n">
        <v>0.62</v>
      </c>
      <c r="I5" s="18" t="n">
        <v>4000</v>
      </c>
      <c r="J5" s="20" t="s">
        <v>481</v>
      </c>
    </row>
    <row r="6" customFormat="false" ht="15" hidden="false" customHeight="false" outlineLevel="0" collapsed="false">
      <c r="A6" s="18" t="s">
        <v>488</v>
      </c>
      <c r="B6" s="18" t="s">
        <v>489</v>
      </c>
      <c r="C6" s="18" t="s">
        <v>62</v>
      </c>
      <c r="D6" s="18" t="n">
        <v>3</v>
      </c>
      <c r="E6" s="18"/>
      <c r="F6" s="22" t="n">
        <v>10000</v>
      </c>
      <c r="G6" s="23"/>
      <c r="H6" s="18" t="n">
        <v>160</v>
      </c>
      <c r="I6" s="18"/>
      <c r="J6" s="20" t="s">
        <v>490</v>
      </c>
    </row>
    <row r="7" customFormat="false" ht="15" hidden="false" customHeight="false" outlineLevel="0" collapsed="false">
      <c r="A7" s="18" t="s">
        <v>491</v>
      </c>
      <c r="B7" s="18" t="s">
        <v>492</v>
      </c>
      <c r="C7" s="18" t="s">
        <v>62</v>
      </c>
      <c r="D7" s="18" t="n">
        <v>3</v>
      </c>
      <c r="E7" s="18"/>
      <c r="F7" s="22" t="n">
        <v>7000</v>
      </c>
      <c r="G7" s="23"/>
      <c r="H7" s="18" t="n">
        <v>120</v>
      </c>
      <c r="I7" s="18"/>
      <c r="J7" s="20" t="s">
        <v>490</v>
      </c>
    </row>
    <row r="8" customFormat="false" ht="15" hidden="false" customHeight="false" outlineLevel="0" collapsed="false">
      <c r="A8" s="18" t="s">
        <v>493</v>
      </c>
      <c r="B8" s="18" t="s">
        <v>494</v>
      </c>
      <c r="C8" s="18" t="s">
        <v>62</v>
      </c>
      <c r="D8" s="18" t="n">
        <v>3</v>
      </c>
      <c r="E8" s="18"/>
      <c r="F8" s="22" t="n">
        <v>3000</v>
      </c>
      <c r="G8" s="23"/>
      <c r="H8" s="18" t="n">
        <v>70</v>
      </c>
      <c r="I8" s="18"/>
      <c r="J8" s="20" t="s">
        <v>490</v>
      </c>
    </row>
    <row r="9" customFormat="false" ht="15" hidden="false" customHeight="false" outlineLevel="0" collapsed="false">
      <c r="A9" s="18" t="s">
        <v>495</v>
      </c>
      <c r="B9" s="18" t="s">
        <v>496</v>
      </c>
      <c r="C9" s="18" t="s">
        <v>62</v>
      </c>
      <c r="D9" s="18" t="n">
        <v>1</v>
      </c>
      <c r="E9" s="18"/>
      <c r="F9" s="22" t="n">
        <v>4000</v>
      </c>
      <c r="G9" s="23"/>
      <c r="H9" s="18" t="n">
        <v>45</v>
      </c>
      <c r="I9" s="18"/>
      <c r="J9" s="20" t="s">
        <v>490</v>
      </c>
    </row>
    <row r="10" customFormat="false" ht="15" hidden="false" customHeight="false" outlineLevel="0" collapsed="false">
      <c r="A10" s="18" t="s">
        <v>497</v>
      </c>
      <c r="B10" s="18" t="s">
        <v>498</v>
      </c>
      <c r="C10" s="18" t="s">
        <v>62</v>
      </c>
      <c r="D10" s="18" t="n">
        <v>1</v>
      </c>
      <c r="E10" s="18"/>
      <c r="F10" s="22" t="n">
        <v>2500</v>
      </c>
      <c r="G10" s="23"/>
      <c r="H10" s="18" t="n">
        <v>30</v>
      </c>
      <c r="I10" s="18"/>
      <c r="J10" s="20" t="s">
        <v>490</v>
      </c>
    </row>
    <row r="11" customFormat="false" ht="15" hidden="false" customHeight="false" outlineLevel="0" collapsed="false">
      <c r="A11" s="18" t="s">
        <v>499</v>
      </c>
      <c r="B11" s="18" t="s">
        <v>500</v>
      </c>
      <c r="C11" s="18" t="s">
        <v>65</v>
      </c>
      <c r="D11" s="18" t="n">
        <v>1</v>
      </c>
      <c r="E11" s="18" t="n">
        <v>33</v>
      </c>
      <c r="F11" s="22" t="n">
        <v>330</v>
      </c>
      <c r="G11" s="23" t="n">
        <v>0.43</v>
      </c>
      <c r="H11" s="18" t="n">
        <v>1.6</v>
      </c>
      <c r="I11" s="18" t="n">
        <v>500</v>
      </c>
      <c r="J11" s="20" t="s">
        <v>501</v>
      </c>
    </row>
    <row r="12" customFormat="false" ht="15" hidden="false" customHeight="false" outlineLevel="0" collapsed="false">
      <c r="A12" s="18" t="s">
        <v>502</v>
      </c>
      <c r="B12" s="18" t="s">
        <v>503</v>
      </c>
      <c r="C12" s="18" t="s">
        <v>65</v>
      </c>
      <c r="D12" s="18" t="n">
        <v>3</v>
      </c>
      <c r="E12" s="18" t="n">
        <v>42</v>
      </c>
      <c r="F12" s="22" t="n">
        <v>580</v>
      </c>
      <c r="G12" s="23" t="n">
        <v>0.2</v>
      </c>
      <c r="H12" s="18" t="n">
        <v>3.2</v>
      </c>
      <c r="I12" s="18" t="n">
        <v>500</v>
      </c>
      <c r="J12" s="20" t="s">
        <v>501</v>
      </c>
    </row>
    <row r="13" customFormat="false" ht="15" hidden="false" customHeight="false" outlineLevel="0" collapsed="false">
      <c r="A13" s="18" t="s">
        <v>504</v>
      </c>
      <c r="B13" s="18" t="s">
        <v>505</v>
      </c>
      <c r="C13" s="18" t="s">
        <v>65</v>
      </c>
      <c r="D13" s="18" t="n">
        <v>3</v>
      </c>
      <c r="E13" s="18" t="n">
        <v>50</v>
      </c>
      <c r="F13" s="22" t="n">
        <v>760</v>
      </c>
      <c r="G13" s="23" t="n">
        <v>0.15</v>
      </c>
      <c r="H13" s="18" t="n">
        <v>5</v>
      </c>
      <c r="I13" s="18" t="n">
        <v>500</v>
      </c>
      <c r="J13" s="20" t="s">
        <v>501</v>
      </c>
    </row>
    <row r="14" customFormat="false" ht="15" hidden="false" customHeight="false" outlineLevel="0" collapsed="false">
      <c r="A14" s="18" t="s">
        <v>506</v>
      </c>
      <c r="B14" s="18" t="s">
        <v>507</v>
      </c>
      <c r="C14" s="18" t="s">
        <v>65</v>
      </c>
      <c r="D14" s="18" t="n">
        <v>3</v>
      </c>
      <c r="E14" s="18" t="n">
        <v>57</v>
      </c>
      <c r="F14" s="22" t="n">
        <v>960</v>
      </c>
      <c r="G14" s="23" t="n">
        <v>0.12</v>
      </c>
      <c r="H14" s="18" t="n">
        <v>7.6</v>
      </c>
      <c r="I14" s="18" t="n">
        <v>500</v>
      </c>
      <c r="J14" s="20" t="s">
        <v>501</v>
      </c>
    </row>
    <row r="15" customFormat="false" ht="15" hidden="false" customHeight="false" outlineLevel="0" collapsed="false">
      <c r="A15" s="18" t="s">
        <v>508</v>
      </c>
      <c r="B15" s="18" t="s">
        <v>509</v>
      </c>
      <c r="C15" s="18" t="s">
        <v>65</v>
      </c>
      <c r="D15" s="18" t="n">
        <v>1</v>
      </c>
      <c r="E15" s="18" t="n">
        <v>63</v>
      </c>
      <c r="F15" s="22" t="n">
        <v>250</v>
      </c>
      <c r="G15" s="23" t="n">
        <v>0.6</v>
      </c>
      <c r="H15" s="18" t="n">
        <v>5.4</v>
      </c>
      <c r="I15" s="18" t="n">
        <v>500</v>
      </c>
      <c r="J15" s="20" t="s">
        <v>501</v>
      </c>
    </row>
    <row r="16" customFormat="false" ht="15" hidden="false" customHeight="false" outlineLevel="0" collapsed="false">
      <c r="A16" s="18" t="s">
        <v>510</v>
      </c>
      <c r="B16" s="18" t="s">
        <v>511</v>
      </c>
      <c r="C16" s="18" t="s">
        <v>65</v>
      </c>
      <c r="D16" s="18" t="n">
        <v>1</v>
      </c>
      <c r="E16" s="18" t="n">
        <v>73</v>
      </c>
      <c r="F16" s="22" t="n">
        <v>340</v>
      </c>
      <c r="G16" s="23" t="n">
        <v>0.36</v>
      </c>
      <c r="H16" s="18" t="n">
        <v>7.6</v>
      </c>
      <c r="I16" s="18" t="n">
        <v>500</v>
      </c>
      <c r="J16" s="20" t="s">
        <v>501</v>
      </c>
    </row>
    <row r="17" customFormat="false" ht="15" hidden="false" customHeight="false" outlineLevel="0" collapsed="false">
      <c r="A17" s="18" t="s">
        <v>512</v>
      </c>
      <c r="B17" s="18" t="s">
        <v>513</v>
      </c>
      <c r="C17" s="18" t="s">
        <v>65</v>
      </c>
      <c r="D17" s="18" t="n">
        <v>1</v>
      </c>
      <c r="E17" s="18" t="n">
        <v>82</v>
      </c>
      <c r="F17" s="22" t="n">
        <v>430</v>
      </c>
      <c r="G17" s="23" t="n">
        <v>0.25</v>
      </c>
      <c r="H17" s="18" t="n">
        <v>10.2</v>
      </c>
      <c r="I17" s="18" t="n">
        <v>500</v>
      </c>
      <c r="J17" s="20" t="s">
        <v>501</v>
      </c>
    </row>
    <row r="18" customFormat="false" ht="15" hidden="false" customHeight="false" outlineLevel="0" collapsed="false">
      <c r="A18" s="18" t="s">
        <v>514</v>
      </c>
      <c r="B18" s="18" t="s">
        <v>515</v>
      </c>
      <c r="C18" s="18" t="s">
        <v>68</v>
      </c>
      <c r="D18" s="18" t="n">
        <v>1</v>
      </c>
      <c r="E18" s="18" t="n">
        <v>18</v>
      </c>
      <c r="F18" s="22" t="n">
        <v>54</v>
      </c>
      <c r="G18" s="23" t="n">
        <v>6.8</v>
      </c>
      <c r="H18" s="18" t="n">
        <v>0.8</v>
      </c>
      <c r="I18" s="18" t="n">
        <v>1000</v>
      </c>
      <c r="J18" s="20" t="s">
        <v>516</v>
      </c>
    </row>
    <row r="19" customFormat="false" ht="15" hidden="false" customHeight="false" outlineLevel="0" collapsed="false">
      <c r="A19" s="18" t="s">
        <v>517</v>
      </c>
      <c r="B19" s="18" t="s">
        <v>518</v>
      </c>
      <c r="C19" s="18" t="s">
        <v>68</v>
      </c>
      <c r="D19" s="18" t="n">
        <v>1</v>
      </c>
      <c r="E19" s="18" t="n">
        <v>23</v>
      </c>
      <c r="F19" s="22" t="n">
        <v>100</v>
      </c>
      <c r="G19" s="23" t="n">
        <v>2.5</v>
      </c>
      <c r="H19" s="18" t="n">
        <v>1.4</v>
      </c>
      <c r="I19" s="18" t="n">
        <v>1000</v>
      </c>
      <c r="J19" s="20" t="s">
        <v>516</v>
      </c>
    </row>
    <row r="20" customFormat="false" ht="15" hidden="false" customHeight="false" outlineLevel="0" collapsed="false">
      <c r="A20" s="18" t="s">
        <v>519</v>
      </c>
      <c r="B20" s="18" t="s">
        <v>520</v>
      </c>
      <c r="C20" s="18" t="s">
        <v>68</v>
      </c>
      <c r="D20" s="18" t="n">
        <v>1</v>
      </c>
      <c r="E20" s="18" t="n">
        <v>29</v>
      </c>
      <c r="F20" s="22" t="n">
        <v>158</v>
      </c>
      <c r="G20" s="23" t="n">
        <v>1.15</v>
      </c>
      <c r="H20" s="18" t="n">
        <v>2.4</v>
      </c>
      <c r="I20" s="18" t="n">
        <v>500</v>
      </c>
      <c r="J20" s="20" t="s">
        <v>516</v>
      </c>
    </row>
    <row r="21" customFormat="false" ht="15" hidden="false" customHeight="false" outlineLevel="0" collapsed="false">
      <c r="A21" s="18" t="s">
        <v>521</v>
      </c>
      <c r="B21" s="18" t="s">
        <v>522</v>
      </c>
      <c r="C21" s="18" t="s">
        <v>68</v>
      </c>
      <c r="D21" s="18" t="n">
        <v>1</v>
      </c>
      <c r="E21" s="18" t="n">
        <v>37</v>
      </c>
      <c r="F21" s="22" t="n">
        <v>246</v>
      </c>
      <c r="G21" s="23" t="n">
        <v>0.6</v>
      </c>
      <c r="H21" s="18" t="n">
        <v>4.1</v>
      </c>
      <c r="I21" s="18" t="n">
        <v>500</v>
      </c>
      <c r="J21" s="20" t="s">
        <v>516</v>
      </c>
    </row>
    <row r="22" customFormat="false" ht="15" hidden="false" customHeight="false" outlineLevel="0" collapsed="false">
      <c r="A22" s="18" t="s">
        <v>523</v>
      </c>
      <c r="B22" s="18" t="s">
        <v>524</v>
      </c>
      <c r="C22" s="18" t="s">
        <v>68</v>
      </c>
      <c r="D22" s="18" t="n">
        <v>1</v>
      </c>
      <c r="E22" s="18" t="n">
        <v>46</v>
      </c>
      <c r="F22" s="22" t="n">
        <v>346</v>
      </c>
      <c r="G22" s="23" t="n">
        <v>0.37</v>
      </c>
      <c r="H22" s="18" t="n">
        <v>6.4</v>
      </c>
      <c r="I22" s="18" t="n">
        <v>500</v>
      </c>
      <c r="J22" s="20" t="s">
        <v>516</v>
      </c>
    </row>
    <row r="23" customFormat="false" ht="15" hidden="false" customHeight="false" outlineLevel="0" collapsed="false">
      <c r="A23" s="18" t="s">
        <v>525</v>
      </c>
      <c r="B23" s="18" t="s">
        <v>526</v>
      </c>
      <c r="C23" s="18" t="s">
        <v>68</v>
      </c>
      <c r="D23" s="18" t="n">
        <v>1</v>
      </c>
      <c r="E23" s="18" t="n">
        <v>62</v>
      </c>
      <c r="F23" s="22" t="n">
        <v>538</v>
      </c>
      <c r="G23" s="23" t="n">
        <v>0.23</v>
      </c>
      <c r="H23" s="18" t="n">
        <v>12.3</v>
      </c>
      <c r="I23" s="18" t="n">
        <v>500</v>
      </c>
      <c r="J23" s="20" t="s">
        <v>516</v>
      </c>
    </row>
    <row r="24" customFormat="false" ht="15" hidden="false" customHeight="false" outlineLevel="0" collapsed="false">
      <c r="A24" s="18" t="s">
        <v>527</v>
      </c>
      <c r="B24" s="18" t="s">
        <v>528</v>
      </c>
      <c r="C24" s="18" t="s">
        <v>68</v>
      </c>
      <c r="D24" s="18" t="n">
        <v>1</v>
      </c>
      <c r="E24" s="18" t="n">
        <v>44</v>
      </c>
      <c r="F24" s="22" t="n">
        <v>298</v>
      </c>
      <c r="G24" s="23" t="n">
        <v>0.45</v>
      </c>
      <c r="H24" s="18" t="n">
        <v>5.6</v>
      </c>
      <c r="I24" s="18" t="n">
        <v>500</v>
      </c>
      <c r="J24" s="20" t="s">
        <v>516</v>
      </c>
    </row>
    <row r="25" customFormat="false" ht="15" hidden="false" customHeight="false" outlineLevel="0" collapsed="false">
      <c r="A25" s="18" t="s">
        <v>529</v>
      </c>
      <c r="B25" s="18" t="s">
        <v>530</v>
      </c>
      <c r="C25" s="18" t="s">
        <v>71</v>
      </c>
      <c r="D25" s="18" t="n">
        <v>1</v>
      </c>
      <c r="E25" s="18" t="n">
        <v>17</v>
      </c>
      <c r="F25" s="22" t="n">
        <v>85</v>
      </c>
      <c r="G25" s="23" t="n">
        <v>4.6</v>
      </c>
      <c r="H25" s="18" t="n">
        <v>0.7</v>
      </c>
      <c r="I25" s="18" t="n">
        <v>1000</v>
      </c>
      <c r="J25" s="20" t="s">
        <v>531</v>
      </c>
    </row>
    <row r="26" customFormat="false" ht="15" hidden="false" customHeight="false" outlineLevel="0" collapsed="false">
      <c r="A26" s="18" t="s">
        <v>532</v>
      </c>
      <c r="B26" s="18" t="s">
        <v>533</v>
      </c>
      <c r="C26" s="18" t="s">
        <v>71</v>
      </c>
      <c r="D26" s="18" t="n">
        <v>1</v>
      </c>
      <c r="E26" s="18" t="n">
        <v>25</v>
      </c>
      <c r="F26" s="22" t="n">
        <v>180</v>
      </c>
      <c r="G26" s="23" t="n">
        <v>1.35</v>
      </c>
      <c r="H26" s="18" t="n">
        <v>1.8</v>
      </c>
      <c r="I26" s="18" t="n">
        <v>500</v>
      </c>
      <c r="J26" s="20" t="s">
        <v>531</v>
      </c>
    </row>
    <row r="27" customFormat="false" ht="15" hidden="false" customHeight="false" outlineLevel="0" collapsed="false">
      <c r="A27" s="18" t="s">
        <v>534</v>
      </c>
      <c r="B27" s="18" t="s">
        <v>535</v>
      </c>
      <c r="C27" s="18" t="s">
        <v>71</v>
      </c>
      <c r="D27" s="18" t="n">
        <v>2</v>
      </c>
      <c r="E27" s="18" t="n">
        <v>30</v>
      </c>
      <c r="F27" s="22" t="n">
        <v>600</v>
      </c>
      <c r="G27" s="23" t="n">
        <v>0.19</v>
      </c>
      <c r="H27" s="18" t="n">
        <v>2.8</v>
      </c>
      <c r="I27" s="18" t="n">
        <v>500</v>
      </c>
      <c r="J27" s="20" t="s">
        <v>531</v>
      </c>
    </row>
    <row r="28" customFormat="false" ht="15" hidden="false" customHeight="false" outlineLevel="0" collapsed="false">
      <c r="A28" s="18" t="s">
        <v>536</v>
      </c>
      <c r="B28" s="18" t="s">
        <v>537</v>
      </c>
      <c r="C28" s="18" t="s">
        <v>74</v>
      </c>
      <c r="D28" s="18" t="n">
        <v>1</v>
      </c>
      <c r="E28" s="18" t="n">
        <v>18</v>
      </c>
      <c r="F28" s="18"/>
      <c r="G28" s="23"/>
      <c r="H28" s="18" t="n">
        <v>0.7</v>
      </c>
      <c r="I28" s="18" t="n">
        <v>1000</v>
      </c>
      <c r="J28" s="20" t="s">
        <v>538</v>
      </c>
    </row>
    <row r="29" customFormat="false" ht="15" hidden="false" customHeight="false" outlineLevel="0" collapsed="false">
      <c r="A29" s="18" t="s">
        <v>539</v>
      </c>
      <c r="B29" s="18" t="s">
        <v>540</v>
      </c>
      <c r="C29" s="18" t="s">
        <v>74</v>
      </c>
      <c r="D29" s="18" t="n">
        <v>1</v>
      </c>
      <c r="E29" s="18" t="n">
        <v>22</v>
      </c>
      <c r="F29" s="18"/>
      <c r="G29" s="23"/>
      <c r="H29" s="18" t="n">
        <v>1</v>
      </c>
      <c r="I29" s="18" t="n">
        <v>1000</v>
      </c>
      <c r="J29" s="20" t="s">
        <v>538</v>
      </c>
    </row>
    <row r="30" customFormat="false" ht="15" hidden="false" customHeight="false" outlineLevel="0" collapsed="false">
      <c r="A30" s="18" t="s">
        <v>541</v>
      </c>
      <c r="B30" s="18" t="s">
        <v>542</v>
      </c>
      <c r="C30" s="18" t="s">
        <v>74</v>
      </c>
      <c r="D30" s="18" t="n">
        <v>1</v>
      </c>
      <c r="E30" s="18" t="n">
        <v>24</v>
      </c>
      <c r="F30" s="18"/>
      <c r="G30" s="23"/>
      <c r="H30" s="18" t="n">
        <v>1.1</v>
      </c>
      <c r="I30" s="18" t="n">
        <v>1000</v>
      </c>
      <c r="J30" s="20" t="s">
        <v>538</v>
      </c>
    </row>
    <row r="31" customFormat="false" ht="15" hidden="false" customHeight="false" outlineLevel="0" collapsed="false">
      <c r="A31" s="18" t="s">
        <v>543</v>
      </c>
      <c r="B31" s="18" t="s">
        <v>544</v>
      </c>
      <c r="C31" s="18" t="s">
        <v>74</v>
      </c>
      <c r="D31" s="18" t="n">
        <v>1</v>
      </c>
      <c r="E31" s="18" t="n">
        <v>25</v>
      </c>
      <c r="F31" s="18"/>
      <c r="G31" s="23"/>
      <c r="H31" s="18" t="n">
        <v>1.3</v>
      </c>
      <c r="I31" s="18" t="n">
        <v>1000</v>
      </c>
      <c r="J31" s="20" t="s">
        <v>538</v>
      </c>
    </row>
    <row r="32" customFormat="false" ht="15" hidden="false" customHeight="false" outlineLevel="0" collapsed="false">
      <c r="A32" s="18" t="s">
        <v>545</v>
      </c>
      <c r="B32" s="18" t="s">
        <v>546</v>
      </c>
      <c r="C32" s="18" t="s">
        <v>77</v>
      </c>
      <c r="D32" s="18" t="n">
        <v>1</v>
      </c>
      <c r="E32" s="18" t="n">
        <v>10</v>
      </c>
      <c r="F32" s="18"/>
      <c r="G32" s="23"/>
      <c r="H32" s="18" t="n">
        <v>0.25</v>
      </c>
      <c r="I32" s="18" t="n">
        <v>1000</v>
      </c>
      <c r="J32" s="20" t="s">
        <v>538</v>
      </c>
    </row>
    <row r="33" customFormat="false" ht="15" hidden="false" customHeight="false" outlineLevel="0" collapsed="false">
      <c r="A33" s="18" t="s">
        <v>547</v>
      </c>
      <c r="B33" s="18" t="s">
        <v>548</v>
      </c>
      <c r="C33" s="18" t="s">
        <v>77</v>
      </c>
      <c r="D33" s="18" t="n">
        <v>1</v>
      </c>
      <c r="E33" s="18" t="n">
        <v>13</v>
      </c>
      <c r="F33" s="18"/>
      <c r="G33" s="23"/>
      <c r="H33" s="18" t="n">
        <v>0.35</v>
      </c>
      <c r="I33" s="18" t="n">
        <v>1000</v>
      </c>
      <c r="J33" s="20" t="s">
        <v>538</v>
      </c>
    </row>
    <row r="34" customFormat="false" ht="15" hidden="false" customHeight="false" outlineLevel="0" collapsed="false">
      <c r="A34" s="18" t="s">
        <v>549</v>
      </c>
      <c r="B34" s="18" t="s">
        <v>550</v>
      </c>
      <c r="C34" s="18" t="s">
        <v>77</v>
      </c>
      <c r="D34" s="18" t="n">
        <v>1</v>
      </c>
      <c r="E34" s="18" t="n">
        <v>26</v>
      </c>
      <c r="F34" s="18"/>
      <c r="G34" s="23"/>
      <c r="H34" s="18" t="n">
        <v>0.9</v>
      </c>
      <c r="I34" s="18" t="n">
        <v>1000</v>
      </c>
      <c r="J34" s="20" t="s">
        <v>538</v>
      </c>
    </row>
    <row r="35" customFormat="false" ht="15" hidden="false" customHeight="false" outlineLevel="0" collapsed="false">
      <c r="A35" s="18" t="s">
        <v>551</v>
      </c>
      <c r="B35" s="18" t="s">
        <v>552</v>
      </c>
      <c r="C35" s="18" t="s">
        <v>77</v>
      </c>
      <c r="D35" s="18" t="n">
        <v>1</v>
      </c>
      <c r="E35" s="18" t="n">
        <v>32</v>
      </c>
      <c r="F35" s="18"/>
      <c r="G35" s="23"/>
      <c r="H35" s="18" t="n">
        <v>1.4</v>
      </c>
      <c r="I35" s="18" t="n">
        <v>1000</v>
      </c>
      <c r="J35" s="20" t="s">
        <v>538</v>
      </c>
    </row>
    <row r="36" customFormat="false" ht="15" hidden="false" customHeight="false" outlineLevel="0" collapsed="false">
      <c r="A36" s="18" t="s">
        <v>553</v>
      </c>
      <c r="B36" s="18" t="s">
        <v>554</v>
      </c>
      <c r="C36" s="18" t="s">
        <v>77</v>
      </c>
      <c r="D36" s="18" t="n">
        <v>1</v>
      </c>
      <c r="E36" s="18" t="n">
        <v>24</v>
      </c>
      <c r="F36" s="18"/>
      <c r="G36" s="23"/>
      <c r="H36" s="18" t="n">
        <v>0.8</v>
      </c>
      <c r="I36" s="18" t="n">
        <v>1000</v>
      </c>
      <c r="J36" s="20" t="s">
        <v>538</v>
      </c>
    </row>
    <row r="37" customFormat="false" ht="15" hidden="false" customHeight="false" outlineLevel="0" collapsed="false">
      <c r="A37" s="18" t="s">
        <v>555</v>
      </c>
      <c r="B37" s="18" t="s">
        <v>556</v>
      </c>
      <c r="C37" s="18" t="s">
        <v>77</v>
      </c>
      <c r="D37" s="18" t="n">
        <v>1</v>
      </c>
      <c r="E37" s="18" t="n">
        <v>9</v>
      </c>
      <c r="F37" s="18"/>
      <c r="G37" s="23"/>
      <c r="H37" s="18" t="n">
        <v>0.2</v>
      </c>
      <c r="I37" s="18" t="n">
        <v>1000</v>
      </c>
      <c r="J37" s="20" t="s">
        <v>538</v>
      </c>
    </row>
    <row r="38" customFormat="false" ht="15" hidden="false" customHeight="false" outlineLevel="0" collapsed="false">
      <c r="A38" s="18" t="s">
        <v>557</v>
      </c>
      <c r="B38" s="18" t="s">
        <v>558</v>
      </c>
      <c r="C38" s="18" t="s">
        <v>80</v>
      </c>
      <c r="D38" s="18" t="n">
        <v>1</v>
      </c>
      <c r="E38" s="18" t="n">
        <v>14</v>
      </c>
      <c r="F38" s="18"/>
      <c r="G38" s="23"/>
      <c r="H38" s="18" t="n">
        <v>0.22</v>
      </c>
      <c r="I38" s="18" t="n">
        <v>2000</v>
      </c>
      <c r="J38" s="20" t="s">
        <v>81</v>
      </c>
    </row>
    <row r="39" customFormat="false" ht="15" hidden="false" customHeight="false" outlineLevel="0" collapsed="false">
      <c r="A39" s="18" t="s">
        <v>559</v>
      </c>
      <c r="B39" s="18" t="s">
        <v>560</v>
      </c>
      <c r="C39" s="18" t="s">
        <v>80</v>
      </c>
      <c r="D39" s="18" t="n">
        <v>1</v>
      </c>
      <c r="E39" s="18" t="n">
        <v>16</v>
      </c>
      <c r="F39" s="18"/>
      <c r="G39" s="23"/>
      <c r="H39" s="18" t="n">
        <v>0.27</v>
      </c>
      <c r="I39" s="18" t="n">
        <v>2000</v>
      </c>
      <c r="J39" s="20" t="s">
        <v>81</v>
      </c>
    </row>
    <row r="40" customFormat="false" ht="15" hidden="false" customHeight="false" outlineLevel="0" collapsed="false">
      <c r="A40" s="18" t="s">
        <v>561</v>
      </c>
      <c r="B40" s="18" t="s">
        <v>562</v>
      </c>
      <c r="C40" s="18" t="s">
        <v>82</v>
      </c>
      <c r="D40" s="18" t="n">
        <v>1</v>
      </c>
      <c r="E40" s="18" t="n">
        <v>14</v>
      </c>
      <c r="F40" s="18"/>
      <c r="G40" s="23"/>
      <c r="H40" s="18" t="n">
        <v>1.08</v>
      </c>
      <c r="I40" s="18" t="n">
        <v>500</v>
      </c>
      <c r="J40" s="20" t="s">
        <v>563</v>
      </c>
    </row>
    <row r="41" customFormat="false" ht="15" hidden="false" customHeight="false" outlineLevel="0" collapsed="false">
      <c r="A41" s="18" t="s">
        <v>564</v>
      </c>
      <c r="B41" s="18" t="s">
        <v>565</v>
      </c>
      <c r="C41" s="18" t="s">
        <v>82</v>
      </c>
      <c r="D41" s="18" t="n">
        <v>1</v>
      </c>
      <c r="E41" s="18" t="n">
        <v>14</v>
      </c>
      <c r="F41" s="18"/>
      <c r="G41" s="23"/>
      <c r="H41" s="18" t="n">
        <v>0.68</v>
      </c>
      <c r="I41" s="18" t="n">
        <v>500</v>
      </c>
      <c r="J41" s="20" t="s">
        <v>563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8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8"/>
    <col collapsed="false" customWidth="true" hidden="false" outlineLevel="0" max="5" min="5" style="0" width="11"/>
    <col collapsed="false" customWidth="true" hidden="false" outlineLevel="0" max="6" min="6" style="0" width="34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13"/>
    <col collapsed="false" customWidth="true" hidden="false" outlineLevel="0" max="10" min="10" style="0" width="36"/>
    <col collapsed="false" customWidth="true" hidden="false" outlineLevel="0" max="11" min="11" style="0" width="7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5" min="14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6"/>
    <col collapsed="false" customWidth="true" hidden="false" outlineLevel="0" max="19" min="19" style="0" width="9"/>
    <col collapsed="false" customWidth="true" hidden="false" outlineLevel="0" max="20" min="20" style="0" width="7"/>
    <col collapsed="false" customWidth="true" hidden="false" outlineLevel="0" max="21" min="21" style="0" width="9"/>
    <col collapsed="false" customWidth="true" hidden="false" outlineLevel="0" max="22" min="22" style="0" width="10"/>
    <col collapsed="false" customWidth="true" hidden="false" outlineLevel="0" max="23" min="23" style="0" width="9"/>
    <col collapsed="false" customWidth="true" hidden="false" outlineLevel="0" max="25" min="24" style="0" width="8"/>
    <col collapsed="false" customWidth="true" hidden="false" outlineLevel="0" max="26" min="26" style="0" width="7"/>
    <col collapsed="false" customWidth="true" hidden="false" outlineLevel="0" max="27" min="27" style="0" width="8"/>
    <col collapsed="false" customWidth="true" hidden="false" outlineLevel="0" max="28" min="28" style="0" width="9"/>
    <col collapsed="false" customWidth="true" hidden="false" outlineLevel="0" max="29" min="29" style="0" width="40"/>
    <col collapsed="false" customWidth="true" hidden="false" outlineLevel="0" max="30" min="30" style="0" width="2"/>
    <col collapsed="false" customWidth="true" hidden="false" outlineLevel="0" max="40" min="31" style="0" width="7"/>
    <col collapsed="false" customWidth="true" hidden="false" outlineLevel="0" max="41" min="41" style="0" width="8"/>
    <col collapsed="false" customWidth="true" hidden="false" outlineLevel="0" max="42" min="42" style="0" width="7"/>
  </cols>
  <sheetData>
    <row r="1" customFormat="false" ht="15" hidden="false" customHeight="false" outlineLevel="0" collapsed="false">
      <c r="A1" s="8" t="s">
        <v>566</v>
      </c>
      <c r="AE1" s="3" t="s">
        <v>567</v>
      </c>
    </row>
    <row r="2" customFormat="false" ht="42" hidden="false" customHeight="true" outlineLevel="0" collapsed="false">
      <c r="A2" s="17" t="s">
        <v>568</v>
      </c>
      <c r="B2" s="17" t="s">
        <v>95</v>
      </c>
      <c r="C2" s="17" t="s">
        <v>56</v>
      </c>
      <c r="D2" s="17" t="s">
        <v>569</v>
      </c>
      <c r="E2" s="17" t="s">
        <v>570</v>
      </c>
      <c r="F2" s="17" t="s">
        <v>571</v>
      </c>
      <c r="G2" s="17" t="s">
        <v>572</v>
      </c>
      <c r="H2" s="17" t="s">
        <v>573</v>
      </c>
      <c r="I2" s="17" t="s">
        <v>574</v>
      </c>
      <c r="J2" s="17" t="s">
        <v>575</v>
      </c>
      <c r="K2" s="17" t="s">
        <v>576</v>
      </c>
      <c r="L2" s="17" t="s">
        <v>577</v>
      </c>
      <c r="M2" s="17" t="s">
        <v>578</v>
      </c>
      <c r="N2" s="17" t="s">
        <v>579</v>
      </c>
      <c r="O2" s="17" t="s">
        <v>580</v>
      </c>
      <c r="P2" s="17" t="s">
        <v>581</v>
      </c>
      <c r="Q2" s="17" t="s">
        <v>582</v>
      </c>
      <c r="R2" s="17" t="s">
        <v>583</v>
      </c>
      <c r="S2" s="17" t="s">
        <v>584</v>
      </c>
      <c r="T2" s="17" t="s">
        <v>585</v>
      </c>
      <c r="U2" s="17" t="s">
        <v>586</v>
      </c>
      <c r="V2" s="17" t="s">
        <v>587</v>
      </c>
      <c r="W2" s="17" t="s">
        <v>588</v>
      </c>
      <c r="X2" s="17" t="s">
        <v>589</v>
      </c>
      <c r="Y2" s="17" t="s">
        <v>590</v>
      </c>
      <c r="Z2" s="17" t="s">
        <v>591</v>
      </c>
      <c r="AA2" s="17" t="s">
        <v>592</v>
      </c>
      <c r="AB2" s="17" t="s">
        <v>593</v>
      </c>
      <c r="AC2" s="17" t="s">
        <v>594</v>
      </c>
      <c r="AE2" s="24" t="s">
        <v>595</v>
      </c>
      <c r="AF2" s="24" t="s">
        <v>596</v>
      </c>
      <c r="AG2" s="24" t="s">
        <v>597</v>
      </c>
      <c r="AH2" s="24" t="s">
        <v>598</v>
      </c>
      <c r="AI2" s="24" t="s">
        <v>599</v>
      </c>
      <c r="AJ2" s="24" t="s">
        <v>600</v>
      </c>
      <c r="AK2" s="24" t="s">
        <v>601</v>
      </c>
      <c r="AL2" s="24" t="s">
        <v>602</v>
      </c>
      <c r="AM2" s="24" t="s">
        <v>603</v>
      </c>
      <c r="AN2" s="24" t="s">
        <v>473</v>
      </c>
      <c r="AO2" s="24" t="s">
        <v>604</v>
      </c>
      <c r="AP2" s="24" t="s">
        <v>605</v>
      </c>
    </row>
    <row r="3" customFormat="false" ht="15" hidden="false" customHeight="false" outlineLevel="0" collapsed="false">
      <c r="A3" s="25" t="s">
        <v>606</v>
      </c>
      <c r="B3" s="25" t="s">
        <v>102</v>
      </c>
      <c r="C3" s="25" t="s">
        <v>59</v>
      </c>
      <c r="D3" s="25" t="s">
        <v>607</v>
      </c>
      <c r="E3" s="25" t="s">
        <v>138</v>
      </c>
      <c r="F3" s="26" t="str">
        <f aca="false">INDEX(Equipment!$B$2:$B$137,MATCH(E3,Equipment!$A$2:$A$137,0))</f>
        <v>GT step-up transformer 19/230 kV 290 MVA - HV bushings</v>
      </c>
      <c r="G3" s="25" t="s">
        <v>107</v>
      </c>
      <c r="H3" s="26" t="str">
        <f aca="false">INDEX(Equipment!$B$2:$B$137,MATCH(G3,Equipment!$A$2:$A$137,0))</f>
        <v>230 kV bay 3 - GT generator bay (gantry dead-end)</v>
      </c>
      <c r="I3" s="25" t="s">
        <v>479</v>
      </c>
      <c r="J3" s="26" t="str">
        <f aca="false">INDEX('Cable Types'!$B$2:$B$41,MATCH(I3,'Cable Types'!$A$2:$A$41,0))</f>
        <v>ACSR 795 kcmil 'Drake' 26/7, 1 per phase</v>
      </c>
      <c r="K3" s="25" t="n">
        <v>1</v>
      </c>
      <c r="L3" s="25" t="s">
        <v>608</v>
      </c>
      <c r="M3" s="25" t="s">
        <v>609</v>
      </c>
      <c r="N3" s="25"/>
      <c r="O3" s="27" t="n">
        <f aca="false">IF(N3&lt;&gt;"",N3,IF(M3="D",ROUNDUP(SQRT((AH3-AE3)^2+(AI3-AF3)^2+(AJ3-AG3)^2)*(1+'Design Basis'!$C$6),0),ROUNDUP((ABS(AH3-AE3)+ABS(AI3-AF3)+ABS(AK3-AG3)+ABS(AK3-AJ3))*(1+'Design Basis'!$C$4)+2*'Design Basis'!$C$5,0)))</f>
        <v>75</v>
      </c>
      <c r="P3" s="27" t="n">
        <f aca="false">O3*K3*AM3</f>
        <v>225</v>
      </c>
      <c r="Q3" s="28" t="n">
        <v>230000</v>
      </c>
      <c r="R3" s="25" t="n">
        <v>3</v>
      </c>
      <c r="S3" s="28" t="n">
        <v>290000</v>
      </c>
      <c r="T3" s="29" t="n">
        <v>1</v>
      </c>
      <c r="U3" s="27" t="n">
        <f aca="false">IF(OR(S3="",Q3=""),"",IF(R3=3,S3*1000/(SQRT(3)*Q3*T3),S3*1000/(Q3*T3)))</f>
        <v>727.963382891267</v>
      </c>
      <c r="V3" s="27" t="n">
        <f aca="false">IF(OR(AO3="",AL3=""),"",AO3*AL3)</f>
        <v>900</v>
      </c>
      <c r="W3" s="27" t="n">
        <f aca="false">IF(V3="","",V3*K3)</f>
        <v>900</v>
      </c>
      <c r="X3" s="30" t="n">
        <f aca="false">IF(OR(U3="",W3=""),"",U3/W3)</f>
        <v>0.808848203212519</v>
      </c>
      <c r="Y3" s="30" t="str">
        <f aca="false">IF(OR(U3="",AP3=""),"",AP3*(U3/K3)*O3/1000/Q3)</f>
        <v/>
      </c>
      <c r="Z3" s="30" t="str">
        <f aca="false">IF(U3="","",IFERROR(IF(INDEX('Design Basis'!$C$13:$C$21,MATCH(C3,'Design Basis'!$A$13:$A$21,0))="","",INDEX('Design Basis'!$C$13:$C$21,MATCH(C3,'Design Basis'!$A$13:$A$21,0))),""))</f>
        <v/>
      </c>
      <c r="AA3" s="31" t="str">
        <f aca="false">IF(U3="","n/a",IF(W3="","CHECK",IF(AND(X3&lt;=1,OR(Y3="",Z3="",Y3&lt;=Z3)),"OK","CHECK")))</f>
        <v>OK</v>
      </c>
      <c r="AB3" s="27" t="n">
        <f aca="false">IF(AN3="","",K3*AM3*PI()/4*AN3^2)</f>
        <v>1860.47473140078</v>
      </c>
      <c r="AC3" s="31" t="s">
        <v>610</v>
      </c>
      <c r="AE3" s="32" t="n">
        <f aca="false">INDEX(Equipment!$D$2:$D$137,MATCH(E3,Equipment!$A$2:$A$137,0))</f>
        <v>54</v>
      </c>
      <c r="AF3" s="32" t="n">
        <f aca="false">INDEX(Equipment!$E$2:$E$137,MATCH(E3,Equipment!$A$2:$A$137,0))</f>
        <v>65.5</v>
      </c>
      <c r="AG3" s="32" t="n">
        <f aca="false">INDEX(Equipment!$F$2:$F$137,MATCH(E3,Equipment!$A$2:$A$137,0))</f>
        <v>10</v>
      </c>
      <c r="AH3" s="32" t="n">
        <f aca="false">INDEX(Equipment!$D$2:$D$137,MATCH(G3,Equipment!$A$2:$A$137,0))</f>
        <v>60</v>
      </c>
      <c r="AI3" s="32" t="n">
        <f aca="false">INDEX(Equipment!$E$2:$E$137,MATCH(G3,Equipment!$A$2:$A$137,0))</f>
        <v>137.5</v>
      </c>
      <c r="AJ3" s="32" t="n">
        <f aca="false">INDEX(Equipment!$F$2:$F$137,MATCH(G3,Equipment!$A$2:$A$137,0))</f>
        <v>12.5</v>
      </c>
      <c r="AK3" s="32" t="n">
        <f aca="false">IF(INDEX(Raceways!$D$2:$D$18,MATCH(L3,Raceways!$A$2:$A$18,0))="",0,INDEX(Raceways!$D$2:$D$18,MATCH(L3,Raceways!$A$2:$A$18,0)))</f>
        <v>0</v>
      </c>
      <c r="AL3" s="33" t="n">
        <f aca="false">IF(INDEX(Raceways!$I$2:$I$18,MATCH(L3,Raceways!$A$2:$A$18,0))="","",INDEX(Raceways!$I$2:$I$18,MATCH(L3,Raceways!$A$2:$A$18,0)))</f>
        <v>1</v>
      </c>
      <c r="AM3" s="26" t="n">
        <f aca="false">INDEX('Cable Types'!$D$2:$D$41,MATCH(I3,'Cable Types'!$A$2:$A$41,0))</f>
        <v>3</v>
      </c>
      <c r="AN3" s="26" t="n">
        <f aca="false">IF(INDEX('Cable Types'!$E$2:$E$41,MATCH(I3,'Cable Types'!$A$2:$A$41,0))="","",INDEX('Cable Types'!$E$2:$E$41,MATCH(I3,'Cable Types'!$A$2:$A$41,0)))</f>
        <v>28.1</v>
      </c>
      <c r="AO3" s="26" t="n">
        <f aca="false">IF(INDEX('Cable Types'!$F$2:$F$41,MATCH(I3,'Cable Types'!$A$2:$A$41,0))="","",INDEX('Cable Types'!$F$2:$F$41,MATCH(I3,'Cable Types'!$A$2:$A$41,0)))</f>
        <v>900</v>
      </c>
      <c r="AP3" s="33" t="str">
        <f aca="false">IF(INDEX('Cable Types'!$G$2:$G$41,MATCH(I3,'Cable Types'!$A$2:$A$41,0))="","",INDEX('Cable Types'!$G$2:$G$41,MATCH(I3,'Cable Types'!$A$2:$A$41,0)))</f>
        <v/>
      </c>
    </row>
    <row r="4" customFormat="false" ht="15" hidden="false" customHeight="false" outlineLevel="0" collapsed="false">
      <c r="A4" s="25" t="s">
        <v>611</v>
      </c>
      <c r="B4" s="25" t="s">
        <v>102</v>
      </c>
      <c r="C4" s="25" t="s">
        <v>59</v>
      </c>
      <c r="D4" s="25" t="s">
        <v>612</v>
      </c>
      <c r="E4" s="25" t="s">
        <v>143</v>
      </c>
      <c r="F4" s="26" t="str">
        <f aca="false">INDEX(Equipment!$B$2:$B$137,MATCH(E4,Equipment!$A$2:$A$137,0))</f>
        <v>ST step-up transformer 18/230 kV 175 MVA - HV bushings</v>
      </c>
      <c r="G4" s="25" t="s">
        <v>110</v>
      </c>
      <c r="H4" s="26" t="str">
        <f aca="false">INDEX(Equipment!$B$2:$B$137,MATCH(G4,Equipment!$A$2:$A$137,0))</f>
        <v>230 kV bay 4 - ST generator bay / line exit (gantry dead-end)</v>
      </c>
      <c r="I4" s="25" t="s">
        <v>479</v>
      </c>
      <c r="J4" s="26" t="str">
        <f aca="false">INDEX('Cable Types'!$B$2:$B$41,MATCH(I4,'Cable Types'!$A$2:$A$41,0))</f>
        <v>ACSR 795 kcmil 'Drake' 26/7, 1 per phase</v>
      </c>
      <c r="K4" s="25" t="n">
        <v>1</v>
      </c>
      <c r="L4" s="25" t="s">
        <v>608</v>
      </c>
      <c r="M4" s="25" t="s">
        <v>609</v>
      </c>
      <c r="N4" s="25"/>
      <c r="O4" s="27" t="n">
        <f aca="false">IF(N4&lt;&gt;"",N4,IF(M4="D",ROUNDUP(SQRT((AH4-AE4)^2+(AI4-AF4)^2+(AJ4-AG4)^2)*(1+'Design Basis'!$C$6),0),ROUNDUP((ABS(AH4-AE4)+ABS(AI4-AF4)+ABS(AK4-AG4)+ABS(AK4-AJ4))*(1+'Design Basis'!$C$4)+2*'Design Basis'!$C$5,0)))</f>
        <v>75</v>
      </c>
      <c r="P4" s="27" t="n">
        <f aca="false">O4*K4*AM4</f>
        <v>225</v>
      </c>
      <c r="Q4" s="28" t="n">
        <v>230000</v>
      </c>
      <c r="R4" s="25" t="n">
        <v>3</v>
      </c>
      <c r="S4" s="28" t="n">
        <v>175000</v>
      </c>
      <c r="T4" s="29" t="n">
        <v>1</v>
      </c>
      <c r="U4" s="27" t="n">
        <f aca="false">IF(OR(S4="",Q4=""),"",IF(R4=3,S4*1000/(SQRT(3)*Q4*T4),S4*1000/(Q4*T4)))</f>
        <v>439.288248296454</v>
      </c>
      <c r="V4" s="27" t="n">
        <f aca="false">IF(OR(AO4="",AL4=""),"",AO4*AL4)</f>
        <v>900</v>
      </c>
      <c r="W4" s="27" t="n">
        <f aca="false">IF(V4="","",V4*K4)</f>
        <v>900</v>
      </c>
      <c r="X4" s="30" t="n">
        <f aca="false">IF(OR(U4="",W4=""),"",U4/W4)</f>
        <v>0.488098053662727</v>
      </c>
      <c r="Y4" s="30" t="str">
        <f aca="false">IF(OR(U4="",AP4=""),"",AP4*(U4/K4)*O4/1000/Q4)</f>
        <v/>
      </c>
      <c r="Z4" s="30" t="str">
        <f aca="false">IF(U4="","",IFERROR(IF(INDEX('Design Basis'!$C$13:$C$21,MATCH(C4,'Design Basis'!$A$13:$A$21,0))="","",INDEX('Design Basis'!$C$13:$C$21,MATCH(C4,'Design Basis'!$A$13:$A$21,0))),""))</f>
        <v/>
      </c>
      <c r="AA4" s="31" t="str">
        <f aca="false">IF(U4="","n/a",IF(W4="","CHECK",IF(AND(X4&lt;=1,OR(Y4="",Z4="",Y4&lt;=Z4)),"OK","CHECK")))</f>
        <v>OK</v>
      </c>
      <c r="AB4" s="27" t="n">
        <f aca="false">IF(AN4="","",K4*AM4*PI()/4*AN4^2)</f>
        <v>1860.47473140078</v>
      </c>
      <c r="AC4" s="31" t="s">
        <v>613</v>
      </c>
      <c r="AE4" s="32" t="n">
        <f aca="false">INDEX(Equipment!$D$2:$D$137,MATCH(E4,Equipment!$A$2:$A$137,0))</f>
        <v>74</v>
      </c>
      <c r="AF4" s="32" t="n">
        <f aca="false">INDEX(Equipment!$E$2:$E$137,MATCH(E4,Equipment!$A$2:$A$137,0))</f>
        <v>65.5</v>
      </c>
      <c r="AG4" s="32" t="n">
        <f aca="false">INDEX(Equipment!$F$2:$F$137,MATCH(E4,Equipment!$A$2:$A$137,0))</f>
        <v>10</v>
      </c>
      <c r="AH4" s="32" t="n">
        <f aca="false">INDEX(Equipment!$D$2:$D$137,MATCH(G4,Equipment!$A$2:$A$137,0))</f>
        <v>80</v>
      </c>
      <c r="AI4" s="32" t="n">
        <f aca="false">INDEX(Equipment!$E$2:$E$137,MATCH(G4,Equipment!$A$2:$A$137,0))</f>
        <v>137.5</v>
      </c>
      <c r="AJ4" s="32" t="n">
        <f aca="false">INDEX(Equipment!$F$2:$F$137,MATCH(G4,Equipment!$A$2:$A$137,0))</f>
        <v>12.5</v>
      </c>
      <c r="AK4" s="32" t="n">
        <f aca="false">IF(INDEX(Raceways!$D$2:$D$18,MATCH(L4,Raceways!$A$2:$A$18,0))="",0,INDEX(Raceways!$D$2:$D$18,MATCH(L4,Raceways!$A$2:$A$18,0)))</f>
        <v>0</v>
      </c>
      <c r="AL4" s="33" t="n">
        <f aca="false">IF(INDEX(Raceways!$I$2:$I$18,MATCH(L4,Raceways!$A$2:$A$18,0))="","",INDEX(Raceways!$I$2:$I$18,MATCH(L4,Raceways!$A$2:$A$18,0)))</f>
        <v>1</v>
      </c>
      <c r="AM4" s="26" t="n">
        <f aca="false">INDEX('Cable Types'!$D$2:$D$41,MATCH(I4,'Cable Types'!$A$2:$A$41,0))</f>
        <v>3</v>
      </c>
      <c r="AN4" s="26" t="n">
        <f aca="false">IF(INDEX('Cable Types'!$E$2:$E$41,MATCH(I4,'Cable Types'!$A$2:$A$41,0))="","",INDEX('Cable Types'!$E$2:$E$41,MATCH(I4,'Cable Types'!$A$2:$A$41,0)))</f>
        <v>28.1</v>
      </c>
      <c r="AO4" s="26" t="n">
        <f aca="false">IF(INDEX('Cable Types'!$F$2:$F$41,MATCH(I4,'Cable Types'!$A$2:$A$41,0))="","",INDEX('Cable Types'!$F$2:$F$41,MATCH(I4,'Cable Types'!$A$2:$A$41,0)))</f>
        <v>900</v>
      </c>
      <c r="AP4" s="33" t="str">
        <f aca="false">IF(INDEX('Cable Types'!$G$2:$G$41,MATCH(I4,'Cable Types'!$A$2:$A$41,0))="","",INDEX('Cable Types'!$G$2:$G$41,MATCH(I4,'Cable Types'!$A$2:$A$41,0)))</f>
        <v/>
      </c>
    </row>
    <row r="5" customFormat="false" ht="15" hidden="false" customHeight="false" outlineLevel="0" collapsed="false">
      <c r="A5" s="25" t="s">
        <v>614</v>
      </c>
      <c r="B5" s="25" t="s">
        <v>102</v>
      </c>
      <c r="C5" s="25" t="s">
        <v>59</v>
      </c>
      <c r="D5" s="25" t="s">
        <v>615</v>
      </c>
      <c r="E5" s="25" t="s">
        <v>125</v>
      </c>
      <c r="F5" s="26" t="str">
        <f aca="false">INDEX(Equipment!$B$2:$B$137,MATCH(E5,Equipment!$A$2:$A$137,0))</f>
        <v>RICE step-up transformer 11/230 kV 22 MVA - HV bushings</v>
      </c>
      <c r="G5" s="25" t="s">
        <v>100</v>
      </c>
      <c r="H5" s="26" t="str">
        <f aca="false">INDEX(Equipment!$B$2:$B$137,MATCH(G5,Equipment!$A$2:$A$137,0))</f>
        <v>230 kV bay 1 - RICE transformer bay (gantry dead-end)</v>
      </c>
      <c r="I5" s="25" t="s">
        <v>479</v>
      </c>
      <c r="J5" s="26" t="str">
        <f aca="false">INDEX('Cable Types'!$B$2:$B$41,MATCH(I5,'Cable Types'!$A$2:$A$41,0))</f>
        <v>ACSR 795 kcmil 'Drake' 26/7, 1 per phase</v>
      </c>
      <c r="K5" s="25" t="n">
        <v>1</v>
      </c>
      <c r="L5" s="25" t="s">
        <v>608</v>
      </c>
      <c r="M5" s="25" t="s">
        <v>609</v>
      </c>
      <c r="N5" s="25"/>
      <c r="O5" s="27" t="n">
        <f aca="false">IF(N5&lt;&gt;"",N5,IF(M5="D",ROUNDUP(SQRT((AH5-AE5)^2+(AI5-AF5)^2+(AJ5-AG5)^2)*(1+'Design Basis'!$C$6),0),ROUNDUP((ABS(AH5-AE5)+ABS(AI5-AF5)+ABS(AK5-AG5)+ABS(AK5-AJ5))*(1+'Design Basis'!$C$4)+2*'Design Basis'!$C$5,0)))</f>
        <v>32</v>
      </c>
      <c r="P5" s="27" t="n">
        <f aca="false">O5*K5*AM5</f>
        <v>96</v>
      </c>
      <c r="Q5" s="28" t="n">
        <v>230000</v>
      </c>
      <c r="R5" s="25" t="n">
        <v>3</v>
      </c>
      <c r="S5" s="28" t="n">
        <v>22000</v>
      </c>
      <c r="T5" s="29" t="n">
        <v>1</v>
      </c>
      <c r="U5" s="27" t="n">
        <f aca="false">IF(OR(S5="",Q5=""),"",IF(R5=3,S5*1000/(SQRT(3)*Q5*T5),S5*1000/(Q5*T5)))</f>
        <v>55.2248083572686</v>
      </c>
      <c r="V5" s="27" t="n">
        <f aca="false">IF(OR(AO5="",AL5=""),"",AO5*AL5)</f>
        <v>900</v>
      </c>
      <c r="W5" s="27" t="n">
        <f aca="false">IF(V5="","",V5*K5)</f>
        <v>900</v>
      </c>
      <c r="X5" s="30" t="n">
        <f aca="false">IF(OR(U5="",W5=""),"",U5/W5)</f>
        <v>0.0613608981747428</v>
      </c>
      <c r="Y5" s="30" t="str">
        <f aca="false">IF(OR(U5="",AP5=""),"",AP5*(U5/K5)*O5/1000/Q5)</f>
        <v/>
      </c>
      <c r="Z5" s="30" t="str">
        <f aca="false">IF(U5="","",IFERROR(IF(INDEX('Design Basis'!$C$13:$C$21,MATCH(C5,'Design Basis'!$A$13:$A$21,0))="","",INDEX('Design Basis'!$C$13:$C$21,MATCH(C5,'Design Basis'!$A$13:$A$21,0))),""))</f>
        <v/>
      </c>
      <c r="AA5" s="31" t="str">
        <f aca="false">IF(U5="","n/a",IF(W5="","CHECK",IF(AND(X5&lt;=1,OR(Y5="",Z5="",Y5&lt;=Z5)),"OK","CHECK")))</f>
        <v>OK</v>
      </c>
      <c r="AB5" s="27" t="n">
        <f aca="false">IF(AN5="","",K5*AM5*PI()/4*AN5^2)</f>
        <v>1860.47473140078</v>
      </c>
      <c r="AC5" s="31" t="s">
        <v>613</v>
      </c>
      <c r="AE5" s="32" t="n">
        <f aca="false">INDEX(Equipment!$D$2:$D$137,MATCH(E5,Equipment!$A$2:$A$137,0))</f>
        <v>19</v>
      </c>
      <c r="AF5" s="32" t="n">
        <f aca="false">INDEX(Equipment!$E$2:$E$137,MATCH(E5,Equipment!$A$2:$A$137,0))</f>
        <v>107.5</v>
      </c>
      <c r="AG5" s="32" t="n">
        <f aca="false">INDEX(Equipment!$F$2:$F$137,MATCH(E5,Equipment!$A$2:$A$137,0))</f>
        <v>8</v>
      </c>
      <c r="AH5" s="32" t="n">
        <f aca="false">INDEX(Equipment!$D$2:$D$137,MATCH(G5,Equipment!$A$2:$A$137,0))</f>
        <v>20</v>
      </c>
      <c r="AI5" s="32" t="n">
        <f aca="false">INDEX(Equipment!$E$2:$E$137,MATCH(G5,Equipment!$A$2:$A$137,0))</f>
        <v>137.5</v>
      </c>
      <c r="AJ5" s="32" t="n">
        <f aca="false">INDEX(Equipment!$F$2:$F$137,MATCH(G5,Equipment!$A$2:$A$137,0))</f>
        <v>12.5</v>
      </c>
      <c r="AK5" s="32" t="n">
        <f aca="false">IF(INDEX(Raceways!$D$2:$D$18,MATCH(L5,Raceways!$A$2:$A$18,0))="",0,INDEX(Raceways!$D$2:$D$18,MATCH(L5,Raceways!$A$2:$A$18,0)))</f>
        <v>0</v>
      </c>
      <c r="AL5" s="33" t="n">
        <f aca="false">IF(INDEX(Raceways!$I$2:$I$18,MATCH(L5,Raceways!$A$2:$A$18,0))="","",INDEX(Raceways!$I$2:$I$18,MATCH(L5,Raceways!$A$2:$A$18,0)))</f>
        <v>1</v>
      </c>
      <c r="AM5" s="26" t="n">
        <f aca="false">INDEX('Cable Types'!$D$2:$D$41,MATCH(I5,'Cable Types'!$A$2:$A$41,0))</f>
        <v>3</v>
      </c>
      <c r="AN5" s="26" t="n">
        <f aca="false">IF(INDEX('Cable Types'!$E$2:$E$41,MATCH(I5,'Cable Types'!$A$2:$A$41,0))="","",INDEX('Cable Types'!$E$2:$E$41,MATCH(I5,'Cable Types'!$A$2:$A$41,0)))</f>
        <v>28.1</v>
      </c>
      <c r="AO5" s="26" t="n">
        <f aca="false">IF(INDEX('Cable Types'!$F$2:$F$41,MATCH(I5,'Cable Types'!$A$2:$A$41,0))="","",INDEX('Cable Types'!$F$2:$F$41,MATCH(I5,'Cable Types'!$A$2:$A$41,0)))</f>
        <v>900</v>
      </c>
      <c r="AP5" s="33" t="str">
        <f aca="false">IF(INDEX('Cable Types'!$G$2:$G$41,MATCH(I5,'Cable Types'!$A$2:$A$41,0))="","",INDEX('Cable Types'!$G$2:$G$41,MATCH(I5,'Cable Types'!$A$2:$A$41,0)))</f>
        <v/>
      </c>
    </row>
    <row r="6" customFormat="false" ht="15" hidden="false" customHeight="false" outlineLevel="0" collapsed="false">
      <c r="A6" s="25" t="s">
        <v>616</v>
      </c>
      <c r="B6" s="25" t="s">
        <v>102</v>
      </c>
      <c r="C6" s="25" t="s">
        <v>59</v>
      </c>
      <c r="D6" s="25" t="s">
        <v>617</v>
      </c>
      <c r="E6" s="25" t="s">
        <v>100</v>
      </c>
      <c r="F6" s="26" t="str">
        <f aca="false">INDEX(Equipment!$B$2:$B$137,MATCH(E6,Equipment!$A$2:$A$137,0))</f>
        <v>230 kV bay 1 - RICE transformer bay (gantry dead-end)</v>
      </c>
      <c r="G6" s="25" t="s">
        <v>104</v>
      </c>
      <c r="H6" s="26" t="str">
        <f aca="false">INDEX(Equipment!$B$2:$B$137,MATCH(G6,Equipment!$A$2:$A$137,0))</f>
        <v>230 kV bay 2 - bus coupler (gantry dead-end)</v>
      </c>
      <c r="I6" s="25" t="s">
        <v>482</v>
      </c>
      <c r="J6" s="26" t="str">
        <f aca="false">INDEX('Cable Types'!$B$2:$B$41,MATCH(I6,'Cable Types'!$A$2:$A$41,0))</f>
        <v>ACSR 795 kcmil 'Drake' 26/7, twin bundle per phase</v>
      </c>
      <c r="K6" s="25" t="n">
        <v>1</v>
      </c>
      <c r="L6" s="25" t="s">
        <v>608</v>
      </c>
      <c r="M6" s="25" t="s">
        <v>609</v>
      </c>
      <c r="N6" s="25"/>
      <c r="O6" s="27" t="n">
        <f aca="false">IF(N6&lt;&gt;"",N6,IF(M6="D",ROUNDUP(SQRT((AH6-AE6)^2+(AI6-AF6)^2+(AJ6-AG6)^2)*(1+'Design Basis'!$C$6),0),ROUNDUP((ABS(AH6-AE6)+ABS(AI6-AF6)+ABS(AK6-AG6)+ABS(AK6-AJ6))*(1+'Design Basis'!$C$4)+2*'Design Basis'!$C$5,0)))</f>
        <v>21</v>
      </c>
      <c r="P6" s="27" t="n">
        <f aca="false">O6*K6*AM6</f>
        <v>126</v>
      </c>
      <c r="Q6" s="28" t="n">
        <v>230000</v>
      </c>
      <c r="R6" s="25" t="n">
        <v>3</v>
      </c>
      <c r="S6" s="28" t="n">
        <v>487000</v>
      </c>
      <c r="T6" s="29" t="n">
        <v>1</v>
      </c>
      <c r="U6" s="27" t="n">
        <f aca="false">IF(OR(S6="",Q6=""),"",IF(R6=3,S6*1000/(SQRT(3)*Q6*T6),S6*1000/(Q6*T6)))</f>
        <v>1222.47643954499</v>
      </c>
      <c r="V6" s="27" t="n">
        <f aca="false">IF(OR(AO6="",AL6=""),"",AO6*AL6)</f>
        <v>1800</v>
      </c>
      <c r="W6" s="27" t="n">
        <f aca="false">IF(V6="","",V6*K6)</f>
        <v>1800</v>
      </c>
      <c r="X6" s="30" t="n">
        <f aca="false">IF(OR(U6="",W6=""),"",U6/W6)</f>
        <v>0.679153577524995</v>
      </c>
      <c r="Y6" s="30" t="str">
        <f aca="false">IF(OR(U6="",AP6=""),"",AP6*(U6/K6)*O6/1000/Q6)</f>
        <v/>
      </c>
      <c r="Z6" s="30" t="str">
        <f aca="false">IF(U6="","",IFERROR(IF(INDEX('Design Basis'!$C$13:$C$21,MATCH(C6,'Design Basis'!$A$13:$A$21,0))="","",INDEX('Design Basis'!$C$13:$C$21,MATCH(C6,'Design Basis'!$A$13:$A$21,0))),""))</f>
        <v/>
      </c>
      <c r="AA6" s="31" t="str">
        <f aca="false">IF(U6="","n/a",IF(W6="","CHECK",IF(AND(X6&lt;=1,OR(Y6="",Z6="",Y6&lt;=Z6)),"OK","CHECK")))</f>
        <v>OK</v>
      </c>
      <c r="AB6" s="27" t="n">
        <f aca="false">IF(AN6="","",K6*AM6*PI()/4*AN6^2)</f>
        <v>3720.94946280156</v>
      </c>
      <c r="AC6" s="31" t="s">
        <v>618</v>
      </c>
      <c r="AE6" s="32" t="n">
        <f aca="false">INDEX(Equipment!$D$2:$D$137,MATCH(E6,Equipment!$A$2:$A$137,0))</f>
        <v>20</v>
      </c>
      <c r="AF6" s="32" t="n">
        <f aca="false">INDEX(Equipment!$E$2:$E$137,MATCH(E6,Equipment!$A$2:$A$137,0))</f>
        <v>137.5</v>
      </c>
      <c r="AG6" s="32" t="n">
        <f aca="false">INDEX(Equipment!$F$2:$F$137,MATCH(E6,Equipment!$A$2:$A$137,0))</f>
        <v>12.5</v>
      </c>
      <c r="AH6" s="32" t="n">
        <f aca="false">INDEX(Equipment!$D$2:$D$137,MATCH(G6,Equipment!$A$2:$A$137,0))</f>
        <v>40</v>
      </c>
      <c r="AI6" s="32" t="n">
        <f aca="false">INDEX(Equipment!$E$2:$E$137,MATCH(G6,Equipment!$A$2:$A$137,0))</f>
        <v>137.5</v>
      </c>
      <c r="AJ6" s="32" t="n">
        <f aca="false">INDEX(Equipment!$F$2:$F$137,MATCH(G6,Equipment!$A$2:$A$137,0))</f>
        <v>12.5</v>
      </c>
      <c r="AK6" s="32" t="n">
        <f aca="false">IF(INDEX(Raceways!$D$2:$D$18,MATCH(L6,Raceways!$A$2:$A$18,0))="",0,INDEX(Raceways!$D$2:$D$18,MATCH(L6,Raceways!$A$2:$A$18,0)))</f>
        <v>0</v>
      </c>
      <c r="AL6" s="33" t="n">
        <f aca="false">IF(INDEX(Raceways!$I$2:$I$18,MATCH(L6,Raceways!$A$2:$A$18,0))="","",INDEX(Raceways!$I$2:$I$18,MATCH(L6,Raceways!$A$2:$A$18,0)))</f>
        <v>1</v>
      </c>
      <c r="AM6" s="26" t="n">
        <f aca="false">INDEX('Cable Types'!$D$2:$D$41,MATCH(I6,'Cable Types'!$A$2:$A$41,0))</f>
        <v>6</v>
      </c>
      <c r="AN6" s="26" t="n">
        <f aca="false">IF(INDEX('Cable Types'!$E$2:$E$41,MATCH(I6,'Cable Types'!$A$2:$A$41,0))="","",INDEX('Cable Types'!$E$2:$E$41,MATCH(I6,'Cable Types'!$A$2:$A$41,0)))</f>
        <v>28.1</v>
      </c>
      <c r="AO6" s="26" t="n">
        <f aca="false">IF(INDEX('Cable Types'!$F$2:$F$41,MATCH(I6,'Cable Types'!$A$2:$A$41,0))="","",INDEX('Cable Types'!$F$2:$F$41,MATCH(I6,'Cable Types'!$A$2:$A$41,0)))</f>
        <v>1800</v>
      </c>
      <c r="AP6" s="33" t="str">
        <f aca="false">IF(INDEX('Cable Types'!$G$2:$G$41,MATCH(I6,'Cable Types'!$A$2:$A$41,0))="","",INDEX('Cable Types'!$G$2:$G$41,MATCH(I6,'Cable Types'!$A$2:$A$41,0)))</f>
        <v/>
      </c>
    </row>
    <row r="7" customFormat="false" ht="15" hidden="false" customHeight="false" outlineLevel="0" collapsed="false">
      <c r="A7" s="25" t="s">
        <v>619</v>
      </c>
      <c r="B7" s="25" t="s">
        <v>102</v>
      </c>
      <c r="C7" s="25" t="s">
        <v>59</v>
      </c>
      <c r="D7" s="25" t="s">
        <v>620</v>
      </c>
      <c r="E7" s="25" t="s">
        <v>104</v>
      </c>
      <c r="F7" s="26" t="str">
        <f aca="false">INDEX(Equipment!$B$2:$B$137,MATCH(E7,Equipment!$A$2:$A$137,0))</f>
        <v>230 kV bay 2 - bus coupler (gantry dead-end)</v>
      </c>
      <c r="G7" s="25" t="s">
        <v>107</v>
      </c>
      <c r="H7" s="26" t="str">
        <f aca="false">INDEX(Equipment!$B$2:$B$137,MATCH(G7,Equipment!$A$2:$A$137,0))</f>
        <v>230 kV bay 3 - GT generator bay (gantry dead-end)</v>
      </c>
      <c r="I7" s="25" t="s">
        <v>482</v>
      </c>
      <c r="J7" s="26" t="str">
        <f aca="false">INDEX('Cable Types'!$B$2:$B$41,MATCH(I7,'Cable Types'!$A$2:$A$41,0))</f>
        <v>ACSR 795 kcmil 'Drake' 26/7, twin bundle per phase</v>
      </c>
      <c r="K7" s="25" t="n">
        <v>1</v>
      </c>
      <c r="L7" s="25" t="s">
        <v>608</v>
      </c>
      <c r="M7" s="25" t="s">
        <v>609</v>
      </c>
      <c r="N7" s="25"/>
      <c r="O7" s="27" t="n">
        <f aca="false">IF(N7&lt;&gt;"",N7,IF(M7="D",ROUNDUP(SQRT((AH7-AE7)^2+(AI7-AF7)^2+(AJ7-AG7)^2)*(1+'Design Basis'!$C$6),0),ROUNDUP((ABS(AH7-AE7)+ABS(AI7-AF7)+ABS(AK7-AG7)+ABS(AK7-AJ7))*(1+'Design Basis'!$C$4)+2*'Design Basis'!$C$5,0)))</f>
        <v>21</v>
      </c>
      <c r="P7" s="27" t="n">
        <f aca="false">O7*K7*AM7</f>
        <v>126</v>
      </c>
      <c r="Q7" s="28" t="n">
        <v>230000</v>
      </c>
      <c r="R7" s="25" t="n">
        <v>3</v>
      </c>
      <c r="S7" s="28" t="n">
        <v>487000</v>
      </c>
      <c r="T7" s="29" t="n">
        <v>1</v>
      </c>
      <c r="U7" s="27" t="n">
        <f aca="false">IF(OR(S7="",Q7=""),"",IF(R7=3,S7*1000/(SQRT(3)*Q7*T7),S7*1000/(Q7*T7)))</f>
        <v>1222.47643954499</v>
      </c>
      <c r="V7" s="27" t="n">
        <f aca="false">IF(OR(AO7="",AL7=""),"",AO7*AL7)</f>
        <v>1800</v>
      </c>
      <c r="W7" s="27" t="n">
        <f aca="false">IF(V7="","",V7*K7)</f>
        <v>1800</v>
      </c>
      <c r="X7" s="30" t="n">
        <f aca="false">IF(OR(U7="",W7=""),"",U7/W7)</f>
        <v>0.679153577524995</v>
      </c>
      <c r="Y7" s="30" t="str">
        <f aca="false">IF(OR(U7="",AP7=""),"",AP7*(U7/K7)*O7/1000/Q7)</f>
        <v/>
      </c>
      <c r="Z7" s="30" t="str">
        <f aca="false">IF(U7="","",IFERROR(IF(INDEX('Design Basis'!$C$13:$C$21,MATCH(C7,'Design Basis'!$A$13:$A$21,0))="","",INDEX('Design Basis'!$C$13:$C$21,MATCH(C7,'Design Basis'!$A$13:$A$21,0))),""))</f>
        <v/>
      </c>
      <c r="AA7" s="31" t="str">
        <f aca="false">IF(U7="","n/a",IF(W7="","CHECK",IF(AND(X7&lt;=1,OR(Y7="",Z7="",Y7&lt;=Z7)),"OK","CHECK")))</f>
        <v>OK</v>
      </c>
      <c r="AB7" s="27" t="n">
        <f aca="false">IF(AN7="","",K7*AM7*PI()/4*AN7^2)</f>
        <v>3720.94946280156</v>
      </c>
      <c r="AC7" s="31"/>
      <c r="AE7" s="32" t="n">
        <f aca="false">INDEX(Equipment!$D$2:$D$137,MATCH(E7,Equipment!$A$2:$A$137,0))</f>
        <v>40</v>
      </c>
      <c r="AF7" s="32" t="n">
        <f aca="false">INDEX(Equipment!$E$2:$E$137,MATCH(E7,Equipment!$A$2:$A$137,0))</f>
        <v>137.5</v>
      </c>
      <c r="AG7" s="32" t="n">
        <f aca="false">INDEX(Equipment!$F$2:$F$137,MATCH(E7,Equipment!$A$2:$A$137,0))</f>
        <v>12.5</v>
      </c>
      <c r="AH7" s="32" t="n">
        <f aca="false">INDEX(Equipment!$D$2:$D$137,MATCH(G7,Equipment!$A$2:$A$137,0))</f>
        <v>60</v>
      </c>
      <c r="AI7" s="32" t="n">
        <f aca="false">INDEX(Equipment!$E$2:$E$137,MATCH(G7,Equipment!$A$2:$A$137,0))</f>
        <v>137.5</v>
      </c>
      <c r="AJ7" s="32" t="n">
        <f aca="false">INDEX(Equipment!$F$2:$F$137,MATCH(G7,Equipment!$A$2:$A$137,0))</f>
        <v>12.5</v>
      </c>
      <c r="AK7" s="32" t="n">
        <f aca="false">IF(INDEX(Raceways!$D$2:$D$18,MATCH(L7,Raceways!$A$2:$A$18,0))="",0,INDEX(Raceways!$D$2:$D$18,MATCH(L7,Raceways!$A$2:$A$18,0)))</f>
        <v>0</v>
      </c>
      <c r="AL7" s="33" t="n">
        <f aca="false">IF(INDEX(Raceways!$I$2:$I$18,MATCH(L7,Raceways!$A$2:$A$18,0))="","",INDEX(Raceways!$I$2:$I$18,MATCH(L7,Raceways!$A$2:$A$18,0)))</f>
        <v>1</v>
      </c>
      <c r="AM7" s="26" t="n">
        <f aca="false">INDEX('Cable Types'!$D$2:$D$41,MATCH(I7,'Cable Types'!$A$2:$A$41,0))</f>
        <v>6</v>
      </c>
      <c r="AN7" s="26" t="n">
        <f aca="false">IF(INDEX('Cable Types'!$E$2:$E$41,MATCH(I7,'Cable Types'!$A$2:$A$41,0))="","",INDEX('Cable Types'!$E$2:$E$41,MATCH(I7,'Cable Types'!$A$2:$A$41,0)))</f>
        <v>28.1</v>
      </c>
      <c r="AO7" s="26" t="n">
        <f aca="false">IF(INDEX('Cable Types'!$F$2:$F$41,MATCH(I7,'Cable Types'!$A$2:$A$41,0))="","",INDEX('Cable Types'!$F$2:$F$41,MATCH(I7,'Cable Types'!$A$2:$A$41,0)))</f>
        <v>1800</v>
      </c>
      <c r="AP7" s="33" t="str">
        <f aca="false">IF(INDEX('Cable Types'!$G$2:$G$41,MATCH(I7,'Cable Types'!$A$2:$A$41,0))="","",INDEX('Cable Types'!$G$2:$G$41,MATCH(I7,'Cable Types'!$A$2:$A$41,0)))</f>
        <v/>
      </c>
    </row>
    <row r="8" customFormat="false" ht="15" hidden="false" customHeight="false" outlineLevel="0" collapsed="false">
      <c r="A8" s="25" t="s">
        <v>621</v>
      </c>
      <c r="B8" s="25" t="s">
        <v>102</v>
      </c>
      <c r="C8" s="25" t="s">
        <v>59</v>
      </c>
      <c r="D8" s="25" t="s">
        <v>622</v>
      </c>
      <c r="E8" s="25" t="s">
        <v>107</v>
      </c>
      <c r="F8" s="26" t="str">
        <f aca="false">INDEX(Equipment!$B$2:$B$137,MATCH(E8,Equipment!$A$2:$A$137,0))</f>
        <v>230 kV bay 3 - GT generator bay (gantry dead-end)</v>
      </c>
      <c r="G8" s="25" t="s">
        <v>110</v>
      </c>
      <c r="H8" s="26" t="str">
        <f aca="false">INDEX(Equipment!$B$2:$B$137,MATCH(G8,Equipment!$A$2:$A$137,0))</f>
        <v>230 kV bay 4 - ST generator bay / line exit (gantry dead-end)</v>
      </c>
      <c r="I8" s="25" t="s">
        <v>482</v>
      </c>
      <c r="J8" s="26" t="str">
        <f aca="false">INDEX('Cable Types'!$B$2:$B$41,MATCH(I8,'Cable Types'!$A$2:$A$41,0))</f>
        <v>ACSR 795 kcmil 'Drake' 26/7, twin bundle per phase</v>
      </c>
      <c r="K8" s="25" t="n">
        <v>1</v>
      </c>
      <c r="L8" s="25" t="s">
        <v>608</v>
      </c>
      <c r="M8" s="25" t="s">
        <v>609</v>
      </c>
      <c r="N8" s="25"/>
      <c r="O8" s="27" t="n">
        <f aca="false">IF(N8&lt;&gt;"",N8,IF(M8="D",ROUNDUP(SQRT((AH8-AE8)^2+(AI8-AF8)^2+(AJ8-AG8)^2)*(1+'Design Basis'!$C$6),0),ROUNDUP((ABS(AH8-AE8)+ABS(AI8-AF8)+ABS(AK8-AG8)+ABS(AK8-AJ8))*(1+'Design Basis'!$C$4)+2*'Design Basis'!$C$5,0)))</f>
        <v>21</v>
      </c>
      <c r="P8" s="27" t="n">
        <f aca="false">O8*K8*AM8</f>
        <v>126</v>
      </c>
      <c r="Q8" s="28" t="n">
        <v>230000</v>
      </c>
      <c r="R8" s="25" t="n">
        <v>3</v>
      </c>
      <c r="S8" s="28" t="n">
        <v>487000</v>
      </c>
      <c r="T8" s="29" t="n">
        <v>1</v>
      </c>
      <c r="U8" s="27" t="n">
        <f aca="false">IF(OR(S8="",Q8=""),"",IF(R8=3,S8*1000/(SQRT(3)*Q8*T8),S8*1000/(Q8*T8)))</f>
        <v>1222.47643954499</v>
      </c>
      <c r="V8" s="27" t="n">
        <f aca="false">IF(OR(AO8="",AL8=""),"",AO8*AL8)</f>
        <v>1800</v>
      </c>
      <c r="W8" s="27" t="n">
        <f aca="false">IF(V8="","",V8*K8)</f>
        <v>1800</v>
      </c>
      <c r="X8" s="30" t="n">
        <f aca="false">IF(OR(U8="",W8=""),"",U8/W8)</f>
        <v>0.679153577524995</v>
      </c>
      <c r="Y8" s="30" t="str">
        <f aca="false">IF(OR(U8="",AP8=""),"",AP8*(U8/K8)*O8/1000/Q8)</f>
        <v/>
      </c>
      <c r="Z8" s="30" t="str">
        <f aca="false">IF(U8="","",IFERROR(IF(INDEX('Design Basis'!$C$13:$C$21,MATCH(C8,'Design Basis'!$A$13:$A$21,0))="","",INDEX('Design Basis'!$C$13:$C$21,MATCH(C8,'Design Basis'!$A$13:$A$21,0))),""))</f>
        <v/>
      </c>
      <c r="AA8" s="31" t="str">
        <f aca="false">IF(U8="","n/a",IF(W8="","CHECK",IF(AND(X8&lt;=1,OR(Y8="",Z8="",Y8&lt;=Z8)),"OK","CHECK")))</f>
        <v>OK</v>
      </c>
      <c r="AB8" s="27" t="n">
        <f aca="false">IF(AN8="","",K8*AM8*PI()/4*AN8^2)</f>
        <v>3720.94946280156</v>
      </c>
      <c r="AC8" s="31"/>
      <c r="AE8" s="32" t="n">
        <f aca="false">INDEX(Equipment!$D$2:$D$137,MATCH(E8,Equipment!$A$2:$A$137,0))</f>
        <v>60</v>
      </c>
      <c r="AF8" s="32" t="n">
        <f aca="false">INDEX(Equipment!$E$2:$E$137,MATCH(E8,Equipment!$A$2:$A$137,0))</f>
        <v>137.5</v>
      </c>
      <c r="AG8" s="32" t="n">
        <f aca="false">INDEX(Equipment!$F$2:$F$137,MATCH(E8,Equipment!$A$2:$A$137,0))</f>
        <v>12.5</v>
      </c>
      <c r="AH8" s="32" t="n">
        <f aca="false">INDEX(Equipment!$D$2:$D$137,MATCH(G8,Equipment!$A$2:$A$137,0))</f>
        <v>80</v>
      </c>
      <c r="AI8" s="32" t="n">
        <f aca="false">INDEX(Equipment!$E$2:$E$137,MATCH(G8,Equipment!$A$2:$A$137,0))</f>
        <v>137.5</v>
      </c>
      <c r="AJ8" s="32" t="n">
        <f aca="false">INDEX(Equipment!$F$2:$F$137,MATCH(G8,Equipment!$A$2:$A$137,0))</f>
        <v>12.5</v>
      </c>
      <c r="AK8" s="32" t="n">
        <f aca="false">IF(INDEX(Raceways!$D$2:$D$18,MATCH(L8,Raceways!$A$2:$A$18,0))="",0,INDEX(Raceways!$D$2:$D$18,MATCH(L8,Raceways!$A$2:$A$18,0)))</f>
        <v>0</v>
      </c>
      <c r="AL8" s="33" t="n">
        <f aca="false">IF(INDEX(Raceways!$I$2:$I$18,MATCH(L8,Raceways!$A$2:$A$18,0))="","",INDEX(Raceways!$I$2:$I$18,MATCH(L8,Raceways!$A$2:$A$18,0)))</f>
        <v>1</v>
      </c>
      <c r="AM8" s="26" t="n">
        <f aca="false">INDEX('Cable Types'!$D$2:$D$41,MATCH(I8,'Cable Types'!$A$2:$A$41,0))</f>
        <v>6</v>
      </c>
      <c r="AN8" s="26" t="n">
        <f aca="false">IF(INDEX('Cable Types'!$E$2:$E$41,MATCH(I8,'Cable Types'!$A$2:$A$41,0))="","",INDEX('Cable Types'!$E$2:$E$41,MATCH(I8,'Cable Types'!$A$2:$A$41,0)))</f>
        <v>28.1</v>
      </c>
      <c r="AO8" s="26" t="n">
        <f aca="false">IF(INDEX('Cable Types'!$F$2:$F$41,MATCH(I8,'Cable Types'!$A$2:$A$41,0))="","",INDEX('Cable Types'!$F$2:$F$41,MATCH(I8,'Cable Types'!$A$2:$A$41,0)))</f>
        <v>1800</v>
      </c>
      <c r="AP8" s="33" t="str">
        <f aca="false">IF(INDEX('Cable Types'!$G$2:$G$41,MATCH(I8,'Cable Types'!$A$2:$A$41,0))="","",INDEX('Cable Types'!$G$2:$G$41,MATCH(I8,'Cable Types'!$A$2:$A$41,0)))</f>
        <v/>
      </c>
    </row>
    <row r="9" customFormat="false" ht="15" hidden="false" customHeight="false" outlineLevel="0" collapsed="false">
      <c r="A9" s="25" t="s">
        <v>623</v>
      </c>
      <c r="B9" s="25" t="s">
        <v>102</v>
      </c>
      <c r="C9" s="25" t="s">
        <v>59</v>
      </c>
      <c r="D9" s="25" t="s">
        <v>624</v>
      </c>
      <c r="E9" s="25" t="s">
        <v>110</v>
      </c>
      <c r="F9" s="26" t="str">
        <f aca="false">INDEX(Equipment!$B$2:$B$137,MATCH(E9,Equipment!$A$2:$A$137,0))</f>
        <v>230 kV bay 4 - ST generator bay / line exit (gantry dead-end)</v>
      </c>
      <c r="G9" s="25" t="s">
        <v>113</v>
      </c>
      <c r="H9" s="26" t="str">
        <f aca="false">INDEX(Equipment!$B$2:$B$137,MATCH(G9,Equipment!$A$2:$A$137,0))</f>
        <v>230 kV transmission tower 1 (terminal)</v>
      </c>
      <c r="I9" s="25" t="s">
        <v>482</v>
      </c>
      <c r="J9" s="26" t="str">
        <f aca="false">INDEX('Cable Types'!$B$2:$B$41,MATCH(I9,'Cable Types'!$A$2:$A$41,0))</f>
        <v>ACSR 795 kcmil 'Drake' 26/7, twin bundle per phase</v>
      </c>
      <c r="K9" s="25" t="n">
        <v>1</v>
      </c>
      <c r="L9" s="25" t="s">
        <v>608</v>
      </c>
      <c r="M9" s="25" t="s">
        <v>609</v>
      </c>
      <c r="N9" s="25"/>
      <c r="O9" s="27" t="n">
        <f aca="false">IF(N9&lt;&gt;"",N9,IF(M9="D",ROUNDUP(SQRT((AH9-AE9)^2+(AI9-AF9)^2+(AJ9-AG9)^2)*(1+'Design Basis'!$C$6),0),ROUNDUP((ABS(AH9-AE9)+ABS(AI9-AF9)+ABS(AK9-AG9)+ABS(AK9-AJ9))*(1+'Design Basis'!$C$4)+2*'Design Basis'!$C$5,0)))</f>
        <v>56</v>
      </c>
      <c r="P9" s="27" t="n">
        <f aca="false">O9*K9*AM9</f>
        <v>336</v>
      </c>
      <c r="Q9" s="28" t="n">
        <v>230000</v>
      </c>
      <c r="R9" s="25" t="n">
        <v>3</v>
      </c>
      <c r="S9" s="28" t="n">
        <v>487000</v>
      </c>
      <c r="T9" s="29" t="n">
        <v>1</v>
      </c>
      <c r="U9" s="27" t="n">
        <f aca="false">IF(OR(S9="",Q9=""),"",IF(R9=3,S9*1000/(SQRT(3)*Q9*T9),S9*1000/(Q9*T9)))</f>
        <v>1222.47643954499</v>
      </c>
      <c r="V9" s="27" t="n">
        <f aca="false">IF(OR(AO9="",AL9=""),"",AO9*AL9)</f>
        <v>1800</v>
      </c>
      <c r="W9" s="27" t="n">
        <f aca="false">IF(V9="","",V9*K9)</f>
        <v>1800</v>
      </c>
      <c r="X9" s="30" t="n">
        <f aca="false">IF(OR(U9="",W9=""),"",U9/W9)</f>
        <v>0.679153577524995</v>
      </c>
      <c r="Y9" s="30" t="str">
        <f aca="false">IF(OR(U9="",AP9=""),"",AP9*(U9/K9)*O9/1000/Q9)</f>
        <v/>
      </c>
      <c r="Z9" s="30" t="str">
        <f aca="false">IF(U9="","",IFERROR(IF(INDEX('Design Basis'!$C$13:$C$21,MATCH(C9,'Design Basis'!$A$13:$A$21,0))="","",INDEX('Design Basis'!$C$13:$C$21,MATCH(C9,'Design Basis'!$A$13:$A$21,0))),""))</f>
        <v/>
      </c>
      <c r="AA9" s="31" t="str">
        <f aca="false">IF(U9="","n/a",IF(W9="","CHECK",IF(AND(X9&lt;=1,OR(Y9="",Z9="",Y9&lt;=Z9)),"OK","CHECK")))</f>
        <v>OK</v>
      </c>
      <c r="AB9" s="27" t="n">
        <f aca="false">IF(AN9="","",K9*AM9*PI()/4*AN9^2)</f>
        <v>3720.94946280156</v>
      </c>
      <c r="AC9" s="31"/>
      <c r="AE9" s="32" t="n">
        <f aca="false">INDEX(Equipment!$D$2:$D$137,MATCH(E9,Equipment!$A$2:$A$137,0))</f>
        <v>80</v>
      </c>
      <c r="AF9" s="32" t="n">
        <f aca="false">INDEX(Equipment!$E$2:$E$137,MATCH(E9,Equipment!$A$2:$A$137,0))</f>
        <v>137.5</v>
      </c>
      <c r="AG9" s="32" t="n">
        <f aca="false">INDEX(Equipment!$F$2:$F$137,MATCH(E9,Equipment!$A$2:$A$137,0))</f>
        <v>12.5</v>
      </c>
      <c r="AH9" s="32" t="n">
        <f aca="false">INDEX(Equipment!$D$2:$D$137,MATCH(G9,Equipment!$A$2:$A$137,0))</f>
        <v>130</v>
      </c>
      <c r="AI9" s="32" t="n">
        <f aca="false">INDEX(Equipment!$E$2:$E$137,MATCH(G9,Equipment!$A$2:$A$137,0))</f>
        <v>137.5</v>
      </c>
      <c r="AJ9" s="32" t="n">
        <f aca="false">INDEX(Equipment!$F$2:$F$137,MATCH(G9,Equipment!$A$2:$A$137,0))</f>
        <v>31.5</v>
      </c>
      <c r="AK9" s="32" t="n">
        <f aca="false">IF(INDEX(Raceways!$D$2:$D$18,MATCH(L9,Raceways!$A$2:$A$18,0))="",0,INDEX(Raceways!$D$2:$D$18,MATCH(L9,Raceways!$A$2:$A$18,0)))</f>
        <v>0</v>
      </c>
      <c r="AL9" s="33" t="n">
        <f aca="false">IF(INDEX(Raceways!$I$2:$I$18,MATCH(L9,Raceways!$A$2:$A$18,0))="","",INDEX(Raceways!$I$2:$I$18,MATCH(L9,Raceways!$A$2:$A$18,0)))</f>
        <v>1</v>
      </c>
      <c r="AM9" s="26" t="n">
        <f aca="false">INDEX('Cable Types'!$D$2:$D$41,MATCH(I9,'Cable Types'!$A$2:$A$41,0))</f>
        <v>6</v>
      </c>
      <c r="AN9" s="26" t="n">
        <f aca="false">IF(INDEX('Cable Types'!$E$2:$E$41,MATCH(I9,'Cable Types'!$A$2:$A$41,0))="","",INDEX('Cable Types'!$E$2:$E$41,MATCH(I9,'Cable Types'!$A$2:$A$41,0)))</f>
        <v>28.1</v>
      </c>
      <c r="AO9" s="26" t="n">
        <f aca="false">IF(INDEX('Cable Types'!$F$2:$F$41,MATCH(I9,'Cable Types'!$A$2:$A$41,0))="","",INDEX('Cable Types'!$F$2:$F$41,MATCH(I9,'Cable Types'!$A$2:$A$41,0)))</f>
        <v>1800</v>
      </c>
      <c r="AP9" s="33" t="str">
        <f aca="false">IF(INDEX('Cable Types'!$G$2:$G$41,MATCH(I9,'Cable Types'!$A$2:$A$41,0))="","",INDEX('Cable Types'!$G$2:$G$41,MATCH(I9,'Cable Types'!$A$2:$A$41,0)))</f>
        <v/>
      </c>
    </row>
    <row r="10" customFormat="false" ht="15" hidden="false" customHeight="false" outlineLevel="0" collapsed="false">
      <c r="A10" s="25" t="s">
        <v>625</v>
      </c>
      <c r="B10" s="25" t="s">
        <v>102</v>
      </c>
      <c r="C10" s="25" t="s">
        <v>59</v>
      </c>
      <c r="D10" s="25" t="s">
        <v>626</v>
      </c>
      <c r="E10" s="25" t="s">
        <v>113</v>
      </c>
      <c r="F10" s="26" t="str">
        <f aca="false">INDEX(Equipment!$B$2:$B$137,MATCH(E10,Equipment!$A$2:$A$137,0))</f>
        <v>230 kV transmission tower 1 (terminal)</v>
      </c>
      <c r="G10" s="25" t="s">
        <v>116</v>
      </c>
      <c r="H10" s="26" t="str">
        <f aca="false">INDEX(Equipment!$B$2:$B$137,MATCH(G10,Equipment!$A$2:$A$137,0))</f>
        <v>230 kV transmission tower 2 (suspension)</v>
      </c>
      <c r="I10" s="25" t="s">
        <v>482</v>
      </c>
      <c r="J10" s="26" t="str">
        <f aca="false">INDEX('Cable Types'!$B$2:$B$41,MATCH(I10,'Cable Types'!$A$2:$A$41,0))</f>
        <v>ACSR 795 kcmil 'Drake' 26/7, twin bundle per phase</v>
      </c>
      <c r="K10" s="25" t="n">
        <v>1</v>
      </c>
      <c r="L10" s="25" t="s">
        <v>608</v>
      </c>
      <c r="M10" s="25" t="s">
        <v>609</v>
      </c>
      <c r="N10" s="25"/>
      <c r="O10" s="27" t="n">
        <f aca="false">IF(N10&lt;&gt;"",N10,IF(M10="D",ROUNDUP(SQRT((AH10-AE10)^2+(AI10-AF10)^2+(AJ10-AG10)^2)*(1+'Design Basis'!$C$6),0),ROUNDUP((ABS(AH10-AE10)+ABS(AI10-AF10)+ABS(AK10-AG10)+ABS(AK10-AJ10))*(1+'Design Basis'!$C$4)+2*'Design Basis'!$C$5,0)))</f>
        <v>74</v>
      </c>
      <c r="P10" s="27" t="n">
        <f aca="false">O10*K10*AM10</f>
        <v>444</v>
      </c>
      <c r="Q10" s="28" t="n">
        <v>230000</v>
      </c>
      <c r="R10" s="25" t="n">
        <v>3</v>
      </c>
      <c r="S10" s="28" t="n">
        <v>487000</v>
      </c>
      <c r="T10" s="29" t="n">
        <v>1</v>
      </c>
      <c r="U10" s="27" t="n">
        <f aca="false">IF(OR(S10="",Q10=""),"",IF(R10=3,S10*1000/(SQRT(3)*Q10*T10),S10*1000/(Q10*T10)))</f>
        <v>1222.47643954499</v>
      </c>
      <c r="V10" s="27" t="n">
        <f aca="false">IF(OR(AO10="",AL10=""),"",AO10*AL10)</f>
        <v>1800</v>
      </c>
      <c r="W10" s="27" t="n">
        <f aca="false">IF(V10="","",V10*K10)</f>
        <v>1800</v>
      </c>
      <c r="X10" s="30" t="n">
        <f aca="false">IF(OR(U10="",W10=""),"",U10/W10)</f>
        <v>0.679153577524995</v>
      </c>
      <c r="Y10" s="30" t="str">
        <f aca="false">IF(OR(U10="",AP10=""),"",AP10*(U10/K10)*O10/1000/Q10)</f>
        <v/>
      </c>
      <c r="Z10" s="30" t="str">
        <f aca="false">IF(U10="","",IFERROR(IF(INDEX('Design Basis'!$C$13:$C$21,MATCH(C10,'Design Basis'!$A$13:$A$21,0))="","",INDEX('Design Basis'!$C$13:$C$21,MATCH(C10,'Design Basis'!$A$13:$A$21,0))),""))</f>
        <v/>
      </c>
      <c r="AA10" s="31" t="str">
        <f aca="false">IF(U10="","n/a",IF(W10="","CHECK",IF(AND(X10&lt;=1,OR(Y10="",Z10="",Y10&lt;=Z10)),"OK","CHECK")))</f>
        <v>OK</v>
      </c>
      <c r="AB10" s="27" t="n">
        <f aca="false">IF(AN10="","",K10*AM10*PI()/4*AN10^2)</f>
        <v>3720.94946280156</v>
      </c>
      <c r="AC10" s="31"/>
      <c r="AE10" s="32" t="n">
        <f aca="false">INDEX(Equipment!$D$2:$D$137,MATCH(E10,Equipment!$A$2:$A$137,0))</f>
        <v>130</v>
      </c>
      <c r="AF10" s="32" t="n">
        <f aca="false">INDEX(Equipment!$E$2:$E$137,MATCH(E10,Equipment!$A$2:$A$137,0))</f>
        <v>137.5</v>
      </c>
      <c r="AG10" s="32" t="n">
        <f aca="false">INDEX(Equipment!$F$2:$F$137,MATCH(E10,Equipment!$A$2:$A$137,0))</f>
        <v>31.5</v>
      </c>
      <c r="AH10" s="32" t="n">
        <f aca="false">INDEX(Equipment!$D$2:$D$137,MATCH(G10,Equipment!$A$2:$A$137,0))</f>
        <v>200</v>
      </c>
      <c r="AI10" s="32" t="n">
        <f aca="false">INDEX(Equipment!$E$2:$E$137,MATCH(G10,Equipment!$A$2:$A$137,0))</f>
        <v>152.5</v>
      </c>
      <c r="AJ10" s="32" t="n">
        <f aca="false">INDEX(Equipment!$F$2:$F$137,MATCH(G10,Equipment!$A$2:$A$137,0))</f>
        <v>31.5</v>
      </c>
      <c r="AK10" s="32" t="n">
        <f aca="false">IF(INDEX(Raceways!$D$2:$D$18,MATCH(L10,Raceways!$A$2:$A$18,0))="",0,INDEX(Raceways!$D$2:$D$18,MATCH(L10,Raceways!$A$2:$A$18,0)))</f>
        <v>0</v>
      </c>
      <c r="AL10" s="33" t="n">
        <f aca="false">IF(INDEX(Raceways!$I$2:$I$18,MATCH(L10,Raceways!$A$2:$A$18,0))="","",INDEX(Raceways!$I$2:$I$18,MATCH(L10,Raceways!$A$2:$A$18,0)))</f>
        <v>1</v>
      </c>
      <c r="AM10" s="26" t="n">
        <f aca="false">INDEX('Cable Types'!$D$2:$D$41,MATCH(I10,'Cable Types'!$A$2:$A$41,0))</f>
        <v>6</v>
      </c>
      <c r="AN10" s="26" t="n">
        <f aca="false">IF(INDEX('Cable Types'!$E$2:$E$41,MATCH(I10,'Cable Types'!$A$2:$A$41,0))="","",INDEX('Cable Types'!$E$2:$E$41,MATCH(I10,'Cable Types'!$A$2:$A$41,0)))</f>
        <v>28.1</v>
      </c>
      <c r="AO10" s="26" t="n">
        <f aca="false">IF(INDEX('Cable Types'!$F$2:$F$41,MATCH(I10,'Cable Types'!$A$2:$A$41,0))="","",INDEX('Cable Types'!$F$2:$F$41,MATCH(I10,'Cable Types'!$A$2:$A$41,0)))</f>
        <v>1800</v>
      </c>
      <c r="AP10" s="33" t="str">
        <f aca="false">IF(INDEX('Cable Types'!$G$2:$G$41,MATCH(I10,'Cable Types'!$A$2:$A$41,0))="","",INDEX('Cable Types'!$G$2:$G$41,MATCH(I10,'Cable Types'!$A$2:$A$41,0)))</f>
        <v/>
      </c>
    </row>
    <row r="11" customFormat="false" ht="15" hidden="false" customHeight="false" outlineLevel="0" collapsed="false">
      <c r="A11" s="25" t="s">
        <v>627</v>
      </c>
      <c r="B11" s="25" t="s">
        <v>102</v>
      </c>
      <c r="C11" s="25" t="s">
        <v>59</v>
      </c>
      <c r="D11" s="25" t="s">
        <v>628</v>
      </c>
      <c r="E11" s="25" t="s">
        <v>116</v>
      </c>
      <c r="F11" s="26" t="str">
        <f aca="false">INDEX(Equipment!$B$2:$B$137,MATCH(E11,Equipment!$A$2:$A$137,0))</f>
        <v>230 kV transmission tower 2 (suspension)</v>
      </c>
      <c r="G11" s="25" t="s">
        <v>119</v>
      </c>
      <c r="H11" s="26" t="str">
        <f aca="false">INDEX(Equipment!$B$2:$B$137,MATCH(G11,Equipment!$A$2:$A$137,0))</f>
        <v>230 kV transmission tower 3 (suspension)</v>
      </c>
      <c r="I11" s="25" t="s">
        <v>482</v>
      </c>
      <c r="J11" s="26" t="str">
        <f aca="false">INDEX('Cable Types'!$B$2:$B$41,MATCH(I11,'Cable Types'!$A$2:$A$41,0))</f>
        <v>ACSR 795 kcmil 'Drake' 26/7, twin bundle per phase</v>
      </c>
      <c r="K11" s="25" t="n">
        <v>1</v>
      </c>
      <c r="L11" s="25" t="s">
        <v>608</v>
      </c>
      <c r="M11" s="25" t="s">
        <v>609</v>
      </c>
      <c r="N11" s="25"/>
      <c r="O11" s="27" t="n">
        <f aca="false">IF(N11&lt;&gt;"",N11,IF(M11="D",ROUNDUP(SQRT((AH11-AE11)^2+(AI11-AF11)^2+(AJ11-AG11)^2)*(1+'Design Basis'!$C$6),0),ROUNDUP((ABS(AH11-AE11)+ABS(AI11-AF11)+ABS(AK11-AG11)+ABS(AK11-AJ11))*(1+'Design Basis'!$C$4)+2*'Design Basis'!$C$5,0)))</f>
        <v>74</v>
      </c>
      <c r="P11" s="27" t="n">
        <f aca="false">O11*K11*AM11</f>
        <v>444</v>
      </c>
      <c r="Q11" s="28" t="n">
        <v>230000</v>
      </c>
      <c r="R11" s="25" t="n">
        <v>3</v>
      </c>
      <c r="S11" s="28" t="n">
        <v>487000</v>
      </c>
      <c r="T11" s="29" t="n">
        <v>1</v>
      </c>
      <c r="U11" s="27" t="n">
        <f aca="false">IF(OR(S11="",Q11=""),"",IF(R11=3,S11*1000/(SQRT(3)*Q11*T11),S11*1000/(Q11*T11)))</f>
        <v>1222.47643954499</v>
      </c>
      <c r="V11" s="27" t="n">
        <f aca="false">IF(OR(AO11="",AL11=""),"",AO11*AL11)</f>
        <v>1800</v>
      </c>
      <c r="W11" s="27" t="n">
        <f aca="false">IF(V11="","",V11*K11)</f>
        <v>1800</v>
      </c>
      <c r="X11" s="30" t="n">
        <f aca="false">IF(OR(U11="",W11=""),"",U11/W11)</f>
        <v>0.679153577524995</v>
      </c>
      <c r="Y11" s="30" t="str">
        <f aca="false">IF(OR(U11="",AP11=""),"",AP11*(U11/K11)*O11/1000/Q11)</f>
        <v/>
      </c>
      <c r="Z11" s="30" t="str">
        <f aca="false">IF(U11="","",IFERROR(IF(INDEX('Design Basis'!$C$13:$C$21,MATCH(C11,'Design Basis'!$A$13:$A$21,0))="","",INDEX('Design Basis'!$C$13:$C$21,MATCH(C11,'Design Basis'!$A$13:$A$21,0))),""))</f>
        <v/>
      </c>
      <c r="AA11" s="31" t="str">
        <f aca="false">IF(U11="","n/a",IF(W11="","CHECK",IF(AND(X11&lt;=1,OR(Y11="",Z11="",Y11&lt;=Z11)),"OK","CHECK")))</f>
        <v>OK</v>
      </c>
      <c r="AB11" s="27" t="n">
        <f aca="false">IF(AN11="","",K11*AM11*PI()/4*AN11^2)</f>
        <v>3720.94946280156</v>
      </c>
      <c r="AC11" s="31"/>
      <c r="AE11" s="32" t="n">
        <f aca="false">INDEX(Equipment!$D$2:$D$137,MATCH(E11,Equipment!$A$2:$A$137,0))</f>
        <v>200</v>
      </c>
      <c r="AF11" s="32" t="n">
        <f aca="false">INDEX(Equipment!$E$2:$E$137,MATCH(E11,Equipment!$A$2:$A$137,0))</f>
        <v>152.5</v>
      </c>
      <c r="AG11" s="32" t="n">
        <f aca="false">INDEX(Equipment!$F$2:$F$137,MATCH(E11,Equipment!$A$2:$A$137,0))</f>
        <v>31.5</v>
      </c>
      <c r="AH11" s="32" t="n">
        <f aca="false">INDEX(Equipment!$D$2:$D$137,MATCH(G11,Equipment!$A$2:$A$137,0))</f>
        <v>270</v>
      </c>
      <c r="AI11" s="32" t="n">
        <f aca="false">INDEX(Equipment!$E$2:$E$137,MATCH(G11,Equipment!$A$2:$A$137,0))</f>
        <v>167.5</v>
      </c>
      <c r="AJ11" s="32" t="n">
        <f aca="false">INDEX(Equipment!$F$2:$F$137,MATCH(G11,Equipment!$A$2:$A$137,0))</f>
        <v>31.5</v>
      </c>
      <c r="AK11" s="32" t="n">
        <f aca="false">IF(INDEX(Raceways!$D$2:$D$18,MATCH(L11,Raceways!$A$2:$A$18,0))="",0,INDEX(Raceways!$D$2:$D$18,MATCH(L11,Raceways!$A$2:$A$18,0)))</f>
        <v>0</v>
      </c>
      <c r="AL11" s="33" t="n">
        <f aca="false">IF(INDEX(Raceways!$I$2:$I$18,MATCH(L11,Raceways!$A$2:$A$18,0))="","",INDEX(Raceways!$I$2:$I$18,MATCH(L11,Raceways!$A$2:$A$18,0)))</f>
        <v>1</v>
      </c>
      <c r="AM11" s="26" t="n">
        <f aca="false">INDEX('Cable Types'!$D$2:$D$41,MATCH(I11,'Cable Types'!$A$2:$A$41,0))</f>
        <v>6</v>
      </c>
      <c r="AN11" s="26" t="n">
        <f aca="false">IF(INDEX('Cable Types'!$E$2:$E$41,MATCH(I11,'Cable Types'!$A$2:$A$41,0))="","",INDEX('Cable Types'!$E$2:$E$41,MATCH(I11,'Cable Types'!$A$2:$A$41,0)))</f>
        <v>28.1</v>
      </c>
      <c r="AO11" s="26" t="n">
        <f aca="false">IF(INDEX('Cable Types'!$F$2:$F$41,MATCH(I11,'Cable Types'!$A$2:$A$41,0))="","",INDEX('Cable Types'!$F$2:$F$41,MATCH(I11,'Cable Types'!$A$2:$A$41,0)))</f>
        <v>1800</v>
      </c>
      <c r="AP11" s="33" t="str">
        <f aca="false">IF(INDEX('Cable Types'!$G$2:$G$41,MATCH(I11,'Cable Types'!$A$2:$A$41,0))="","",INDEX('Cable Types'!$G$2:$G$41,MATCH(I11,'Cable Types'!$A$2:$A$41,0)))</f>
        <v/>
      </c>
    </row>
    <row r="12" customFormat="false" ht="15" hidden="false" customHeight="false" outlineLevel="0" collapsed="false">
      <c r="A12" s="25" t="s">
        <v>629</v>
      </c>
      <c r="B12" s="25" t="s">
        <v>102</v>
      </c>
      <c r="C12" s="25" t="s">
        <v>59</v>
      </c>
      <c r="D12" s="25" t="s">
        <v>630</v>
      </c>
      <c r="E12" s="25" t="s">
        <v>100</v>
      </c>
      <c r="F12" s="26" t="str">
        <f aca="false">INDEX(Equipment!$B$2:$B$137,MATCH(E12,Equipment!$A$2:$A$137,0))</f>
        <v>230 kV bay 1 - RICE transformer bay (gantry dead-end)</v>
      </c>
      <c r="G12" s="25" t="s">
        <v>110</v>
      </c>
      <c r="H12" s="26" t="str">
        <f aca="false">INDEX(Equipment!$B$2:$B$137,MATCH(G12,Equipment!$A$2:$A$137,0))</f>
        <v>230 kV bay 4 - ST generator bay / line exit (gantry dead-end)</v>
      </c>
      <c r="I12" s="25" t="s">
        <v>484</v>
      </c>
      <c r="J12" s="26" t="str">
        <f aca="false">INDEX('Cable Types'!$B$2:$B$41,MATCH(I12,'Cable Types'!$A$2:$A$41,0))</f>
        <v>Shield wire 7/16" EHS galvanised steel</v>
      </c>
      <c r="K12" s="25" t="n">
        <v>2</v>
      </c>
      <c r="L12" s="25" t="s">
        <v>608</v>
      </c>
      <c r="M12" s="25" t="s">
        <v>609</v>
      </c>
      <c r="N12" s="25"/>
      <c r="O12" s="27" t="n">
        <f aca="false">IF(N12&lt;&gt;"",N12,IF(M12="D",ROUNDUP(SQRT((AH12-AE12)^2+(AI12-AF12)^2+(AJ12-AG12)^2)*(1+'Design Basis'!$C$6),0),ROUNDUP((ABS(AH12-AE12)+ABS(AI12-AF12)+ABS(AK12-AG12)+ABS(AK12-AJ12))*(1+'Design Basis'!$C$4)+2*'Design Basis'!$C$5,0)))</f>
        <v>62</v>
      </c>
      <c r="P12" s="27" t="n">
        <f aca="false">O12*K12*AM12</f>
        <v>124</v>
      </c>
      <c r="Q12" s="28"/>
      <c r="R12" s="25"/>
      <c r="S12" s="28"/>
      <c r="T12" s="29"/>
      <c r="U12" s="27" t="str">
        <f aca="false">IF(OR(S12="",Q12=""),"",IF(R12=3,S12*1000/(SQRT(3)*Q12*T12),S12*1000/(Q12*T12)))</f>
        <v/>
      </c>
      <c r="V12" s="27" t="str">
        <f aca="false">IF(OR(AO12="",AL12=""),"",AO12*AL12)</f>
        <v/>
      </c>
      <c r="W12" s="27" t="str">
        <f aca="false">IF(V12="","",V12*K12)</f>
        <v/>
      </c>
      <c r="X12" s="30" t="str">
        <f aca="false">IF(OR(U12="",W12=""),"",U12/W12)</f>
        <v/>
      </c>
      <c r="Y12" s="30" t="str">
        <f aca="false">IF(OR(U12="",AP12=""),"",AP12*(U12/K12)*O12/1000/Q12)</f>
        <v/>
      </c>
      <c r="Z12" s="30" t="str">
        <f aca="false">IF(U12="","",IFERROR(IF(INDEX('Design Basis'!$C$13:$C$21,MATCH(C12,'Design Basis'!$A$13:$A$21,0))="","",INDEX('Design Basis'!$C$13:$C$21,MATCH(C12,'Design Basis'!$A$13:$A$21,0))),""))</f>
        <v/>
      </c>
      <c r="AA12" s="31" t="str">
        <f aca="false">IF(U12="","n/a",IF(W12="","CHECK",IF(AND(X12&lt;=1,OR(Y12="",Z12="",Y12&lt;=Z12)),"OK","CHECK")))</f>
        <v>n/a</v>
      </c>
      <c r="AB12" s="27" t="n">
        <f aca="false">IF(AN12="","",K12*AM12*PI()/4*AN12^2)</f>
        <v>193.537815424399</v>
      </c>
      <c r="AC12" s="31" t="s">
        <v>631</v>
      </c>
      <c r="AE12" s="32" t="n">
        <f aca="false">INDEX(Equipment!$D$2:$D$137,MATCH(E12,Equipment!$A$2:$A$137,0))</f>
        <v>20</v>
      </c>
      <c r="AF12" s="32" t="n">
        <f aca="false">INDEX(Equipment!$E$2:$E$137,MATCH(E12,Equipment!$A$2:$A$137,0))</f>
        <v>137.5</v>
      </c>
      <c r="AG12" s="32" t="n">
        <f aca="false">INDEX(Equipment!$F$2:$F$137,MATCH(E12,Equipment!$A$2:$A$137,0))</f>
        <v>12.5</v>
      </c>
      <c r="AH12" s="32" t="n">
        <f aca="false">INDEX(Equipment!$D$2:$D$137,MATCH(G12,Equipment!$A$2:$A$137,0))</f>
        <v>80</v>
      </c>
      <c r="AI12" s="32" t="n">
        <f aca="false">INDEX(Equipment!$E$2:$E$137,MATCH(G12,Equipment!$A$2:$A$137,0))</f>
        <v>137.5</v>
      </c>
      <c r="AJ12" s="32" t="n">
        <f aca="false">INDEX(Equipment!$F$2:$F$137,MATCH(G12,Equipment!$A$2:$A$137,0))</f>
        <v>12.5</v>
      </c>
      <c r="AK12" s="32" t="n">
        <f aca="false">IF(INDEX(Raceways!$D$2:$D$18,MATCH(L12,Raceways!$A$2:$A$18,0))="",0,INDEX(Raceways!$D$2:$D$18,MATCH(L12,Raceways!$A$2:$A$18,0)))</f>
        <v>0</v>
      </c>
      <c r="AL12" s="33" t="n">
        <f aca="false">IF(INDEX(Raceways!$I$2:$I$18,MATCH(L12,Raceways!$A$2:$A$18,0))="","",INDEX(Raceways!$I$2:$I$18,MATCH(L12,Raceways!$A$2:$A$18,0)))</f>
        <v>1</v>
      </c>
      <c r="AM12" s="26" t="n">
        <f aca="false">INDEX('Cable Types'!$D$2:$D$41,MATCH(I12,'Cable Types'!$A$2:$A$41,0))</f>
        <v>1</v>
      </c>
      <c r="AN12" s="26" t="n">
        <f aca="false">IF(INDEX('Cable Types'!$E$2:$E$41,MATCH(I12,'Cable Types'!$A$2:$A$41,0))="","",INDEX('Cable Types'!$E$2:$E$41,MATCH(I12,'Cable Types'!$A$2:$A$41,0)))</f>
        <v>11.1</v>
      </c>
      <c r="AO12" s="26" t="str">
        <f aca="false">IF(INDEX('Cable Types'!$F$2:$F$41,MATCH(I12,'Cable Types'!$A$2:$A$41,0))="","",INDEX('Cable Types'!$F$2:$F$41,MATCH(I12,'Cable Types'!$A$2:$A$41,0)))</f>
        <v/>
      </c>
      <c r="AP12" s="33" t="str">
        <f aca="false">IF(INDEX('Cable Types'!$G$2:$G$41,MATCH(I12,'Cable Types'!$A$2:$A$41,0))="","",INDEX('Cable Types'!$G$2:$G$41,MATCH(I12,'Cable Types'!$A$2:$A$41,0)))</f>
        <v/>
      </c>
    </row>
    <row r="13" customFormat="false" ht="15" hidden="false" customHeight="false" outlineLevel="0" collapsed="false">
      <c r="A13" s="25" t="s">
        <v>632</v>
      </c>
      <c r="B13" s="25" t="s">
        <v>102</v>
      </c>
      <c r="C13" s="25" t="s">
        <v>59</v>
      </c>
      <c r="D13" s="25" t="s">
        <v>633</v>
      </c>
      <c r="E13" s="25" t="s">
        <v>110</v>
      </c>
      <c r="F13" s="26" t="str">
        <f aca="false">INDEX(Equipment!$B$2:$B$137,MATCH(E13,Equipment!$A$2:$A$137,0))</f>
        <v>230 kV bay 4 - ST generator bay / line exit (gantry dead-end)</v>
      </c>
      <c r="G13" s="25" t="s">
        <v>119</v>
      </c>
      <c r="H13" s="26" t="str">
        <f aca="false">INDEX(Equipment!$B$2:$B$137,MATCH(G13,Equipment!$A$2:$A$137,0))</f>
        <v>230 kV transmission tower 3 (suspension)</v>
      </c>
      <c r="I13" s="25" t="s">
        <v>486</v>
      </c>
      <c r="J13" s="26" t="str">
        <f aca="false">INDEX('Cable Types'!$B$2:$B$41,MATCH(I13,'Cable Types'!$A$2:$A$41,0))</f>
        <v>OPGW 24-fibre shield wire</v>
      </c>
      <c r="K13" s="25" t="n">
        <v>1</v>
      </c>
      <c r="L13" s="25" t="s">
        <v>608</v>
      </c>
      <c r="M13" s="25" t="s">
        <v>609</v>
      </c>
      <c r="N13" s="25"/>
      <c r="O13" s="27" t="n">
        <f aca="false">IF(N13&lt;&gt;"",N13,IF(M13="D",ROUNDUP(SQRT((AH13-AE13)^2+(AI13-AF13)^2+(AJ13-AG13)^2)*(1+'Design Basis'!$C$6),0),ROUNDUP((ABS(AH13-AE13)+ABS(AI13-AF13)+ABS(AK13-AG13)+ABS(AK13-AJ13))*(1+'Design Basis'!$C$4)+2*'Design Basis'!$C$5,0)))</f>
        <v>200</v>
      </c>
      <c r="P13" s="27" t="n">
        <f aca="false">O13*K13*AM13</f>
        <v>200</v>
      </c>
      <c r="Q13" s="28"/>
      <c r="R13" s="25"/>
      <c r="S13" s="28"/>
      <c r="T13" s="29"/>
      <c r="U13" s="27" t="str">
        <f aca="false">IF(OR(S13="",Q13=""),"",IF(R13=3,S13*1000/(SQRT(3)*Q13*T13),S13*1000/(Q13*T13)))</f>
        <v/>
      </c>
      <c r="V13" s="27" t="str">
        <f aca="false">IF(OR(AO13="",AL13=""),"",AO13*AL13)</f>
        <v/>
      </c>
      <c r="W13" s="27" t="str">
        <f aca="false">IF(V13="","",V13*K13)</f>
        <v/>
      </c>
      <c r="X13" s="30" t="str">
        <f aca="false">IF(OR(U13="",W13=""),"",U13/W13)</f>
        <v/>
      </c>
      <c r="Y13" s="30" t="str">
        <f aca="false">IF(OR(U13="",AP13=""),"",AP13*(U13/K13)*O13/1000/Q13)</f>
        <v/>
      </c>
      <c r="Z13" s="30" t="str">
        <f aca="false">IF(U13="","",IFERROR(IF(INDEX('Design Basis'!$C$13:$C$21,MATCH(C13,'Design Basis'!$A$13:$A$21,0))="","",INDEX('Design Basis'!$C$13:$C$21,MATCH(C13,'Design Basis'!$A$13:$A$21,0))),""))</f>
        <v/>
      </c>
      <c r="AA13" s="31" t="str">
        <f aca="false">IF(U13="","n/a",IF(W13="","CHECK",IF(AND(X13&lt;=1,OR(Y13="",Z13="",Y13&lt;=Z13)),"OK","CHECK")))</f>
        <v>n/a</v>
      </c>
      <c r="AB13" s="27" t="n">
        <f aca="false">IF(AN13="","",K13*AM13*PI()/4*AN13^2)</f>
        <v>153.9380400259</v>
      </c>
      <c r="AC13" s="31" t="s">
        <v>634</v>
      </c>
      <c r="AE13" s="32" t="n">
        <f aca="false">INDEX(Equipment!$D$2:$D$137,MATCH(E13,Equipment!$A$2:$A$137,0))</f>
        <v>80</v>
      </c>
      <c r="AF13" s="32" t="n">
        <f aca="false">INDEX(Equipment!$E$2:$E$137,MATCH(E13,Equipment!$A$2:$A$137,0))</f>
        <v>137.5</v>
      </c>
      <c r="AG13" s="32" t="n">
        <f aca="false">INDEX(Equipment!$F$2:$F$137,MATCH(E13,Equipment!$A$2:$A$137,0))</f>
        <v>12.5</v>
      </c>
      <c r="AH13" s="32" t="n">
        <f aca="false">INDEX(Equipment!$D$2:$D$137,MATCH(G13,Equipment!$A$2:$A$137,0))</f>
        <v>270</v>
      </c>
      <c r="AI13" s="32" t="n">
        <f aca="false">INDEX(Equipment!$E$2:$E$137,MATCH(G13,Equipment!$A$2:$A$137,0))</f>
        <v>167.5</v>
      </c>
      <c r="AJ13" s="32" t="n">
        <f aca="false">INDEX(Equipment!$F$2:$F$137,MATCH(G13,Equipment!$A$2:$A$137,0))</f>
        <v>31.5</v>
      </c>
      <c r="AK13" s="32" t="n">
        <f aca="false">IF(INDEX(Raceways!$D$2:$D$18,MATCH(L13,Raceways!$A$2:$A$18,0))="",0,INDEX(Raceways!$D$2:$D$18,MATCH(L13,Raceways!$A$2:$A$18,0)))</f>
        <v>0</v>
      </c>
      <c r="AL13" s="33" t="n">
        <f aca="false">IF(INDEX(Raceways!$I$2:$I$18,MATCH(L13,Raceways!$A$2:$A$18,0))="","",INDEX(Raceways!$I$2:$I$18,MATCH(L13,Raceways!$A$2:$A$18,0)))</f>
        <v>1</v>
      </c>
      <c r="AM13" s="26" t="n">
        <f aca="false">INDEX('Cable Types'!$D$2:$D$41,MATCH(I13,'Cable Types'!$A$2:$A$41,0))</f>
        <v>1</v>
      </c>
      <c r="AN13" s="26" t="n">
        <f aca="false">IF(INDEX('Cable Types'!$E$2:$E$41,MATCH(I13,'Cable Types'!$A$2:$A$41,0))="","",INDEX('Cable Types'!$E$2:$E$41,MATCH(I13,'Cable Types'!$A$2:$A$41,0)))</f>
        <v>14</v>
      </c>
      <c r="AO13" s="26" t="str">
        <f aca="false">IF(INDEX('Cable Types'!$F$2:$F$41,MATCH(I13,'Cable Types'!$A$2:$A$41,0))="","",INDEX('Cable Types'!$F$2:$F$41,MATCH(I13,'Cable Types'!$A$2:$A$41,0)))</f>
        <v/>
      </c>
      <c r="AP13" s="33" t="str">
        <f aca="false">IF(INDEX('Cable Types'!$G$2:$G$41,MATCH(I13,'Cable Types'!$A$2:$A$41,0))="","",INDEX('Cable Types'!$G$2:$G$41,MATCH(I13,'Cable Types'!$A$2:$A$41,0)))</f>
        <v/>
      </c>
    </row>
    <row r="14" customFormat="false" ht="15" hidden="false" customHeight="false" outlineLevel="0" collapsed="false">
      <c r="A14" s="25" t="s">
        <v>635</v>
      </c>
      <c r="B14" s="25" t="s">
        <v>133</v>
      </c>
      <c r="C14" s="25" t="s">
        <v>62</v>
      </c>
      <c r="D14" s="25" t="s">
        <v>636</v>
      </c>
      <c r="E14" s="25" t="s">
        <v>131</v>
      </c>
      <c r="F14" s="26" t="str">
        <f aca="false">INDEX(Equipment!$B$2:$B$137,MATCH(E14,Equipment!$A$2:$A$137,0))</f>
        <v>Gas turbine generator ~290 MVA, 19 kV - line terminals</v>
      </c>
      <c r="G14" s="25" t="s">
        <v>141</v>
      </c>
      <c r="H14" s="26" t="str">
        <f aca="false">INDEX(Equipment!$B$2:$B$137,MATCH(G14,Equipment!$A$2:$A$137,0))</f>
        <v>GT step-up transformer - LV bushings / marshalling box</v>
      </c>
      <c r="I14" s="25" t="s">
        <v>488</v>
      </c>
      <c r="J14" s="26" t="str">
        <f aca="false">INDEX('Cable Types'!$B$2:$B$41,MATCH(I14,'Cable Types'!$A$2:$A$41,0))</f>
        <v>Isolated phase bus 24 kV, 10 kA (per phase metre)</v>
      </c>
      <c r="K14" s="25" t="n">
        <v>1</v>
      </c>
      <c r="L14" s="25" t="s">
        <v>637</v>
      </c>
      <c r="M14" s="25" t="s">
        <v>638</v>
      </c>
      <c r="N14" s="25"/>
      <c r="O14" s="27" t="n">
        <f aca="false">IF(N14&lt;&gt;"",N14,IF(M14="D",ROUNDUP(SQRT((AH14-AE14)^2+(AI14-AF14)^2+(AJ14-AG14)^2)*(1+'Design Basis'!$C$6),0),ROUNDUP((ABS(AH14-AE14)+ABS(AI14-AF14)+ABS(AK14-AG14)+ABS(AK14-AJ14))*(1+'Design Basis'!$C$4)+2*'Design Basis'!$C$5,0)))</f>
        <v>58</v>
      </c>
      <c r="P14" s="27" t="n">
        <f aca="false">O14*K14*AM14</f>
        <v>174</v>
      </c>
      <c r="Q14" s="28" t="n">
        <v>19000</v>
      </c>
      <c r="R14" s="25" t="n">
        <v>3</v>
      </c>
      <c r="S14" s="28" t="n">
        <v>290000</v>
      </c>
      <c r="T14" s="29" t="n">
        <v>1</v>
      </c>
      <c r="U14" s="27" t="n">
        <f aca="false">IF(OR(S14="",Q14=""),"",IF(R14=3,S14*1000/(SQRT(3)*Q14*T14),S14*1000/(Q14*T14)))</f>
        <v>8812.18831921008</v>
      </c>
      <c r="V14" s="27" t="n">
        <f aca="false">IF(OR(AO14="",AL14=""),"",AO14*AL14)</f>
        <v>10000</v>
      </c>
      <c r="W14" s="27" t="n">
        <f aca="false">IF(V14="","",V14*K14)</f>
        <v>10000</v>
      </c>
      <c r="X14" s="30" t="n">
        <f aca="false">IF(OR(U14="",W14=""),"",U14/W14)</f>
        <v>0.881218831921008</v>
      </c>
      <c r="Y14" s="30" t="str">
        <f aca="false">IF(OR(U14="",AP14=""),"",AP14*(U14/K14)*O14/1000/Q14)</f>
        <v/>
      </c>
      <c r="Z14" s="30" t="str">
        <f aca="false">IF(U14="","",IFERROR(IF(INDEX('Design Basis'!$C$13:$C$21,MATCH(C14,'Design Basis'!$A$13:$A$21,0))="","",INDEX('Design Basis'!$C$13:$C$21,MATCH(C14,'Design Basis'!$A$13:$A$21,0))),""))</f>
        <v/>
      </c>
      <c r="AA14" s="31" t="str">
        <f aca="false">IF(U14="","n/a",IF(W14="","CHECK",IF(AND(X14&lt;=1,OR(Y14="",Z14="",Y14&lt;=Z14)),"OK","CHECK")))</f>
        <v>OK</v>
      </c>
      <c r="AB14" s="27" t="str">
        <f aca="false">IF(AN14="","",K14*AM14*PI()/4*AN14^2)</f>
        <v/>
      </c>
      <c r="AC14" s="31" t="s">
        <v>639</v>
      </c>
      <c r="AE14" s="32" t="n">
        <f aca="false">INDEX(Equipment!$D$2:$D$137,MATCH(E14,Equipment!$A$2:$A$137,0))</f>
        <v>58</v>
      </c>
      <c r="AF14" s="32" t="n">
        <f aca="false">INDEX(Equipment!$E$2:$E$137,MATCH(E14,Equipment!$A$2:$A$137,0))</f>
        <v>18</v>
      </c>
      <c r="AG14" s="32" t="n">
        <f aca="false">INDEX(Equipment!$F$2:$F$137,MATCH(E14,Equipment!$A$2:$A$137,0))</f>
        <v>4</v>
      </c>
      <c r="AH14" s="32" t="n">
        <f aca="false">INDEX(Equipment!$D$2:$D$137,MATCH(G14,Equipment!$A$2:$A$137,0))</f>
        <v>54</v>
      </c>
      <c r="AI14" s="32" t="n">
        <f aca="false">INDEX(Equipment!$E$2:$E$137,MATCH(G14,Equipment!$A$2:$A$137,0))</f>
        <v>60</v>
      </c>
      <c r="AJ14" s="32" t="n">
        <f aca="false">INDEX(Equipment!$F$2:$F$137,MATCH(G14,Equipment!$A$2:$A$137,0))</f>
        <v>4.5</v>
      </c>
      <c r="AK14" s="32" t="n">
        <f aca="false">IF(INDEX(Raceways!$D$2:$D$18,MATCH(L14,Raceways!$A$2:$A$18,0))="",0,INDEX(Raceways!$D$2:$D$18,MATCH(L14,Raceways!$A$2:$A$18,0)))</f>
        <v>4</v>
      </c>
      <c r="AL14" s="33" t="n">
        <f aca="false">IF(INDEX(Raceways!$I$2:$I$18,MATCH(L14,Raceways!$A$2:$A$18,0))="","",INDEX(Raceways!$I$2:$I$18,MATCH(L14,Raceways!$A$2:$A$18,0)))</f>
        <v>1</v>
      </c>
      <c r="AM14" s="26" t="n">
        <f aca="false">INDEX('Cable Types'!$D$2:$D$41,MATCH(I14,'Cable Types'!$A$2:$A$41,0))</f>
        <v>3</v>
      </c>
      <c r="AN14" s="26" t="str">
        <f aca="false">IF(INDEX('Cable Types'!$E$2:$E$41,MATCH(I14,'Cable Types'!$A$2:$A$41,0))="","",INDEX('Cable Types'!$E$2:$E$41,MATCH(I14,'Cable Types'!$A$2:$A$41,0)))</f>
        <v/>
      </c>
      <c r="AO14" s="26" t="n">
        <f aca="false">IF(INDEX('Cable Types'!$F$2:$F$41,MATCH(I14,'Cable Types'!$A$2:$A$41,0))="","",INDEX('Cable Types'!$F$2:$F$41,MATCH(I14,'Cable Types'!$A$2:$A$41,0)))</f>
        <v>10000</v>
      </c>
      <c r="AP14" s="33" t="str">
        <f aca="false">IF(INDEX('Cable Types'!$G$2:$G$41,MATCH(I14,'Cable Types'!$A$2:$A$41,0))="","",INDEX('Cable Types'!$G$2:$G$41,MATCH(I14,'Cable Types'!$A$2:$A$41,0)))</f>
        <v/>
      </c>
    </row>
    <row r="15" customFormat="false" ht="15" hidden="false" customHeight="false" outlineLevel="0" collapsed="false">
      <c r="A15" s="25" t="s">
        <v>640</v>
      </c>
      <c r="B15" s="25" t="s">
        <v>133</v>
      </c>
      <c r="C15" s="25" t="s">
        <v>62</v>
      </c>
      <c r="D15" s="25" t="s">
        <v>641</v>
      </c>
      <c r="E15" s="25" t="s">
        <v>131</v>
      </c>
      <c r="F15" s="26" t="str">
        <f aca="false">INDEX(Equipment!$B$2:$B$137,MATCH(E15,Equipment!$A$2:$A$137,0))</f>
        <v>Gas turbine generator ~290 MVA, 19 kV - line terminals</v>
      </c>
      <c r="G15" s="25" t="s">
        <v>148</v>
      </c>
      <c r="H15" s="26" t="str">
        <f aca="false">INDEX(Equipment!$B$2:$B$137,MATCH(G15,Equipment!$A$2:$A$137,0))</f>
        <v>Unit auxiliary transformer 1, 19/11.5 kV 45 MVA</v>
      </c>
      <c r="I15" s="25" t="s">
        <v>493</v>
      </c>
      <c r="J15" s="26" t="str">
        <f aca="false">INDEX('Cable Types'!$B$2:$B$41,MATCH(I15,'Cable Types'!$A$2:$A$41,0))</f>
        <v>Isolated phase tap bus 24 kV, 3 kA (per phase metre)</v>
      </c>
      <c r="K15" s="25" t="n">
        <v>1</v>
      </c>
      <c r="L15" s="25" t="s">
        <v>637</v>
      </c>
      <c r="M15" s="25" t="s">
        <v>638</v>
      </c>
      <c r="N15" s="25"/>
      <c r="O15" s="27" t="n">
        <f aca="false">IF(N15&lt;&gt;"",N15,IF(M15="D",ROUNDUP(SQRT((AH15-AE15)^2+(AI15-AF15)^2+(AJ15-AG15)^2)*(1+'Design Basis'!$C$6),0),ROUNDUP((ABS(AH15-AE15)+ABS(AI15-AF15)+ABS(AK15-AG15)+ABS(AK15-AJ15))*(1+'Design Basis'!$C$4)+2*'Design Basis'!$C$5,0)))</f>
        <v>74</v>
      </c>
      <c r="P15" s="27" t="n">
        <f aca="false">O15*K15*AM15</f>
        <v>222</v>
      </c>
      <c r="Q15" s="28" t="n">
        <v>19000</v>
      </c>
      <c r="R15" s="25" t="n">
        <v>3</v>
      </c>
      <c r="S15" s="28" t="n">
        <v>45000</v>
      </c>
      <c r="T15" s="29" t="n">
        <v>1</v>
      </c>
      <c r="U15" s="27" t="n">
        <f aca="false">IF(OR(S15="",Q15=""),"",IF(R15=3,S15*1000/(SQRT(3)*Q15*T15),S15*1000/(Q15*T15)))</f>
        <v>1367.40853229122</v>
      </c>
      <c r="V15" s="27" t="n">
        <f aca="false">IF(OR(AO15="",AL15=""),"",AO15*AL15)</f>
        <v>3000</v>
      </c>
      <c r="W15" s="27" t="n">
        <f aca="false">IF(V15="","",V15*K15)</f>
        <v>3000</v>
      </c>
      <c r="X15" s="30" t="n">
        <f aca="false">IF(OR(U15="",W15=""),"",U15/W15)</f>
        <v>0.455802844097073</v>
      </c>
      <c r="Y15" s="30" t="str">
        <f aca="false">IF(OR(U15="",AP15=""),"",AP15*(U15/K15)*O15/1000/Q15)</f>
        <v/>
      </c>
      <c r="Z15" s="30" t="str">
        <f aca="false">IF(U15="","",IFERROR(IF(INDEX('Design Basis'!$C$13:$C$21,MATCH(C15,'Design Basis'!$A$13:$A$21,0))="","",INDEX('Design Basis'!$C$13:$C$21,MATCH(C15,'Design Basis'!$A$13:$A$21,0))),""))</f>
        <v/>
      </c>
      <c r="AA15" s="31" t="str">
        <f aca="false">IF(U15="","n/a",IF(W15="","CHECK",IF(AND(X15&lt;=1,OR(Y15="",Z15="",Y15&lt;=Z15)),"OK","CHECK")))</f>
        <v>OK</v>
      </c>
      <c r="AB15" s="27" t="str">
        <f aca="false">IF(AN15="","",K15*AM15*PI()/4*AN15^2)</f>
        <v/>
      </c>
      <c r="AC15" s="31"/>
      <c r="AE15" s="32" t="n">
        <f aca="false">INDEX(Equipment!$D$2:$D$137,MATCH(E15,Equipment!$A$2:$A$137,0))</f>
        <v>58</v>
      </c>
      <c r="AF15" s="32" t="n">
        <f aca="false">INDEX(Equipment!$E$2:$E$137,MATCH(E15,Equipment!$A$2:$A$137,0))</f>
        <v>18</v>
      </c>
      <c r="AG15" s="32" t="n">
        <f aca="false">INDEX(Equipment!$F$2:$F$137,MATCH(E15,Equipment!$A$2:$A$137,0))</f>
        <v>4</v>
      </c>
      <c r="AH15" s="32" t="n">
        <f aca="false">INDEX(Equipment!$D$2:$D$137,MATCH(G15,Equipment!$A$2:$A$137,0))</f>
        <v>44</v>
      </c>
      <c r="AI15" s="32" t="n">
        <f aca="false">INDEX(Equipment!$E$2:$E$137,MATCH(G15,Equipment!$A$2:$A$137,0))</f>
        <v>64</v>
      </c>
      <c r="AJ15" s="32" t="n">
        <f aca="false">INDEX(Equipment!$F$2:$F$137,MATCH(G15,Equipment!$A$2:$A$137,0))</f>
        <v>3</v>
      </c>
      <c r="AK15" s="32" t="n">
        <f aca="false">IF(INDEX(Raceways!$D$2:$D$18,MATCH(L15,Raceways!$A$2:$A$18,0))="",0,INDEX(Raceways!$D$2:$D$18,MATCH(L15,Raceways!$A$2:$A$18,0)))</f>
        <v>4</v>
      </c>
      <c r="AL15" s="33" t="n">
        <f aca="false">IF(INDEX(Raceways!$I$2:$I$18,MATCH(L15,Raceways!$A$2:$A$18,0))="","",INDEX(Raceways!$I$2:$I$18,MATCH(L15,Raceways!$A$2:$A$18,0)))</f>
        <v>1</v>
      </c>
      <c r="AM15" s="26" t="n">
        <f aca="false">INDEX('Cable Types'!$D$2:$D$41,MATCH(I15,'Cable Types'!$A$2:$A$41,0))</f>
        <v>3</v>
      </c>
      <c r="AN15" s="26" t="str">
        <f aca="false">IF(INDEX('Cable Types'!$E$2:$E$41,MATCH(I15,'Cable Types'!$A$2:$A$41,0))="","",INDEX('Cable Types'!$E$2:$E$41,MATCH(I15,'Cable Types'!$A$2:$A$41,0)))</f>
        <v/>
      </c>
      <c r="AO15" s="26" t="n">
        <f aca="false">IF(INDEX('Cable Types'!$F$2:$F$41,MATCH(I15,'Cable Types'!$A$2:$A$41,0))="","",INDEX('Cable Types'!$F$2:$F$41,MATCH(I15,'Cable Types'!$A$2:$A$41,0)))</f>
        <v>3000</v>
      </c>
      <c r="AP15" s="33" t="str">
        <f aca="false">IF(INDEX('Cable Types'!$G$2:$G$41,MATCH(I15,'Cable Types'!$A$2:$A$41,0))="","",INDEX('Cable Types'!$G$2:$G$41,MATCH(I15,'Cable Types'!$A$2:$A$41,0)))</f>
        <v/>
      </c>
    </row>
    <row r="16" customFormat="false" ht="15" hidden="false" customHeight="false" outlineLevel="0" collapsed="false">
      <c r="A16" s="25" t="s">
        <v>642</v>
      </c>
      <c r="B16" s="25" t="s">
        <v>133</v>
      </c>
      <c r="C16" s="25" t="s">
        <v>62</v>
      </c>
      <c r="D16" s="25" t="s">
        <v>643</v>
      </c>
      <c r="E16" s="25" t="s">
        <v>135</v>
      </c>
      <c r="F16" s="26" t="str">
        <f aca="false">INDEX(Equipment!$B$2:$B$137,MATCH(E16,Equipment!$A$2:$A$137,0))</f>
        <v>Steam turbine generator ~175 MVA, 18 kV - line terminals</v>
      </c>
      <c r="G16" s="25" t="s">
        <v>146</v>
      </c>
      <c r="H16" s="26" t="str">
        <f aca="false">INDEX(Equipment!$B$2:$B$137,MATCH(G16,Equipment!$A$2:$A$137,0))</f>
        <v>ST step-up transformer - LV bushings / marshalling box</v>
      </c>
      <c r="I16" s="25" t="s">
        <v>491</v>
      </c>
      <c r="J16" s="26" t="str">
        <f aca="false">INDEX('Cable Types'!$B$2:$B$41,MATCH(I16,'Cable Types'!$A$2:$A$41,0))</f>
        <v>Isolated phase bus 24 kV, 7 kA (per phase metre)</v>
      </c>
      <c r="K16" s="25" t="n">
        <v>1</v>
      </c>
      <c r="L16" s="25" t="s">
        <v>644</v>
      </c>
      <c r="M16" s="25" t="s">
        <v>638</v>
      </c>
      <c r="N16" s="25"/>
      <c r="O16" s="27" t="n">
        <f aca="false">IF(N16&lt;&gt;"",N16,IF(M16="D",ROUNDUP(SQRT((AH16-AE16)^2+(AI16-AF16)^2+(AJ16-AG16)^2)*(1+'Design Basis'!$C$6),0),ROUNDUP((ABS(AH16-AE16)+ABS(AI16-AF16)+ABS(AK16-AG16)+ABS(AK16-AJ16))*(1+'Design Basis'!$C$4)+2*'Design Basis'!$C$5,0)))</f>
        <v>40</v>
      </c>
      <c r="P16" s="27" t="n">
        <f aca="false">O16*K16*AM16</f>
        <v>120</v>
      </c>
      <c r="Q16" s="28" t="n">
        <v>18000</v>
      </c>
      <c r="R16" s="25" t="n">
        <v>3</v>
      </c>
      <c r="S16" s="28" t="n">
        <v>175000</v>
      </c>
      <c r="T16" s="29" t="n">
        <v>1</v>
      </c>
      <c r="U16" s="27" t="n">
        <f aca="false">IF(OR(S16="",Q16=""),"",IF(R16=3,S16*1000/(SQRT(3)*Q16*T16),S16*1000/(Q16*T16)))</f>
        <v>5613.12761712136</v>
      </c>
      <c r="V16" s="27" t="n">
        <f aca="false">IF(OR(AO16="",AL16=""),"",AO16*AL16)</f>
        <v>7000</v>
      </c>
      <c r="W16" s="27" t="n">
        <f aca="false">IF(V16="","",V16*K16)</f>
        <v>7000</v>
      </c>
      <c r="X16" s="30" t="n">
        <f aca="false">IF(OR(U16="",W16=""),"",U16/W16)</f>
        <v>0.80187537387448</v>
      </c>
      <c r="Y16" s="30" t="str">
        <f aca="false">IF(OR(U16="",AP16=""),"",AP16*(U16/K16)*O16/1000/Q16)</f>
        <v/>
      </c>
      <c r="Z16" s="30" t="str">
        <f aca="false">IF(U16="","",IFERROR(IF(INDEX('Design Basis'!$C$13:$C$21,MATCH(C16,'Design Basis'!$A$13:$A$21,0))="","",INDEX('Design Basis'!$C$13:$C$21,MATCH(C16,'Design Basis'!$A$13:$A$21,0))),""))</f>
        <v/>
      </c>
      <c r="AA16" s="31" t="str">
        <f aca="false">IF(U16="","n/a",IF(W16="","CHECK",IF(AND(X16&lt;=1,OR(Y16="",Z16="",Y16&lt;=Z16)),"OK","CHECK")))</f>
        <v>OK</v>
      </c>
      <c r="AB16" s="27" t="str">
        <f aca="false">IF(AN16="","",K16*AM16*PI()/4*AN16^2)</f>
        <v/>
      </c>
      <c r="AC16" s="31"/>
      <c r="AE16" s="32" t="n">
        <f aca="false">INDEX(Equipment!$D$2:$D$137,MATCH(E16,Equipment!$A$2:$A$137,0))</f>
        <v>60</v>
      </c>
      <c r="AF16" s="32" t="n">
        <f aca="false">INDEX(Equipment!$E$2:$E$137,MATCH(E16,Equipment!$A$2:$A$137,0))</f>
        <v>46</v>
      </c>
      <c r="AG16" s="32" t="n">
        <f aca="false">INDEX(Equipment!$F$2:$F$137,MATCH(E16,Equipment!$A$2:$A$137,0))</f>
        <v>6</v>
      </c>
      <c r="AH16" s="32" t="n">
        <f aca="false">INDEX(Equipment!$D$2:$D$137,MATCH(G16,Equipment!$A$2:$A$137,0))</f>
        <v>74</v>
      </c>
      <c r="AI16" s="32" t="n">
        <f aca="false">INDEX(Equipment!$E$2:$E$137,MATCH(G16,Equipment!$A$2:$A$137,0))</f>
        <v>60</v>
      </c>
      <c r="AJ16" s="32" t="n">
        <f aca="false">INDEX(Equipment!$F$2:$F$137,MATCH(G16,Equipment!$A$2:$A$137,0))</f>
        <v>4.5</v>
      </c>
      <c r="AK16" s="32" t="n">
        <f aca="false">IF(INDEX(Raceways!$D$2:$D$18,MATCH(L16,Raceways!$A$2:$A$18,0))="",0,INDEX(Raceways!$D$2:$D$18,MATCH(L16,Raceways!$A$2:$A$18,0)))</f>
        <v>4</v>
      </c>
      <c r="AL16" s="33" t="n">
        <f aca="false">IF(INDEX(Raceways!$I$2:$I$18,MATCH(L16,Raceways!$A$2:$A$18,0))="","",INDEX(Raceways!$I$2:$I$18,MATCH(L16,Raceways!$A$2:$A$18,0)))</f>
        <v>1</v>
      </c>
      <c r="AM16" s="26" t="n">
        <f aca="false">INDEX('Cable Types'!$D$2:$D$41,MATCH(I16,'Cable Types'!$A$2:$A$41,0))</f>
        <v>3</v>
      </c>
      <c r="AN16" s="26" t="str">
        <f aca="false">IF(INDEX('Cable Types'!$E$2:$E$41,MATCH(I16,'Cable Types'!$A$2:$A$41,0))="","",INDEX('Cable Types'!$E$2:$E$41,MATCH(I16,'Cable Types'!$A$2:$A$41,0)))</f>
        <v/>
      </c>
      <c r="AO16" s="26" t="n">
        <f aca="false">IF(INDEX('Cable Types'!$F$2:$F$41,MATCH(I16,'Cable Types'!$A$2:$A$41,0))="","",INDEX('Cable Types'!$F$2:$F$41,MATCH(I16,'Cable Types'!$A$2:$A$41,0)))</f>
        <v>7000</v>
      </c>
      <c r="AP16" s="33" t="str">
        <f aca="false">IF(INDEX('Cable Types'!$G$2:$G$41,MATCH(I16,'Cable Types'!$A$2:$A$41,0))="","",INDEX('Cable Types'!$G$2:$G$41,MATCH(I16,'Cable Types'!$A$2:$A$41,0)))</f>
        <v/>
      </c>
    </row>
    <row r="17" customFormat="false" ht="15" hidden="false" customHeight="false" outlineLevel="0" collapsed="false">
      <c r="A17" s="25" t="s">
        <v>645</v>
      </c>
      <c r="B17" s="25" t="s">
        <v>133</v>
      </c>
      <c r="C17" s="25" t="s">
        <v>62</v>
      </c>
      <c r="D17" s="25" t="s">
        <v>646</v>
      </c>
      <c r="E17" s="25" t="s">
        <v>135</v>
      </c>
      <c r="F17" s="26" t="str">
        <f aca="false">INDEX(Equipment!$B$2:$B$137,MATCH(E17,Equipment!$A$2:$A$137,0))</f>
        <v>Steam turbine generator ~175 MVA, 18 kV - line terminals</v>
      </c>
      <c r="G17" s="25" t="s">
        <v>151</v>
      </c>
      <c r="H17" s="26" t="str">
        <f aca="false">INDEX(Equipment!$B$2:$B$137,MATCH(G17,Equipment!$A$2:$A$137,0))</f>
        <v>Unit auxiliary transformer 2, 18/11.5 kV 30 MVA (feeds CCS)</v>
      </c>
      <c r="I17" s="25" t="s">
        <v>493</v>
      </c>
      <c r="J17" s="26" t="str">
        <f aca="false">INDEX('Cable Types'!$B$2:$B$41,MATCH(I17,'Cable Types'!$A$2:$A$41,0))</f>
        <v>Isolated phase tap bus 24 kV, 3 kA (per phase metre)</v>
      </c>
      <c r="K17" s="25" t="n">
        <v>1</v>
      </c>
      <c r="L17" s="25" t="s">
        <v>644</v>
      </c>
      <c r="M17" s="25" t="s">
        <v>638</v>
      </c>
      <c r="N17" s="25"/>
      <c r="O17" s="27" t="n">
        <f aca="false">IF(N17&lt;&gt;"",N17,IF(M17="D",ROUNDUP(SQRT((AH17-AE17)^2+(AI17-AF17)^2+(AJ17-AG17)^2)*(1+'Design Basis'!$C$6),0),ROUNDUP((ABS(AH17-AE17)+ABS(AI17-AF17)+ABS(AK17-AG17)+ABS(AK17-AJ17))*(1+'Design Basis'!$C$4)+2*'Design Basis'!$C$5,0)))</f>
        <v>58</v>
      </c>
      <c r="P17" s="27" t="n">
        <f aca="false">O17*K17*AM17</f>
        <v>174</v>
      </c>
      <c r="Q17" s="28" t="n">
        <v>18000</v>
      </c>
      <c r="R17" s="25" t="n">
        <v>3</v>
      </c>
      <c r="S17" s="28" t="n">
        <v>30000</v>
      </c>
      <c r="T17" s="29" t="n">
        <v>1</v>
      </c>
      <c r="U17" s="27" t="n">
        <f aca="false">IF(OR(S17="",Q17=""),"",IF(R17=3,S17*1000/(SQRT(3)*Q17*T17),S17*1000/(Q17*T17)))</f>
        <v>962.250448649376</v>
      </c>
      <c r="V17" s="27" t="n">
        <f aca="false">IF(OR(AO17="",AL17=""),"",AO17*AL17)</f>
        <v>3000</v>
      </c>
      <c r="W17" s="27" t="n">
        <f aca="false">IF(V17="","",V17*K17)</f>
        <v>3000</v>
      </c>
      <c r="X17" s="30" t="n">
        <f aca="false">IF(OR(U17="",W17=""),"",U17/W17)</f>
        <v>0.320750149549792</v>
      </c>
      <c r="Y17" s="30" t="str">
        <f aca="false">IF(OR(U17="",AP17=""),"",AP17*(U17/K17)*O17/1000/Q17)</f>
        <v/>
      </c>
      <c r="Z17" s="30" t="str">
        <f aca="false">IF(U17="","",IFERROR(IF(INDEX('Design Basis'!$C$13:$C$21,MATCH(C17,'Design Basis'!$A$13:$A$21,0))="","",INDEX('Design Basis'!$C$13:$C$21,MATCH(C17,'Design Basis'!$A$13:$A$21,0))),""))</f>
        <v/>
      </c>
      <c r="AA17" s="31" t="str">
        <f aca="false">IF(U17="","n/a",IF(W17="","CHECK",IF(AND(X17&lt;=1,OR(Y17="",Z17="",Y17&lt;=Z17)),"OK","CHECK")))</f>
        <v>OK</v>
      </c>
      <c r="AB17" s="27" t="str">
        <f aca="false">IF(AN17="","",K17*AM17*PI()/4*AN17^2)</f>
        <v/>
      </c>
      <c r="AC17" s="31"/>
      <c r="AE17" s="32" t="n">
        <f aca="false">INDEX(Equipment!$D$2:$D$137,MATCH(E17,Equipment!$A$2:$A$137,0))</f>
        <v>60</v>
      </c>
      <c r="AF17" s="32" t="n">
        <f aca="false">INDEX(Equipment!$E$2:$E$137,MATCH(E17,Equipment!$A$2:$A$137,0))</f>
        <v>46</v>
      </c>
      <c r="AG17" s="32" t="n">
        <f aca="false">INDEX(Equipment!$F$2:$F$137,MATCH(E17,Equipment!$A$2:$A$137,0))</f>
        <v>6</v>
      </c>
      <c r="AH17" s="32" t="n">
        <f aca="false">INDEX(Equipment!$D$2:$D$137,MATCH(G17,Equipment!$A$2:$A$137,0))</f>
        <v>86</v>
      </c>
      <c r="AI17" s="32" t="n">
        <f aca="false">INDEX(Equipment!$E$2:$E$137,MATCH(G17,Equipment!$A$2:$A$137,0))</f>
        <v>64</v>
      </c>
      <c r="AJ17" s="32" t="n">
        <f aca="false">INDEX(Equipment!$F$2:$F$137,MATCH(G17,Equipment!$A$2:$A$137,0))</f>
        <v>3</v>
      </c>
      <c r="AK17" s="32" t="n">
        <f aca="false">IF(INDEX(Raceways!$D$2:$D$18,MATCH(L17,Raceways!$A$2:$A$18,0))="",0,INDEX(Raceways!$D$2:$D$18,MATCH(L17,Raceways!$A$2:$A$18,0)))</f>
        <v>4</v>
      </c>
      <c r="AL17" s="33" t="n">
        <f aca="false">IF(INDEX(Raceways!$I$2:$I$18,MATCH(L17,Raceways!$A$2:$A$18,0))="","",INDEX(Raceways!$I$2:$I$18,MATCH(L17,Raceways!$A$2:$A$18,0)))</f>
        <v>1</v>
      </c>
      <c r="AM17" s="26" t="n">
        <f aca="false">INDEX('Cable Types'!$D$2:$D$41,MATCH(I17,'Cable Types'!$A$2:$A$41,0))</f>
        <v>3</v>
      </c>
      <c r="AN17" s="26" t="str">
        <f aca="false">IF(INDEX('Cable Types'!$E$2:$E$41,MATCH(I17,'Cable Types'!$A$2:$A$41,0))="","",INDEX('Cable Types'!$E$2:$E$41,MATCH(I17,'Cable Types'!$A$2:$A$41,0)))</f>
        <v/>
      </c>
      <c r="AO17" s="26" t="n">
        <f aca="false">IF(INDEX('Cable Types'!$F$2:$F$41,MATCH(I17,'Cable Types'!$A$2:$A$41,0))="","",INDEX('Cable Types'!$F$2:$F$41,MATCH(I17,'Cable Types'!$A$2:$A$41,0)))</f>
        <v>3000</v>
      </c>
      <c r="AP17" s="33" t="str">
        <f aca="false">IF(INDEX('Cable Types'!$G$2:$G$41,MATCH(I17,'Cable Types'!$A$2:$A$41,0))="","",INDEX('Cable Types'!$G$2:$G$41,MATCH(I17,'Cable Types'!$A$2:$A$41,0)))</f>
        <v/>
      </c>
    </row>
    <row r="18" customFormat="false" ht="15" hidden="false" customHeight="false" outlineLevel="0" collapsed="false">
      <c r="A18" s="25" t="s">
        <v>647</v>
      </c>
      <c r="B18" s="25" t="s">
        <v>133</v>
      </c>
      <c r="C18" s="25" t="s">
        <v>65</v>
      </c>
      <c r="D18" s="25" t="s">
        <v>648</v>
      </c>
      <c r="E18" s="25" t="s">
        <v>131</v>
      </c>
      <c r="F18" s="26" t="str">
        <f aca="false">INDEX(Equipment!$B$2:$B$137,MATCH(E18,Equipment!$A$2:$A$137,0))</f>
        <v>Gas turbine generator ~290 MVA, 19 kV - line terminals</v>
      </c>
      <c r="G18" s="25" t="s">
        <v>154</v>
      </c>
      <c r="H18" s="26" t="str">
        <f aca="false">INDEX(Equipment!$B$2:$B$137,MATCH(G18,Equipment!$A$2:$A$137,0))</f>
        <v>GT generator neutral grounding transformer cubicle</v>
      </c>
      <c r="I18" s="25" t="s">
        <v>499</v>
      </c>
      <c r="J18" s="26" t="str">
        <f aca="false">INDEX('Cable Types'!$B$2:$B$41,MATCH(I18,'Cable Types'!$A$2:$A$41,0))</f>
        <v>6.35/11 kV 1C 95 mm2 Cu/XLPE/CWS/PVC</v>
      </c>
      <c r="K18" s="25" t="n">
        <v>1</v>
      </c>
      <c r="L18" s="25" t="s">
        <v>649</v>
      </c>
      <c r="M18" s="25" t="s">
        <v>638</v>
      </c>
      <c r="N18" s="25"/>
      <c r="O18" s="27" t="n">
        <f aca="false">IF(N18&lt;&gt;"",N18,IF(M18="D",ROUNDUP(SQRT((AH18-AE18)^2+(AI18-AF18)^2+(AJ18-AG18)^2)*(1+'Design Basis'!$C$6),0),ROUNDUP((ABS(AH18-AE18)+ABS(AI18-AF18)+ABS(AK18-AG18)+ABS(AK18-AJ18))*(1+'Design Basis'!$C$4)+2*'Design Basis'!$C$5,0)))</f>
        <v>14</v>
      </c>
      <c r="P18" s="27" t="n">
        <f aca="false">O18*K18*AM18</f>
        <v>14</v>
      </c>
      <c r="Q18" s="28"/>
      <c r="R18" s="25"/>
      <c r="S18" s="28"/>
      <c r="T18" s="29"/>
      <c r="U18" s="27" t="str">
        <f aca="false">IF(OR(S18="",Q18=""),"",IF(R18=3,S18*1000/(SQRT(3)*Q18*T18),S18*1000/(Q18*T18)))</f>
        <v/>
      </c>
      <c r="V18" s="27" t="n">
        <f aca="false">IF(OR(AO18="",AL18=""),"",AO18*AL18)</f>
        <v>264</v>
      </c>
      <c r="W18" s="27" t="n">
        <f aca="false">IF(V18="","",V18*K18)</f>
        <v>264</v>
      </c>
      <c r="X18" s="30" t="str">
        <f aca="false">IF(OR(U18="",W18=""),"",U18/W18)</f>
        <v/>
      </c>
      <c r="Y18" s="30" t="str">
        <f aca="false">IF(OR(U18="",AP18=""),"",AP18*(U18/K18)*O18/1000/Q18)</f>
        <v/>
      </c>
      <c r="Z18" s="30" t="str">
        <f aca="false">IF(U18="","",IFERROR(IF(INDEX('Design Basis'!$C$13:$C$21,MATCH(C18,'Design Basis'!$A$13:$A$21,0))="","",INDEX('Design Basis'!$C$13:$C$21,MATCH(C18,'Design Basis'!$A$13:$A$21,0))),""))</f>
        <v/>
      </c>
      <c r="AA18" s="31" t="str">
        <f aca="false">IF(U18="","n/a",IF(W18="","CHECK",IF(AND(X18&lt;=1,OR(Y18="",Z18="",Y18&lt;=Z18)),"OK","CHECK")))</f>
        <v>n/a</v>
      </c>
      <c r="AB18" s="27" t="n">
        <f aca="false">IF(AN18="","",K18*AM18*PI()/4*AN18^2)</f>
        <v>855.298599939821</v>
      </c>
      <c r="AC18" s="31" t="s">
        <v>650</v>
      </c>
      <c r="AE18" s="32" t="n">
        <f aca="false">INDEX(Equipment!$D$2:$D$137,MATCH(E18,Equipment!$A$2:$A$137,0))</f>
        <v>58</v>
      </c>
      <c r="AF18" s="32" t="n">
        <f aca="false">INDEX(Equipment!$E$2:$E$137,MATCH(E18,Equipment!$A$2:$A$137,0))</f>
        <v>18</v>
      </c>
      <c r="AG18" s="32" t="n">
        <f aca="false">INDEX(Equipment!$F$2:$F$137,MATCH(E18,Equipment!$A$2:$A$137,0))</f>
        <v>4</v>
      </c>
      <c r="AH18" s="32" t="n">
        <f aca="false">INDEX(Equipment!$D$2:$D$137,MATCH(G18,Equipment!$A$2:$A$137,0))</f>
        <v>62</v>
      </c>
      <c r="AI18" s="32" t="n">
        <f aca="false">INDEX(Equipment!$E$2:$E$137,MATCH(G18,Equipment!$A$2:$A$137,0))</f>
        <v>18</v>
      </c>
      <c r="AJ18" s="32" t="n">
        <f aca="false">INDEX(Equipment!$F$2:$F$137,MATCH(G18,Equipment!$A$2:$A$137,0))</f>
        <v>1</v>
      </c>
      <c r="AK18" s="32" t="n">
        <f aca="false">IF(INDEX(Raceways!$D$2:$D$18,MATCH(L18,Raceways!$A$2:$A$18,0))="",0,INDEX(Raceways!$D$2:$D$18,MATCH(L18,Raceways!$A$2:$A$18,0)))</f>
        <v>1</v>
      </c>
      <c r="AL18" s="33" t="n">
        <f aca="false">IF(INDEX(Raceways!$I$2:$I$18,MATCH(L18,Raceways!$A$2:$A$18,0))="","",INDEX(Raceways!$I$2:$I$18,MATCH(L18,Raceways!$A$2:$A$18,0)))</f>
        <v>0.8</v>
      </c>
      <c r="AM18" s="26" t="n">
        <f aca="false">INDEX('Cable Types'!$D$2:$D$41,MATCH(I18,'Cable Types'!$A$2:$A$41,0))</f>
        <v>1</v>
      </c>
      <c r="AN18" s="26" t="n">
        <f aca="false">IF(INDEX('Cable Types'!$E$2:$E$41,MATCH(I18,'Cable Types'!$A$2:$A$41,0))="","",INDEX('Cable Types'!$E$2:$E$41,MATCH(I18,'Cable Types'!$A$2:$A$41,0)))</f>
        <v>33</v>
      </c>
      <c r="AO18" s="26" t="n">
        <f aca="false">IF(INDEX('Cable Types'!$F$2:$F$41,MATCH(I18,'Cable Types'!$A$2:$A$41,0))="","",INDEX('Cable Types'!$F$2:$F$41,MATCH(I18,'Cable Types'!$A$2:$A$41,0)))</f>
        <v>330</v>
      </c>
      <c r="AP18" s="33" t="n">
        <f aca="false">IF(INDEX('Cable Types'!$G$2:$G$41,MATCH(I18,'Cable Types'!$A$2:$A$41,0))="","",INDEX('Cable Types'!$G$2:$G$41,MATCH(I18,'Cable Types'!$A$2:$A$41,0)))</f>
        <v>0.43</v>
      </c>
    </row>
    <row r="19" customFormat="false" ht="15" hidden="false" customHeight="false" outlineLevel="0" collapsed="false">
      <c r="A19" s="25" t="s">
        <v>651</v>
      </c>
      <c r="B19" s="25" t="s">
        <v>133</v>
      </c>
      <c r="C19" s="25" t="s">
        <v>65</v>
      </c>
      <c r="D19" s="25" t="s">
        <v>652</v>
      </c>
      <c r="E19" s="25" t="s">
        <v>135</v>
      </c>
      <c r="F19" s="26" t="str">
        <f aca="false">INDEX(Equipment!$B$2:$B$137,MATCH(E19,Equipment!$A$2:$A$137,0))</f>
        <v>Steam turbine generator ~175 MVA, 18 kV - line terminals</v>
      </c>
      <c r="G19" s="25" t="s">
        <v>157</v>
      </c>
      <c r="H19" s="26" t="str">
        <f aca="false">INDEX(Equipment!$B$2:$B$137,MATCH(G19,Equipment!$A$2:$A$137,0))</f>
        <v>ST generator neutral grounding transformer cubicle</v>
      </c>
      <c r="I19" s="25" t="s">
        <v>499</v>
      </c>
      <c r="J19" s="26" t="str">
        <f aca="false">INDEX('Cable Types'!$B$2:$B$41,MATCH(I19,'Cable Types'!$A$2:$A$41,0))</f>
        <v>6.35/11 kV 1C 95 mm2 Cu/XLPE/CWS/PVC</v>
      </c>
      <c r="K19" s="25" t="n">
        <v>1</v>
      </c>
      <c r="L19" s="25" t="s">
        <v>649</v>
      </c>
      <c r="M19" s="25" t="s">
        <v>638</v>
      </c>
      <c r="N19" s="25"/>
      <c r="O19" s="27" t="n">
        <f aca="false">IF(N19&lt;&gt;"",N19,IF(M19="D",ROUNDUP(SQRT((AH19-AE19)^2+(AI19-AF19)^2+(AJ19-AG19)^2)*(1+'Design Basis'!$C$6),0),ROUNDUP((ABS(AH19-AE19)+ABS(AI19-AF19)+ABS(AK19-AG19)+ABS(AK19-AJ19))*(1+'Design Basis'!$C$4)+2*'Design Basis'!$C$5,0)))</f>
        <v>16</v>
      </c>
      <c r="P19" s="27" t="n">
        <f aca="false">O19*K19*AM19</f>
        <v>16</v>
      </c>
      <c r="Q19" s="28"/>
      <c r="R19" s="25"/>
      <c r="S19" s="28"/>
      <c r="T19" s="29"/>
      <c r="U19" s="27" t="str">
        <f aca="false">IF(OR(S19="",Q19=""),"",IF(R19=3,S19*1000/(SQRT(3)*Q19*T19),S19*1000/(Q19*T19)))</f>
        <v/>
      </c>
      <c r="V19" s="27" t="n">
        <f aca="false">IF(OR(AO19="",AL19=""),"",AO19*AL19)</f>
        <v>264</v>
      </c>
      <c r="W19" s="27" t="n">
        <f aca="false">IF(V19="","",V19*K19)</f>
        <v>264</v>
      </c>
      <c r="X19" s="30" t="str">
        <f aca="false">IF(OR(U19="",W19=""),"",U19/W19)</f>
        <v/>
      </c>
      <c r="Y19" s="30" t="str">
        <f aca="false">IF(OR(U19="",AP19=""),"",AP19*(U19/K19)*O19/1000/Q19)</f>
        <v/>
      </c>
      <c r="Z19" s="30" t="str">
        <f aca="false">IF(U19="","",IFERROR(IF(INDEX('Design Basis'!$C$13:$C$21,MATCH(C19,'Design Basis'!$A$13:$A$21,0))="","",INDEX('Design Basis'!$C$13:$C$21,MATCH(C19,'Design Basis'!$A$13:$A$21,0))),""))</f>
        <v/>
      </c>
      <c r="AA19" s="31" t="str">
        <f aca="false">IF(U19="","n/a",IF(W19="","CHECK",IF(AND(X19&lt;=1,OR(Y19="",Z19="",Y19&lt;=Z19)),"OK","CHECK")))</f>
        <v>n/a</v>
      </c>
      <c r="AB19" s="27" t="n">
        <f aca="false">IF(AN19="","",K19*AM19*PI()/4*AN19^2)</f>
        <v>855.298599939821</v>
      </c>
      <c r="AC19" s="31" t="s">
        <v>650</v>
      </c>
      <c r="AE19" s="32" t="n">
        <f aca="false">INDEX(Equipment!$D$2:$D$137,MATCH(E19,Equipment!$A$2:$A$137,0))</f>
        <v>60</v>
      </c>
      <c r="AF19" s="32" t="n">
        <f aca="false">INDEX(Equipment!$E$2:$E$137,MATCH(E19,Equipment!$A$2:$A$137,0))</f>
        <v>46</v>
      </c>
      <c r="AG19" s="32" t="n">
        <f aca="false">INDEX(Equipment!$F$2:$F$137,MATCH(E19,Equipment!$A$2:$A$137,0))</f>
        <v>6</v>
      </c>
      <c r="AH19" s="32" t="n">
        <f aca="false">INDEX(Equipment!$D$2:$D$137,MATCH(G19,Equipment!$A$2:$A$137,0))</f>
        <v>64</v>
      </c>
      <c r="AI19" s="32" t="n">
        <f aca="false">INDEX(Equipment!$E$2:$E$137,MATCH(G19,Equipment!$A$2:$A$137,0))</f>
        <v>46</v>
      </c>
      <c r="AJ19" s="32" t="n">
        <f aca="false">INDEX(Equipment!$F$2:$F$137,MATCH(G19,Equipment!$A$2:$A$137,0))</f>
        <v>1</v>
      </c>
      <c r="AK19" s="32" t="n">
        <f aca="false">IF(INDEX(Raceways!$D$2:$D$18,MATCH(L19,Raceways!$A$2:$A$18,0))="",0,INDEX(Raceways!$D$2:$D$18,MATCH(L19,Raceways!$A$2:$A$18,0)))</f>
        <v>1</v>
      </c>
      <c r="AL19" s="33" t="n">
        <f aca="false">IF(INDEX(Raceways!$I$2:$I$18,MATCH(L19,Raceways!$A$2:$A$18,0))="","",INDEX(Raceways!$I$2:$I$18,MATCH(L19,Raceways!$A$2:$A$18,0)))</f>
        <v>0.8</v>
      </c>
      <c r="AM19" s="26" t="n">
        <f aca="false">INDEX('Cable Types'!$D$2:$D$41,MATCH(I19,'Cable Types'!$A$2:$A$41,0))</f>
        <v>1</v>
      </c>
      <c r="AN19" s="26" t="n">
        <f aca="false">IF(INDEX('Cable Types'!$E$2:$E$41,MATCH(I19,'Cable Types'!$A$2:$A$41,0))="","",INDEX('Cable Types'!$E$2:$E$41,MATCH(I19,'Cable Types'!$A$2:$A$41,0)))</f>
        <v>33</v>
      </c>
      <c r="AO19" s="26" t="n">
        <f aca="false">IF(INDEX('Cable Types'!$F$2:$F$41,MATCH(I19,'Cable Types'!$A$2:$A$41,0))="","",INDEX('Cable Types'!$F$2:$F$41,MATCH(I19,'Cable Types'!$A$2:$A$41,0)))</f>
        <v>330</v>
      </c>
      <c r="AP19" s="33" t="n">
        <f aca="false">IF(INDEX('Cable Types'!$G$2:$G$41,MATCH(I19,'Cable Types'!$A$2:$A$41,0))="","",INDEX('Cable Types'!$G$2:$G$41,MATCH(I19,'Cable Types'!$A$2:$A$41,0)))</f>
        <v>0.43</v>
      </c>
    </row>
    <row r="20" customFormat="false" ht="15" hidden="false" customHeight="false" outlineLevel="0" collapsed="false">
      <c r="A20" s="25" t="s">
        <v>653</v>
      </c>
      <c r="B20" s="25" t="s">
        <v>451</v>
      </c>
      <c r="C20" s="25" t="s">
        <v>65</v>
      </c>
      <c r="D20" s="25" t="s">
        <v>654</v>
      </c>
      <c r="E20" s="25" t="s">
        <v>148</v>
      </c>
      <c r="F20" s="26" t="str">
        <f aca="false">INDEX(Equipment!$B$2:$B$137,MATCH(E20,Equipment!$A$2:$A$137,0))</f>
        <v>Unit auxiliary transformer 1, 19/11.5 kV 45 MVA</v>
      </c>
      <c r="G20" s="25" t="s">
        <v>449</v>
      </c>
      <c r="H20" s="26" t="str">
        <f aca="false">INDEX(Equipment!$B$2:$B$137,MATCH(G20,Equipment!$A$2:$A$137,0))</f>
        <v>Main 11 kV switchboard (main electrical building)</v>
      </c>
      <c r="I20" s="25" t="s">
        <v>506</v>
      </c>
      <c r="J20" s="26" t="str">
        <f aca="false">INDEX('Cable Types'!$B$2:$B$41,MATCH(I20,'Cable Types'!$A$2:$A$41,0))</f>
        <v>6.35/11 kV 1C 630 mm2 Cu/XLPE/CWS/PVC (trefoil set)</v>
      </c>
      <c r="K20" s="25" t="n">
        <v>4</v>
      </c>
      <c r="L20" s="25" t="s">
        <v>655</v>
      </c>
      <c r="M20" s="25" t="s">
        <v>638</v>
      </c>
      <c r="N20" s="25"/>
      <c r="O20" s="27" t="n">
        <f aca="false">IF(N20&lt;&gt;"",N20,IF(M20="D",ROUNDUP(SQRT((AH20-AE20)^2+(AI20-AF20)^2+(AJ20-AG20)^2)*(1+'Design Basis'!$C$6),0),ROUNDUP((ABS(AH20-AE20)+ABS(AI20-AF20)+ABS(AK20-AG20)+ABS(AK20-AJ20))*(1+'Design Basis'!$C$4)+2*'Design Basis'!$C$5,0)))</f>
        <v>35</v>
      </c>
      <c r="P20" s="27" t="n">
        <f aca="false">O20*K20*AM20</f>
        <v>420</v>
      </c>
      <c r="Q20" s="28" t="n">
        <v>11000</v>
      </c>
      <c r="R20" s="25" t="n">
        <v>3</v>
      </c>
      <c r="S20" s="28" t="n">
        <v>45000</v>
      </c>
      <c r="T20" s="29" t="n">
        <v>1</v>
      </c>
      <c r="U20" s="27" t="n">
        <f aca="false">IF(OR(S20="",Q20=""),"",IF(R20=3,S20*1000/(SQRT(3)*Q20*T20),S20*1000/(Q20*T20)))</f>
        <v>2361.88746486665</v>
      </c>
      <c r="V20" s="27" t="n">
        <f aca="false">IF(OR(AO20="",AL20=""),"",AO20*AL20)</f>
        <v>672</v>
      </c>
      <c r="W20" s="27" t="n">
        <f aca="false">IF(V20="","",V20*K20)</f>
        <v>2688</v>
      </c>
      <c r="X20" s="30" t="n">
        <f aca="false">IF(OR(U20="",W20=""),"",U20/W20)</f>
        <v>0.878678372346224</v>
      </c>
      <c r="Y20" s="30" t="n">
        <f aca="false">IF(OR(U20="",AP20=""),"",AP20*(U20/K20)*O20/1000/Q20)</f>
        <v>0.000225452894373635</v>
      </c>
      <c r="Z20" s="30" t="n">
        <f aca="false">IF(U20="","",IFERROR(IF(INDEX('Design Basis'!$C$13:$C$21,MATCH(C20,'Design Basis'!$A$13:$A$21,0))="","",INDEX('Design Basis'!$C$13:$C$21,MATCH(C20,'Design Basis'!$A$13:$A$21,0))),""))</f>
        <v>0.03</v>
      </c>
      <c r="AA20" s="31" t="str">
        <f aca="false">IF(U20="","n/a",IF(W20="","CHECK",IF(AND(X20&lt;=1,OR(Y20="",Z20="",Y20&lt;=Z20)),"OK","CHECK")))</f>
        <v>OK</v>
      </c>
      <c r="AB20" s="27" t="n">
        <f aca="false">IF(AN20="","",K20*AM20*PI()/4*AN20^2)</f>
        <v>30621.1035945397</v>
      </c>
      <c r="AC20" s="31" t="s">
        <v>656</v>
      </c>
      <c r="AE20" s="32" t="n">
        <f aca="false">INDEX(Equipment!$D$2:$D$137,MATCH(E20,Equipment!$A$2:$A$137,0))</f>
        <v>44</v>
      </c>
      <c r="AF20" s="32" t="n">
        <f aca="false">INDEX(Equipment!$E$2:$E$137,MATCH(E20,Equipment!$A$2:$A$137,0))</f>
        <v>64</v>
      </c>
      <c r="AG20" s="32" t="n">
        <f aca="false">INDEX(Equipment!$F$2:$F$137,MATCH(E20,Equipment!$A$2:$A$137,0))</f>
        <v>3</v>
      </c>
      <c r="AH20" s="32" t="n">
        <f aca="false">INDEX(Equipment!$D$2:$D$137,MATCH(G20,Equipment!$A$2:$A$137,0))</f>
        <v>36</v>
      </c>
      <c r="AI20" s="32" t="n">
        <f aca="false">INDEX(Equipment!$E$2:$E$137,MATCH(G20,Equipment!$A$2:$A$137,0))</f>
        <v>52</v>
      </c>
      <c r="AJ20" s="32" t="n">
        <f aca="false">INDEX(Equipment!$F$2:$F$137,MATCH(G20,Equipment!$A$2:$A$137,0))</f>
        <v>0.5</v>
      </c>
      <c r="AK20" s="32" t="n">
        <f aca="false">IF(INDEX(Raceways!$D$2:$D$18,MATCH(L20,Raceways!$A$2:$A$18,0))="",0,INDEX(Raceways!$D$2:$D$18,MATCH(L20,Raceways!$A$2:$A$18,0)))</f>
        <v>-1.2</v>
      </c>
      <c r="AL20" s="33" t="n">
        <f aca="false">IF(INDEX(Raceways!$I$2:$I$18,MATCH(L20,Raceways!$A$2:$A$18,0))="","",INDEX(Raceways!$I$2:$I$18,MATCH(L20,Raceways!$A$2:$A$18,0)))</f>
        <v>0.7</v>
      </c>
      <c r="AM20" s="26" t="n">
        <f aca="false">INDEX('Cable Types'!$D$2:$D$41,MATCH(I20,'Cable Types'!$A$2:$A$41,0))</f>
        <v>3</v>
      </c>
      <c r="AN20" s="26" t="n">
        <f aca="false">IF(INDEX('Cable Types'!$E$2:$E$41,MATCH(I20,'Cable Types'!$A$2:$A$41,0))="","",INDEX('Cable Types'!$E$2:$E$41,MATCH(I20,'Cable Types'!$A$2:$A$41,0)))</f>
        <v>57</v>
      </c>
      <c r="AO20" s="26" t="n">
        <f aca="false">IF(INDEX('Cable Types'!$F$2:$F$41,MATCH(I20,'Cable Types'!$A$2:$A$41,0))="","",INDEX('Cable Types'!$F$2:$F$41,MATCH(I20,'Cable Types'!$A$2:$A$41,0)))</f>
        <v>960</v>
      </c>
      <c r="AP20" s="33" t="n">
        <f aca="false">IF(INDEX('Cable Types'!$G$2:$G$41,MATCH(I20,'Cable Types'!$A$2:$A$41,0))="","",INDEX('Cable Types'!$G$2:$G$41,MATCH(I20,'Cable Types'!$A$2:$A$41,0)))</f>
        <v>0.12</v>
      </c>
    </row>
    <row r="21" customFormat="false" ht="15" hidden="false" customHeight="false" outlineLevel="0" collapsed="false">
      <c r="A21" s="25" t="s">
        <v>657</v>
      </c>
      <c r="B21" s="25" t="s">
        <v>451</v>
      </c>
      <c r="C21" s="25" t="s">
        <v>65</v>
      </c>
      <c r="D21" s="25" t="s">
        <v>658</v>
      </c>
      <c r="E21" s="25" t="s">
        <v>151</v>
      </c>
      <c r="F21" s="26" t="str">
        <f aca="false">INDEX(Equipment!$B$2:$B$137,MATCH(E21,Equipment!$A$2:$A$137,0))</f>
        <v>Unit auxiliary transformer 2, 18/11.5 kV 30 MVA (feeds CCS)</v>
      </c>
      <c r="G21" s="25" t="s">
        <v>283</v>
      </c>
      <c r="H21" s="26" t="str">
        <f aca="false">INDEX(Equipment!$B$2:$B$137,MATCH(G21,Equipment!$A$2:$A$137,0))</f>
        <v>CCS 11 kV switchboard (CCS substation)</v>
      </c>
      <c r="I21" s="25" t="s">
        <v>506</v>
      </c>
      <c r="J21" s="26" t="str">
        <f aca="false">INDEX('Cable Types'!$B$2:$B$41,MATCH(I21,'Cable Types'!$A$2:$A$41,0))</f>
        <v>6.35/11 kV 1C 630 mm2 Cu/XLPE/CWS/PVC (trefoil set)</v>
      </c>
      <c r="K21" s="25" t="n">
        <v>3</v>
      </c>
      <c r="L21" s="25" t="s">
        <v>659</v>
      </c>
      <c r="M21" s="25" t="s">
        <v>638</v>
      </c>
      <c r="N21" s="25"/>
      <c r="O21" s="27" t="n">
        <f aca="false">IF(N21&lt;&gt;"",N21,IF(M21="D",ROUNDUP(SQRT((AH21-AE21)^2+(AI21-AF21)^2+(AJ21-AG21)^2)*(1+'Design Basis'!$C$6),0),ROUNDUP((ABS(AH21-AE21)+ABS(AI21-AF21)+ABS(AK21-AG21)+ABS(AK21-AJ21))*(1+'Design Basis'!$C$4)+2*'Design Basis'!$C$5,0)))</f>
        <v>121</v>
      </c>
      <c r="P21" s="27" t="n">
        <f aca="false">O21*K21*AM21</f>
        <v>1089</v>
      </c>
      <c r="Q21" s="28" t="n">
        <v>11000</v>
      </c>
      <c r="R21" s="25" t="n">
        <v>3</v>
      </c>
      <c r="S21" s="28" t="n">
        <v>30000</v>
      </c>
      <c r="T21" s="29" t="n">
        <v>1</v>
      </c>
      <c r="U21" s="27" t="n">
        <f aca="false">IF(OR(S21="",Q21=""),"",IF(R21=3,S21*1000/(SQRT(3)*Q21*T21),S21*1000/(Q21*T21)))</f>
        <v>1574.59164324443</v>
      </c>
      <c r="V21" s="27" t="n">
        <f aca="false">IF(OR(AO21="",AL21=""),"",AO21*AL21)</f>
        <v>768</v>
      </c>
      <c r="W21" s="27" t="n">
        <f aca="false">IF(V21="","",V21*K21)</f>
        <v>2304</v>
      </c>
      <c r="X21" s="30" t="n">
        <f aca="false">IF(OR(U21="",W21=""),"",U21/W21)</f>
        <v>0.683416511824841</v>
      </c>
      <c r="Y21" s="30" t="n">
        <f aca="false">IF(OR(U21="",AP21=""),"",AP21*(U21/K21)*O21/1000/Q21)</f>
        <v>0.000692820323027551</v>
      </c>
      <c r="Z21" s="30" t="n">
        <f aca="false">IF(U21="","",IFERROR(IF(INDEX('Design Basis'!$C$13:$C$21,MATCH(C21,'Design Basis'!$A$13:$A$21,0))="","",INDEX('Design Basis'!$C$13:$C$21,MATCH(C21,'Design Basis'!$A$13:$A$21,0))),""))</f>
        <v>0.03</v>
      </c>
      <c r="AA21" s="31" t="str">
        <f aca="false">IF(U21="","n/a",IF(W21="","CHECK",IF(AND(X21&lt;=1,OR(Y21="",Z21="",Y21&lt;=Z21)),"OK","CHECK")))</f>
        <v>OK</v>
      </c>
      <c r="AB21" s="27" t="n">
        <f aca="false">IF(AN21="","",K21*AM21*PI()/4*AN21^2)</f>
        <v>22965.8276959048</v>
      </c>
      <c r="AC21" s="31" t="s">
        <v>660</v>
      </c>
      <c r="AE21" s="32" t="n">
        <f aca="false">INDEX(Equipment!$D$2:$D$137,MATCH(E21,Equipment!$A$2:$A$137,0))</f>
        <v>86</v>
      </c>
      <c r="AF21" s="32" t="n">
        <f aca="false">INDEX(Equipment!$E$2:$E$137,MATCH(E21,Equipment!$A$2:$A$137,0))</f>
        <v>64</v>
      </c>
      <c r="AG21" s="32" t="n">
        <f aca="false">INDEX(Equipment!$F$2:$F$137,MATCH(E21,Equipment!$A$2:$A$137,0))</f>
        <v>3</v>
      </c>
      <c r="AH21" s="32" t="n">
        <f aca="false">INDEX(Equipment!$D$2:$D$137,MATCH(G21,Equipment!$A$2:$A$137,0))</f>
        <v>178</v>
      </c>
      <c r="AI21" s="32" t="n">
        <f aca="false">INDEX(Equipment!$E$2:$E$137,MATCH(G21,Equipment!$A$2:$A$137,0))</f>
        <v>58</v>
      </c>
      <c r="AJ21" s="32" t="n">
        <f aca="false">INDEX(Equipment!$F$2:$F$137,MATCH(G21,Equipment!$A$2:$A$137,0))</f>
        <v>0.5</v>
      </c>
      <c r="AK21" s="32" t="n">
        <f aca="false">IF(INDEX(Raceways!$D$2:$D$18,MATCH(L21,Raceways!$A$2:$A$18,0))="",0,INDEX(Raceways!$D$2:$D$18,MATCH(L21,Raceways!$A$2:$A$18,0)))</f>
        <v>5</v>
      </c>
      <c r="AL21" s="33" t="n">
        <f aca="false">IF(INDEX(Raceways!$I$2:$I$18,MATCH(L21,Raceways!$A$2:$A$18,0))="","",INDEX(Raceways!$I$2:$I$18,MATCH(L21,Raceways!$A$2:$A$18,0)))</f>
        <v>0.8</v>
      </c>
      <c r="AM21" s="26" t="n">
        <f aca="false">INDEX('Cable Types'!$D$2:$D$41,MATCH(I21,'Cable Types'!$A$2:$A$41,0))</f>
        <v>3</v>
      </c>
      <c r="AN21" s="26" t="n">
        <f aca="false">IF(INDEX('Cable Types'!$E$2:$E$41,MATCH(I21,'Cable Types'!$A$2:$A$41,0))="","",INDEX('Cable Types'!$E$2:$E$41,MATCH(I21,'Cable Types'!$A$2:$A$41,0)))</f>
        <v>57</v>
      </c>
      <c r="AO21" s="26" t="n">
        <f aca="false">IF(INDEX('Cable Types'!$F$2:$F$41,MATCH(I21,'Cable Types'!$A$2:$A$41,0))="","",INDEX('Cable Types'!$F$2:$F$41,MATCH(I21,'Cable Types'!$A$2:$A$41,0)))</f>
        <v>960</v>
      </c>
      <c r="AP21" s="33" t="n">
        <f aca="false">IF(INDEX('Cable Types'!$G$2:$G$41,MATCH(I21,'Cable Types'!$A$2:$A$41,0))="","",INDEX('Cable Types'!$G$2:$G$41,MATCH(I21,'Cable Types'!$A$2:$A$41,0)))</f>
        <v>0.12</v>
      </c>
    </row>
    <row r="22" customFormat="false" ht="15" hidden="false" customHeight="false" outlineLevel="0" collapsed="false">
      <c r="A22" s="25" t="s">
        <v>661</v>
      </c>
      <c r="B22" s="25" t="s">
        <v>451</v>
      </c>
      <c r="C22" s="25" t="s">
        <v>65</v>
      </c>
      <c r="D22" s="25" t="s">
        <v>662</v>
      </c>
      <c r="E22" s="25" t="s">
        <v>449</v>
      </c>
      <c r="F22" s="26" t="str">
        <f aca="false">INDEX(Equipment!$B$2:$B$137,MATCH(E22,Equipment!$A$2:$A$137,0))</f>
        <v>Main 11 kV switchboard (main electrical building)</v>
      </c>
      <c r="G22" s="25" t="s">
        <v>283</v>
      </c>
      <c r="H22" s="26" t="str">
        <f aca="false">INDEX(Equipment!$B$2:$B$137,MATCH(G22,Equipment!$A$2:$A$137,0))</f>
        <v>CCS 11 kV switchboard (CCS substation)</v>
      </c>
      <c r="I22" s="25" t="s">
        <v>502</v>
      </c>
      <c r="J22" s="26" t="str">
        <f aca="false">INDEX('Cable Types'!$B$2:$B$41,MATCH(I22,'Cable Types'!$A$2:$A$41,0))</f>
        <v>6.35/11 kV 1C 240 mm2 Cu/XLPE/CWS/PVC (trefoil set)</v>
      </c>
      <c r="K22" s="25" t="n">
        <v>2</v>
      </c>
      <c r="L22" s="25" t="s">
        <v>659</v>
      </c>
      <c r="M22" s="25" t="s">
        <v>638</v>
      </c>
      <c r="N22" s="25"/>
      <c r="O22" s="27" t="n">
        <f aca="false">IF(N22&lt;&gt;"",N22,IF(M22="D",ROUNDUP(SQRT((AH22-AE22)^2+(AI22-AF22)^2+(AJ22-AG22)^2)*(1+'Design Basis'!$C$6),0),ROUNDUP((ABS(AH22-AE22)+ABS(AI22-AF22)+ABS(AK22-AG22)+ABS(AK22-AJ22))*(1+'Design Basis'!$C$4)+2*'Design Basis'!$C$5,0)))</f>
        <v>179</v>
      </c>
      <c r="P22" s="27" t="n">
        <f aca="false">O22*K22*AM22</f>
        <v>1074</v>
      </c>
      <c r="Q22" s="28" t="n">
        <v>11000</v>
      </c>
      <c r="R22" s="25" t="n">
        <v>3</v>
      </c>
      <c r="S22" s="28" t="n">
        <v>10000</v>
      </c>
      <c r="T22" s="29" t="n">
        <v>1</v>
      </c>
      <c r="U22" s="27" t="n">
        <f aca="false">IF(OR(S22="",Q22=""),"",IF(R22=3,S22*1000/(SQRT(3)*Q22*T22),S22*1000/(Q22*T22)))</f>
        <v>524.863881081478</v>
      </c>
      <c r="V22" s="27" t="n">
        <f aca="false">IF(OR(AO22="",AL22=""),"",AO22*AL22)</f>
        <v>464</v>
      </c>
      <c r="W22" s="27" t="n">
        <f aca="false">IF(V22="","",V22*K22)</f>
        <v>928</v>
      </c>
      <c r="X22" s="30" t="n">
        <f aca="false">IF(OR(U22="",W22=""),"",U22/W22)</f>
        <v>0.565586078751593</v>
      </c>
      <c r="Y22" s="30" t="n">
        <f aca="false">IF(OR(U22="",AP22=""),"",AP22*(U22/K22)*O22/1000/Q22)</f>
        <v>0.000854096679214405</v>
      </c>
      <c r="Z22" s="30" t="n">
        <f aca="false">IF(U22="","",IFERROR(IF(INDEX('Design Basis'!$C$13:$C$21,MATCH(C22,'Design Basis'!$A$13:$A$21,0))="","",INDEX('Design Basis'!$C$13:$C$21,MATCH(C22,'Design Basis'!$A$13:$A$21,0))),""))</f>
        <v>0.03</v>
      </c>
      <c r="AA22" s="31" t="str">
        <f aca="false">IF(U22="","n/a",IF(W22="","CHECK",IF(AND(X22&lt;=1,OR(Y22="",Z22="",Y22&lt;=Z22)),"OK","CHECK")))</f>
        <v>OK</v>
      </c>
      <c r="AB22" s="27" t="n">
        <f aca="false">IF(AN22="","",K22*AM22*PI()/4*AN22^2)</f>
        <v>8312.65416139859</v>
      </c>
      <c r="AC22" s="31"/>
      <c r="AE22" s="32" t="n">
        <f aca="false">INDEX(Equipment!$D$2:$D$137,MATCH(E22,Equipment!$A$2:$A$137,0))</f>
        <v>36</v>
      </c>
      <c r="AF22" s="32" t="n">
        <f aca="false">INDEX(Equipment!$E$2:$E$137,MATCH(E22,Equipment!$A$2:$A$137,0))</f>
        <v>52</v>
      </c>
      <c r="AG22" s="32" t="n">
        <f aca="false">INDEX(Equipment!$F$2:$F$137,MATCH(E22,Equipment!$A$2:$A$137,0))</f>
        <v>0.5</v>
      </c>
      <c r="AH22" s="32" t="n">
        <f aca="false">INDEX(Equipment!$D$2:$D$137,MATCH(G22,Equipment!$A$2:$A$137,0))</f>
        <v>178</v>
      </c>
      <c r="AI22" s="32" t="n">
        <f aca="false">INDEX(Equipment!$E$2:$E$137,MATCH(G22,Equipment!$A$2:$A$137,0))</f>
        <v>58</v>
      </c>
      <c r="AJ22" s="32" t="n">
        <f aca="false">INDEX(Equipment!$F$2:$F$137,MATCH(G22,Equipment!$A$2:$A$137,0))</f>
        <v>0.5</v>
      </c>
      <c r="AK22" s="32" t="n">
        <f aca="false">IF(INDEX(Raceways!$D$2:$D$18,MATCH(L22,Raceways!$A$2:$A$18,0))="",0,INDEX(Raceways!$D$2:$D$18,MATCH(L22,Raceways!$A$2:$A$18,0)))</f>
        <v>5</v>
      </c>
      <c r="AL22" s="33" t="n">
        <f aca="false">IF(INDEX(Raceways!$I$2:$I$18,MATCH(L22,Raceways!$A$2:$A$18,0))="","",INDEX(Raceways!$I$2:$I$18,MATCH(L22,Raceways!$A$2:$A$18,0)))</f>
        <v>0.8</v>
      </c>
      <c r="AM22" s="26" t="n">
        <f aca="false">INDEX('Cable Types'!$D$2:$D$41,MATCH(I22,'Cable Types'!$A$2:$A$41,0))</f>
        <v>3</v>
      </c>
      <c r="AN22" s="26" t="n">
        <f aca="false">IF(INDEX('Cable Types'!$E$2:$E$41,MATCH(I22,'Cable Types'!$A$2:$A$41,0))="","",INDEX('Cable Types'!$E$2:$E$41,MATCH(I22,'Cable Types'!$A$2:$A$41,0)))</f>
        <v>42</v>
      </c>
      <c r="AO22" s="26" t="n">
        <f aca="false">IF(INDEX('Cable Types'!$F$2:$F$41,MATCH(I22,'Cable Types'!$A$2:$A$41,0))="","",INDEX('Cable Types'!$F$2:$F$41,MATCH(I22,'Cable Types'!$A$2:$A$41,0)))</f>
        <v>580</v>
      </c>
      <c r="AP22" s="33" t="n">
        <f aca="false">IF(INDEX('Cable Types'!$G$2:$G$41,MATCH(I22,'Cable Types'!$A$2:$A$41,0))="","",INDEX('Cable Types'!$G$2:$G$41,MATCH(I22,'Cable Types'!$A$2:$A$41,0)))</f>
        <v>0.2</v>
      </c>
    </row>
    <row r="23" customFormat="false" ht="15" hidden="false" customHeight="false" outlineLevel="0" collapsed="false">
      <c r="A23" s="25" t="s">
        <v>663</v>
      </c>
      <c r="B23" s="25" t="s">
        <v>451</v>
      </c>
      <c r="C23" s="25" t="s">
        <v>65</v>
      </c>
      <c r="D23" s="25" t="s">
        <v>664</v>
      </c>
      <c r="E23" s="25" t="s">
        <v>449</v>
      </c>
      <c r="F23" s="26" t="str">
        <f aca="false">INDEX(Equipment!$B$2:$B$137,MATCH(E23,Equipment!$A$2:$A$137,0))</f>
        <v>Main 11 kV switchboard (main electrical building)</v>
      </c>
      <c r="G23" s="25" t="s">
        <v>159</v>
      </c>
      <c r="H23" s="26" t="str">
        <f aca="false">INDEX(Equipment!$B$2:$B$137,MATCH(G23,Equipment!$A$2:$A$137,0))</f>
        <v>GT static starter (LCI) isolation transformer 8 MVA</v>
      </c>
      <c r="I23" s="25" t="s">
        <v>512</v>
      </c>
      <c r="J23" s="26" t="str">
        <f aca="false">INDEX('Cable Types'!$B$2:$B$41,MATCH(I23,'Cable Types'!$A$2:$A$41,0))</f>
        <v>6.35/11 kV 3C 185 mm2 Cu/XLPE/SWA/PVC</v>
      </c>
      <c r="K23" s="25" t="n">
        <v>2</v>
      </c>
      <c r="L23" s="25" t="s">
        <v>665</v>
      </c>
      <c r="M23" s="25" t="s">
        <v>638</v>
      </c>
      <c r="N23" s="25"/>
      <c r="O23" s="27" t="n">
        <f aca="false">IF(N23&lt;&gt;"",N23,IF(M23="D",ROUNDUP(SQRT((AH23-AE23)^2+(AI23-AF23)^2+(AJ23-AG23)^2)*(1+'Design Basis'!$C$6),0),ROUNDUP((ABS(AH23-AE23)+ABS(AI23-AF23)+ABS(AK23-AG23)+ABS(AK23-AJ23))*(1+'Design Basis'!$C$4)+2*'Design Basis'!$C$5,0)))</f>
        <v>85</v>
      </c>
      <c r="P23" s="27" t="n">
        <f aca="false">O23*K23*AM23</f>
        <v>170</v>
      </c>
      <c r="Q23" s="28" t="n">
        <v>11000</v>
      </c>
      <c r="R23" s="25" t="n">
        <v>3</v>
      </c>
      <c r="S23" s="28" t="n">
        <v>8000</v>
      </c>
      <c r="T23" s="29" t="n">
        <v>1</v>
      </c>
      <c r="U23" s="27" t="n">
        <f aca="false">IF(OR(S23="",Q23=""),"",IF(R23=3,S23*1000/(SQRT(3)*Q23*T23),S23*1000/(Q23*T23)))</f>
        <v>419.891104865182</v>
      </c>
      <c r="V23" s="27" t="n">
        <f aca="false">IF(OR(AO23="",AL23=""),"",AO23*AL23)</f>
        <v>344</v>
      </c>
      <c r="W23" s="27" t="n">
        <f aca="false">IF(V23="","",V23*K23)</f>
        <v>688</v>
      </c>
      <c r="X23" s="30" t="n">
        <f aca="false">IF(OR(U23="",W23=""),"",U23/W23)</f>
        <v>0.610306838466835</v>
      </c>
      <c r="Y23" s="30" t="n">
        <f aca="false">IF(OR(U23="",AP23=""),"",AP23*(U23/K23)*O23/1000/Q23)</f>
        <v>0.000405576635381142</v>
      </c>
      <c r="Z23" s="30" t="n">
        <f aca="false">IF(U23="","",IFERROR(IF(INDEX('Design Basis'!$C$13:$C$21,MATCH(C23,'Design Basis'!$A$13:$A$21,0))="","",INDEX('Design Basis'!$C$13:$C$21,MATCH(C23,'Design Basis'!$A$13:$A$21,0))),""))</f>
        <v>0.03</v>
      </c>
      <c r="AA23" s="31" t="str">
        <f aca="false">IF(U23="","n/a",IF(W23="","CHECK",IF(AND(X23&lt;=1,OR(Y23="",Z23="",Y23&lt;=Z23)),"OK","CHECK")))</f>
        <v>OK</v>
      </c>
      <c r="AB23" s="27" t="n">
        <f aca="false">IF(AN23="","",K23*AM23*PI()/4*AN23^2)</f>
        <v>10562.0345013689</v>
      </c>
      <c r="AC23" s="31"/>
      <c r="AE23" s="32" t="n">
        <f aca="false">INDEX(Equipment!$D$2:$D$137,MATCH(E23,Equipment!$A$2:$A$137,0))</f>
        <v>36</v>
      </c>
      <c r="AF23" s="32" t="n">
        <f aca="false">INDEX(Equipment!$E$2:$E$137,MATCH(E23,Equipment!$A$2:$A$137,0))</f>
        <v>52</v>
      </c>
      <c r="AG23" s="32" t="n">
        <f aca="false">INDEX(Equipment!$F$2:$F$137,MATCH(E23,Equipment!$A$2:$A$137,0))</f>
        <v>0.5</v>
      </c>
      <c r="AH23" s="32" t="n">
        <f aca="false">INDEX(Equipment!$D$2:$D$137,MATCH(G23,Equipment!$A$2:$A$137,0))</f>
        <v>40</v>
      </c>
      <c r="AI23" s="32" t="n">
        <f aca="false">INDEX(Equipment!$E$2:$E$137,MATCH(G23,Equipment!$A$2:$A$137,0))</f>
        <v>-6</v>
      </c>
      <c r="AJ23" s="32" t="n">
        <f aca="false">INDEX(Equipment!$F$2:$F$137,MATCH(G23,Equipment!$A$2:$A$137,0))</f>
        <v>0.5</v>
      </c>
      <c r="AK23" s="32" t="n">
        <f aca="false">IF(INDEX(Raceways!$D$2:$D$18,MATCH(L23,Raceways!$A$2:$A$18,0))="",0,INDEX(Raceways!$D$2:$D$18,MATCH(L23,Raceways!$A$2:$A$18,0)))</f>
        <v>5</v>
      </c>
      <c r="AL23" s="33" t="n">
        <f aca="false">IF(INDEX(Raceways!$I$2:$I$18,MATCH(L23,Raceways!$A$2:$A$18,0))="","",INDEX(Raceways!$I$2:$I$18,MATCH(L23,Raceways!$A$2:$A$18,0)))</f>
        <v>0.8</v>
      </c>
      <c r="AM23" s="26" t="n">
        <f aca="false">INDEX('Cable Types'!$D$2:$D$41,MATCH(I23,'Cable Types'!$A$2:$A$41,0))</f>
        <v>1</v>
      </c>
      <c r="AN23" s="26" t="n">
        <f aca="false">IF(INDEX('Cable Types'!$E$2:$E$41,MATCH(I23,'Cable Types'!$A$2:$A$41,0))="","",INDEX('Cable Types'!$E$2:$E$41,MATCH(I23,'Cable Types'!$A$2:$A$41,0)))</f>
        <v>82</v>
      </c>
      <c r="AO23" s="26" t="n">
        <f aca="false">IF(INDEX('Cable Types'!$F$2:$F$41,MATCH(I23,'Cable Types'!$A$2:$A$41,0))="","",INDEX('Cable Types'!$F$2:$F$41,MATCH(I23,'Cable Types'!$A$2:$A$41,0)))</f>
        <v>430</v>
      </c>
      <c r="AP23" s="33" t="n">
        <f aca="false">IF(INDEX('Cable Types'!$G$2:$G$41,MATCH(I23,'Cable Types'!$A$2:$A$41,0))="","",INDEX('Cable Types'!$G$2:$G$41,MATCH(I23,'Cable Types'!$A$2:$A$41,0)))</f>
        <v>0.25</v>
      </c>
    </row>
    <row r="24" customFormat="false" ht="15" hidden="false" customHeight="false" outlineLevel="0" collapsed="false">
      <c r="A24" s="25" t="s">
        <v>666</v>
      </c>
      <c r="B24" s="25" t="s">
        <v>133</v>
      </c>
      <c r="C24" s="25" t="s">
        <v>65</v>
      </c>
      <c r="D24" s="25" t="s">
        <v>667</v>
      </c>
      <c r="E24" s="25" t="s">
        <v>162</v>
      </c>
      <c r="F24" s="26" t="str">
        <f aca="false">INDEX(Equipment!$B$2:$B$137,MATCH(E24,Equipment!$A$2:$A$137,0))</f>
        <v>GT static starter (LCI) cubicle</v>
      </c>
      <c r="G24" s="25" t="s">
        <v>131</v>
      </c>
      <c r="H24" s="26" t="str">
        <f aca="false">INDEX(Equipment!$B$2:$B$137,MATCH(G24,Equipment!$A$2:$A$137,0))</f>
        <v>Gas turbine generator ~290 MVA, 19 kV - line terminals</v>
      </c>
      <c r="I24" s="25" t="s">
        <v>504</v>
      </c>
      <c r="J24" s="26" t="str">
        <f aca="false">INDEX('Cable Types'!$B$2:$B$41,MATCH(I24,'Cable Types'!$A$2:$A$41,0))</f>
        <v>6.35/11 kV 1C 400 mm2 Cu/XLPE/CWS/PVC (trefoil set)</v>
      </c>
      <c r="K24" s="25" t="n">
        <v>2</v>
      </c>
      <c r="L24" s="25" t="s">
        <v>665</v>
      </c>
      <c r="M24" s="25" t="s">
        <v>638</v>
      </c>
      <c r="N24" s="25"/>
      <c r="O24" s="27" t="n">
        <f aca="false">IF(N24&lt;&gt;"",N24,IF(M24="D",ROUNDUP(SQRT((AH24-AE24)^2+(AI24-AF24)^2+(AJ24-AG24)^2)*(1+'Design Basis'!$C$6),0),ROUNDUP((ABS(AH24-AE24)+ABS(AI24-AF24)+ABS(AK24-AG24)+ABS(AK24-AJ24))*(1+'Design Basis'!$C$4)+2*'Design Basis'!$C$5,0)))</f>
        <v>54</v>
      </c>
      <c r="P24" s="27" t="n">
        <f aca="false">O24*K24*AM24</f>
        <v>324</v>
      </c>
      <c r="Q24" s="28" t="n">
        <v>6000</v>
      </c>
      <c r="R24" s="25" t="n">
        <v>3</v>
      </c>
      <c r="S24" s="28" t="n">
        <v>8000</v>
      </c>
      <c r="T24" s="29" t="n">
        <v>1</v>
      </c>
      <c r="U24" s="27" t="n">
        <f aca="false">IF(OR(S24="",Q24=""),"",IF(R24=3,S24*1000/(SQRT(3)*Q24*T24),S24*1000/(Q24*T24)))</f>
        <v>769.800358919501</v>
      </c>
      <c r="V24" s="27" t="n">
        <f aca="false">IF(OR(AO24="",AL24=""),"",AO24*AL24)</f>
        <v>608</v>
      </c>
      <c r="W24" s="27" t="n">
        <f aca="false">IF(V24="","",V24*K24)</f>
        <v>1216</v>
      </c>
      <c r="X24" s="30" t="n">
        <f aca="false">IF(OR(U24="",W24=""),"",U24/W24)</f>
        <v>0.633059505690379</v>
      </c>
      <c r="Y24" s="30" t="n">
        <f aca="false">IF(OR(U24="",AP24=""),"",AP24*(U24/K24)*O24/1000/Q24)</f>
        <v>0.000519615242270663</v>
      </c>
      <c r="Z24" s="30" t="n">
        <f aca="false">IF(U24="","",IFERROR(IF(INDEX('Design Basis'!$C$13:$C$21,MATCH(C24,'Design Basis'!$A$13:$A$21,0))="","",INDEX('Design Basis'!$C$13:$C$21,MATCH(C24,'Design Basis'!$A$13:$A$21,0))),""))</f>
        <v>0.03</v>
      </c>
      <c r="AA24" s="31" t="str">
        <f aca="false">IF(U24="","n/a",IF(W24="","CHECK",IF(AND(X24&lt;=1,OR(Y24="",Z24="",Y24&lt;=Z24)),"OK","CHECK")))</f>
        <v>OK</v>
      </c>
      <c r="AB24" s="27" t="n">
        <f aca="false">IF(AN24="","",K24*AM24*PI()/4*AN24^2)</f>
        <v>11780.9724509617</v>
      </c>
      <c r="AC24" s="31" t="s">
        <v>668</v>
      </c>
      <c r="AE24" s="32" t="n">
        <f aca="false">INDEX(Equipment!$D$2:$D$137,MATCH(E24,Equipment!$A$2:$A$137,0))</f>
        <v>44</v>
      </c>
      <c r="AF24" s="32" t="n">
        <f aca="false">INDEX(Equipment!$E$2:$E$137,MATCH(E24,Equipment!$A$2:$A$137,0))</f>
        <v>-6</v>
      </c>
      <c r="AG24" s="32" t="n">
        <f aca="false">INDEX(Equipment!$F$2:$F$137,MATCH(E24,Equipment!$A$2:$A$137,0))</f>
        <v>0.5</v>
      </c>
      <c r="AH24" s="32" t="n">
        <f aca="false">INDEX(Equipment!$D$2:$D$137,MATCH(G24,Equipment!$A$2:$A$137,0))</f>
        <v>58</v>
      </c>
      <c r="AI24" s="32" t="n">
        <f aca="false">INDEX(Equipment!$E$2:$E$137,MATCH(G24,Equipment!$A$2:$A$137,0))</f>
        <v>18</v>
      </c>
      <c r="AJ24" s="32" t="n">
        <f aca="false">INDEX(Equipment!$F$2:$F$137,MATCH(G24,Equipment!$A$2:$A$137,0))</f>
        <v>4</v>
      </c>
      <c r="AK24" s="32" t="n">
        <f aca="false">IF(INDEX(Raceways!$D$2:$D$18,MATCH(L24,Raceways!$A$2:$A$18,0))="",0,INDEX(Raceways!$D$2:$D$18,MATCH(L24,Raceways!$A$2:$A$18,0)))</f>
        <v>5</v>
      </c>
      <c r="AL24" s="33" t="n">
        <f aca="false">IF(INDEX(Raceways!$I$2:$I$18,MATCH(L24,Raceways!$A$2:$A$18,0))="","",INDEX(Raceways!$I$2:$I$18,MATCH(L24,Raceways!$A$2:$A$18,0)))</f>
        <v>0.8</v>
      </c>
      <c r="AM24" s="26" t="n">
        <f aca="false">INDEX('Cable Types'!$D$2:$D$41,MATCH(I24,'Cable Types'!$A$2:$A$41,0))</f>
        <v>3</v>
      </c>
      <c r="AN24" s="26" t="n">
        <f aca="false">IF(INDEX('Cable Types'!$E$2:$E$41,MATCH(I24,'Cable Types'!$A$2:$A$41,0))="","",INDEX('Cable Types'!$E$2:$E$41,MATCH(I24,'Cable Types'!$A$2:$A$41,0)))</f>
        <v>50</v>
      </c>
      <c r="AO24" s="26" t="n">
        <f aca="false">IF(INDEX('Cable Types'!$F$2:$F$41,MATCH(I24,'Cable Types'!$A$2:$A$41,0))="","",INDEX('Cable Types'!$F$2:$F$41,MATCH(I24,'Cable Types'!$A$2:$A$41,0)))</f>
        <v>760</v>
      </c>
      <c r="AP24" s="33" t="n">
        <f aca="false">IF(INDEX('Cable Types'!$G$2:$G$41,MATCH(I24,'Cable Types'!$A$2:$A$41,0))="","",INDEX('Cable Types'!$G$2:$G$41,MATCH(I24,'Cable Types'!$A$2:$A$41,0)))</f>
        <v>0.15</v>
      </c>
    </row>
    <row r="25" customFormat="false" ht="15" hidden="false" customHeight="false" outlineLevel="0" collapsed="false">
      <c r="A25" s="25" t="s">
        <v>669</v>
      </c>
      <c r="B25" s="25" t="s">
        <v>133</v>
      </c>
      <c r="C25" s="25" t="s">
        <v>65</v>
      </c>
      <c r="D25" s="25" t="s">
        <v>670</v>
      </c>
      <c r="E25" s="25" t="s">
        <v>449</v>
      </c>
      <c r="F25" s="26" t="str">
        <f aca="false">INDEX(Equipment!$B$2:$B$137,MATCH(E25,Equipment!$A$2:$A$137,0))</f>
        <v>Main 11 kV switchboard (main electrical building)</v>
      </c>
      <c r="G25" s="25" t="s">
        <v>188</v>
      </c>
      <c r="H25" s="26" t="str">
        <f aca="false">INDEX(Equipment!$B$2:$B$137,MATCH(G25,Equipment!$A$2:$A$137,0))</f>
        <v>HP/IP boiler feed pump A motor 3.2 MW, 11 kV</v>
      </c>
      <c r="I25" s="25" t="s">
        <v>510</v>
      </c>
      <c r="J25" s="26" t="str">
        <f aca="false">INDEX('Cable Types'!$B$2:$B$41,MATCH(I25,'Cable Types'!$A$2:$A$41,0))</f>
        <v>6.35/11 kV 3C 120 mm2 Cu/XLPE/SWA/PVC</v>
      </c>
      <c r="K25" s="25" t="n">
        <v>1</v>
      </c>
      <c r="L25" s="25" t="s">
        <v>665</v>
      </c>
      <c r="M25" s="25" t="s">
        <v>638</v>
      </c>
      <c r="N25" s="25"/>
      <c r="O25" s="27" t="n">
        <f aca="false">IF(N25&lt;&gt;"",N25,IF(M25="D",ROUNDUP(SQRT((AH25-AE25)^2+(AI25-AF25)^2+(AJ25-AG25)^2)*(1+'Design Basis'!$C$6),0),ROUNDUP((ABS(AH25-AE25)+ABS(AI25-AF25)+ABS(AK25-AG25)+ABS(AK25-AJ25))*(1+'Design Basis'!$C$4)+2*'Design Basis'!$C$5,0)))</f>
        <v>138</v>
      </c>
      <c r="P25" s="27" t="n">
        <f aca="false">O25*K25*AM25</f>
        <v>138</v>
      </c>
      <c r="Q25" s="28" t="n">
        <v>11000</v>
      </c>
      <c r="R25" s="25" t="n">
        <v>3</v>
      </c>
      <c r="S25" s="28" t="n">
        <v>3200</v>
      </c>
      <c r="T25" s="29" t="n">
        <v>0.86</v>
      </c>
      <c r="U25" s="27" t="n">
        <f aca="false">IF(OR(S25="",Q25=""),"",IF(R25=3,S25*1000/(SQRT(3)*Q25*T25),S25*1000/(Q25*T25)))</f>
        <v>195.298188309387</v>
      </c>
      <c r="V25" s="27" t="n">
        <f aca="false">IF(OR(AO25="",AL25=""),"",AO25*AL25)</f>
        <v>272</v>
      </c>
      <c r="W25" s="27" t="n">
        <f aca="false">IF(V25="","",V25*K25)</f>
        <v>272</v>
      </c>
      <c r="X25" s="30" t="n">
        <f aca="false">IF(OR(U25="",W25=""),"",U25/W25)</f>
        <v>0.7180080452551</v>
      </c>
      <c r="Y25" s="30" t="n">
        <f aca="false">IF(OR(U25="",AP25=""),"",AP25*(U25/K25)*O25/1000/Q25)</f>
        <v>0.000882037635928214</v>
      </c>
      <c r="Z25" s="30" t="n">
        <f aca="false">IF(U25="","",IFERROR(IF(INDEX('Design Basis'!$C$13:$C$21,MATCH(C25,'Design Basis'!$A$13:$A$21,0))="","",INDEX('Design Basis'!$C$13:$C$21,MATCH(C25,'Design Basis'!$A$13:$A$21,0))),""))</f>
        <v>0.03</v>
      </c>
      <c r="AA25" s="31" t="str">
        <f aca="false">IF(U25="","n/a",IF(W25="","CHECK",IF(AND(X25&lt;=1,OR(Y25="",Z25="",Y25&lt;=Z25)),"OK","CHECK")))</f>
        <v>OK</v>
      </c>
      <c r="AB25" s="27" t="n">
        <f aca="false">IF(AN25="","",K25*AM25*PI()/4*AN25^2)</f>
        <v>4185.386812745</v>
      </c>
      <c r="AC25" s="31" t="s">
        <v>671</v>
      </c>
      <c r="AE25" s="32" t="n">
        <f aca="false">INDEX(Equipment!$D$2:$D$137,MATCH(E25,Equipment!$A$2:$A$137,0))</f>
        <v>36</v>
      </c>
      <c r="AF25" s="32" t="n">
        <f aca="false">INDEX(Equipment!$E$2:$E$137,MATCH(E25,Equipment!$A$2:$A$137,0))</f>
        <v>52</v>
      </c>
      <c r="AG25" s="32" t="n">
        <f aca="false">INDEX(Equipment!$F$2:$F$137,MATCH(E25,Equipment!$A$2:$A$137,0))</f>
        <v>0.5</v>
      </c>
      <c r="AH25" s="32" t="n">
        <f aca="false">INDEX(Equipment!$D$2:$D$137,MATCH(G25,Equipment!$A$2:$A$137,0))</f>
        <v>86</v>
      </c>
      <c r="AI25" s="32" t="n">
        <f aca="false">INDEX(Equipment!$E$2:$E$137,MATCH(G25,Equipment!$A$2:$A$137,0))</f>
        <v>-9</v>
      </c>
      <c r="AJ25" s="32" t="n">
        <f aca="false">INDEX(Equipment!$F$2:$F$137,MATCH(G25,Equipment!$A$2:$A$137,0))</f>
        <v>0.5</v>
      </c>
      <c r="AK25" s="32" t="n">
        <f aca="false">IF(INDEX(Raceways!$D$2:$D$18,MATCH(L25,Raceways!$A$2:$A$18,0))="",0,INDEX(Raceways!$D$2:$D$18,MATCH(L25,Raceways!$A$2:$A$18,0)))</f>
        <v>5</v>
      </c>
      <c r="AL25" s="33" t="n">
        <f aca="false">IF(INDEX(Raceways!$I$2:$I$18,MATCH(L25,Raceways!$A$2:$A$18,0))="","",INDEX(Raceways!$I$2:$I$18,MATCH(L25,Raceways!$A$2:$A$18,0)))</f>
        <v>0.8</v>
      </c>
      <c r="AM25" s="26" t="n">
        <f aca="false">INDEX('Cable Types'!$D$2:$D$41,MATCH(I25,'Cable Types'!$A$2:$A$41,0))</f>
        <v>1</v>
      </c>
      <c r="AN25" s="26" t="n">
        <f aca="false">IF(INDEX('Cable Types'!$E$2:$E$41,MATCH(I25,'Cable Types'!$A$2:$A$41,0))="","",INDEX('Cable Types'!$E$2:$E$41,MATCH(I25,'Cable Types'!$A$2:$A$41,0)))</f>
        <v>73</v>
      </c>
      <c r="AO25" s="26" t="n">
        <f aca="false">IF(INDEX('Cable Types'!$F$2:$F$41,MATCH(I25,'Cable Types'!$A$2:$A$41,0))="","",INDEX('Cable Types'!$F$2:$F$41,MATCH(I25,'Cable Types'!$A$2:$A$41,0)))</f>
        <v>340</v>
      </c>
      <c r="AP25" s="33" t="n">
        <f aca="false">IF(INDEX('Cable Types'!$G$2:$G$41,MATCH(I25,'Cable Types'!$A$2:$A$41,0))="","",INDEX('Cable Types'!$G$2:$G$41,MATCH(I25,'Cable Types'!$A$2:$A$41,0)))</f>
        <v>0.36</v>
      </c>
    </row>
    <row r="26" customFormat="false" ht="15" hidden="false" customHeight="false" outlineLevel="0" collapsed="false">
      <c r="A26" s="25" t="s">
        <v>672</v>
      </c>
      <c r="B26" s="25" t="s">
        <v>133</v>
      </c>
      <c r="C26" s="25" t="s">
        <v>65</v>
      </c>
      <c r="D26" s="25" t="s">
        <v>673</v>
      </c>
      <c r="E26" s="25" t="s">
        <v>449</v>
      </c>
      <c r="F26" s="26" t="str">
        <f aca="false">INDEX(Equipment!$B$2:$B$137,MATCH(E26,Equipment!$A$2:$A$137,0))</f>
        <v>Main 11 kV switchboard (main electrical building)</v>
      </c>
      <c r="G26" s="25" t="s">
        <v>191</v>
      </c>
      <c r="H26" s="26" t="str">
        <f aca="false">INDEX(Equipment!$B$2:$B$137,MATCH(G26,Equipment!$A$2:$A$137,0))</f>
        <v>HP/IP boiler feed pump B motor 3.2 MW, 11 kV</v>
      </c>
      <c r="I26" s="25" t="s">
        <v>510</v>
      </c>
      <c r="J26" s="26" t="str">
        <f aca="false">INDEX('Cable Types'!$B$2:$B$41,MATCH(I26,'Cable Types'!$A$2:$A$41,0))</f>
        <v>6.35/11 kV 3C 120 mm2 Cu/XLPE/SWA/PVC</v>
      </c>
      <c r="K26" s="25" t="n">
        <v>1</v>
      </c>
      <c r="L26" s="25" t="s">
        <v>665</v>
      </c>
      <c r="M26" s="25" t="s">
        <v>638</v>
      </c>
      <c r="N26" s="25"/>
      <c r="O26" s="27" t="n">
        <f aca="false">IF(N26&lt;&gt;"",N26,IF(M26="D",ROUNDUP(SQRT((AH26-AE26)^2+(AI26-AF26)^2+(AJ26-AG26)^2)*(1+'Design Basis'!$C$6),0),ROUNDUP((ABS(AH26-AE26)+ABS(AI26-AF26)+ABS(AK26-AG26)+ABS(AK26-AJ26))*(1+'Design Basis'!$C$4)+2*'Design Basis'!$C$5,0)))</f>
        <v>143</v>
      </c>
      <c r="P26" s="27" t="n">
        <f aca="false">O26*K26*AM26</f>
        <v>143</v>
      </c>
      <c r="Q26" s="28" t="n">
        <v>11000</v>
      </c>
      <c r="R26" s="25" t="n">
        <v>3</v>
      </c>
      <c r="S26" s="28" t="n">
        <v>3200</v>
      </c>
      <c r="T26" s="29" t="n">
        <v>0.86</v>
      </c>
      <c r="U26" s="27" t="n">
        <f aca="false">IF(OR(S26="",Q26=""),"",IF(R26=3,S26*1000/(SQRT(3)*Q26*T26),S26*1000/(Q26*T26)))</f>
        <v>195.298188309387</v>
      </c>
      <c r="V26" s="27" t="n">
        <f aca="false">IF(OR(AO26="",AL26=""),"",AO26*AL26)</f>
        <v>272</v>
      </c>
      <c r="W26" s="27" t="n">
        <f aca="false">IF(V26="","",V26*K26)</f>
        <v>272</v>
      </c>
      <c r="X26" s="30" t="n">
        <f aca="false">IF(OR(U26="",W26=""),"",U26/W26)</f>
        <v>0.7180080452551</v>
      </c>
      <c r="Y26" s="30" t="n">
        <f aca="false">IF(OR(U26="",AP26=""),"",AP26*(U26/K26)*O26/1000/Q26)</f>
        <v>0.000913995521287932</v>
      </c>
      <c r="Z26" s="30" t="n">
        <f aca="false">IF(U26="","",IFERROR(IF(INDEX('Design Basis'!$C$13:$C$21,MATCH(C26,'Design Basis'!$A$13:$A$21,0))="","",INDEX('Design Basis'!$C$13:$C$21,MATCH(C26,'Design Basis'!$A$13:$A$21,0))),""))</f>
        <v>0.03</v>
      </c>
      <c r="AA26" s="31" t="str">
        <f aca="false">IF(U26="","n/a",IF(W26="","CHECK",IF(AND(X26&lt;=1,OR(Y26="",Z26="",Y26&lt;=Z26)),"OK","CHECK")))</f>
        <v>OK</v>
      </c>
      <c r="AB26" s="27" t="n">
        <f aca="false">IF(AN26="","",K26*AM26*PI()/4*AN26^2)</f>
        <v>4185.386812745</v>
      </c>
      <c r="AC26" s="31"/>
      <c r="AE26" s="32" t="n">
        <f aca="false">INDEX(Equipment!$D$2:$D$137,MATCH(E26,Equipment!$A$2:$A$137,0))</f>
        <v>36</v>
      </c>
      <c r="AF26" s="32" t="n">
        <f aca="false">INDEX(Equipment!$E$2:$E$137,MATCH(E26,Equipment!$A$2:$A$137,0))</f>
        <v>52</v>
      </c>
      <c r="AG26" s="32" t="n">
        <f aca="false">INDEX(Equipment!$F$2:$F$137,MATCH(E26,Equipment!$A$2:$A$137,0))</f>
        <v>0.5</v>
      </c>
      <c r="AH26" s="32" t="n">
        <f aca="false">INDEX(Equipment!$D$2:$D$137,MATCH(G26,Equipment!$A$2:$A$137,0))</f>
        <v>90</v>
      </c>
      <c r="AI26" s="32" t="n">
        <f aca="false">INDEX(Equipment!$E$2:$E$137,MATCH(G26,Equipment!$A$2:$A$137,0))</f>
        <v>-9</v>
      </c>
      <c r="AJ26" s="32" t="n">
        <f aca="false">INDEX(Equipment!$F$2:$F$137,MATCH(G26,Equipment!$A$2:$A$137,0))</f>
        <v>0.5</v>
      </c>
      <c r="AK26" s="32" t="n">
        <f aca="false">IF(INDEX(Raceways!$D$2:$D$18,MATCH(L26,Raceways!$A$2:$A$18,0))="",0,INDEX(Raceways!$D$2:$D$18,MATCH(L26,Raceways!$A$2:$A$18,0)))</f>
        <v>5</v>
      </c>
      <c r="AL26" s="33" t="n">
        <f aca="false">IF(INDEX(Raceways!$I$2:$I$18,MATCH(L26,Raceways!$A$2:$A$18,0))="","",INDEX(Raceways!$I$2:$I$18,MATCH(L26,Raceways!$A$2:$A$18,0)))</f>
        <v>0.8</v>
      </c>
      <c r="AM26" s="26" t="n">
        <f aca="false">INDEX('Cable Types'!$D$2:$D$41,MATCH(I26,'Cable Types'!$A$2:$A$41,0))</f>
        <v>1</v>
      </c>
      <c r="AN26" s="26" t="n">
        <f aca="false">IF(INDEX('Cable Types'!$E$2:$E$41,MATCH(I26,'Cable Types'!$A$2:$A$41,0))="","",INDEX('Cable Types'!$E$2:$E$41,MATCH(I26,'Cable Types'!$A$2:$A$41,0)))</f>
        <v>73</v>
      </c>
      <c r="AO26" s="26" t="n">
        <f aca="false">IF(INDEX('Cable Types'!$F$2:$F$41,MATCH(I26,'Cable Types'!$A$2:$A$41,0))="","",INDEX('Cable Types'!$F$2:$F$41,MATCH(I26,'Cable Types'!$A$2:$A$41,0)))</f>
        <v>340</v>
      </c>
      <c r="AP26" s="33" t="n">
        <f aca="false">IF(INDEX('Cable Types'!$G$2:$G$41,MATCH(I26,'Cable Types'!$A$2:$A$41,0))="","",INDEX('Cable Types'!$G$2:$G$41,MATCH(I26,'Cable Types'!$A$2:$A$41,0)))</f>
        <v>0.36</v>
      </c>
    </row>
    <row r="27" customFormat="false" ht="15" hidden="false" customHeight="false" outlineLevel="0" collapsed="false">
      <c r="A27" s="25" t="s">
        <v>674</v>
      </c>
      <c r="B27" s="25" t="s">
        <v>133</v>
      </c>
      <c r="C27" s="25" t="s">
        <v>65</v>
      </c>
      <c r="D27" s="25" t="s">
        <v>675</v>
      </c>
      <c r="E27" s="25" t="s">
        <v>449</v>
      </c>
      <c r="F27" s="26" t="str">
        <f aca="false">INDEX(Equipment!$B$2:$B$137,MATCH(E27,Equipment!$A$2:$A$137,0))</f>
        <v>Main 11 kV switchboard (main electrical building)</v>
      </c>
      <c r="G27" s="25" t="s">
        <v>219</v>
      </c>
      <c r="H27" s="26" t="str">
        <f aca="false">INDEX(Equipment!$B$2:$B$137,MATCH(G27,Equipment!$A$2:$A$137,0))</f>
        <v>Condensate extraction pump A motor 500 kW, 11 kV</v>
      </c>
      <c r="I27" s="25" t="s">
        <v>508</v>
      </c>
      <c r="J27" s="26" t="str">
        <f aca="false">INDEX('Cable Types'!$B$2:$B$41,MATCH(I27,'Cable Types'!$A$2:$A$41,0))</f>
        <v>6.35/11 kV 3C 70 mm2 Cu/XLPE/SWA/PVC</v>
      </c>
      <c r="K27" s="25" t="n">
        <v>1</v>
      </c>
      <c r="L27" s="25" t="s">
        <v>659</v>
      </c>
      <c r="M27" s="25" t="s">
        <v>638</v>
      </c>
      <c r="N27" s="25"/>
      <c r="O27" s="27" t="n">
        <f aca="false">IF(N27&lt;&gt;"",N27,IF(M27="D",ROUNDUP(SQRT((AH27-AE27)^2+(AI27-AF27)^2+(AJ27-AG27)^2)*(1+'Design Basis'!$C$6),0),ROUNDUP((ABS(AH27-AE27)+ABS(AI27-AF27)+ABS(AK27-AG27)+ABS(AK27-AJ27))*(1+'Design Basis'!$C$4)+2*'Design Basis'!$C$5,0)))</f>
        <v>82</v>
      </c>
      <c r="P27" s="27" t="n">
        <f aca="false">O27*K27*AM27</f>
        <v>82</v>
      </c>
      <c r="Q27" s="28" t="n">
        <v>11000</v>
      </c>
      <c r="R27" s="25" t="n">
        <v>3</v>
      </c>
      <c r="S27" s="28" t="n">
        <v>500</v>
      </c>
      <c r="T27" s="29" t="n">
        <v>0.82</v>
      </c>
      <c r="U27" s="27" t="n">
        <f aca="false">IF(OR(S27="",Q27=""),"",IF(R27=3,S27*1000/(SQRT(3)*Q27*T27),S27*1000/(Q27*T27)))</f>
        <v>32.003895187895</v>
      </c>
      <c r="V27" s="27" t="n">
        <f aca="false">IF(OR(AO27="",AL27=""),"",AO27*AL27)</f>
        <v>200</v>
      </c>
      <c r="W27" s="27" t="n">
        <f aca="false">IF(V27="","",V27*K27)</f>
        <v>200</v>
      </c>
      <c r="X27" s="30" t="n">
        <f aca="false">IF(OR(U27="",W27=""),"",U27/W27)</f>
        <v>0.160019475939475</v>
      </c>
      <c r="Y27" s="30" t="n">
        <f aca="false">IF(OR(U27="",AP27=""),"",AP27*(U27/K27)*O27/1000/Q27)</f>
        <v>0.000143144694840403</v>
      </c>
      <c r="Z27" s="30" t="n">
        <f aca="false">IF(U27="","",IFERROR(IF(INDEX('Design Basis'!$C$13:$C$21,MATCH(C27,'Design Basis'!$A$13:$A$21,0))="","",INDEX('Design Basis'!$C$13:$C$21,MATCH(C27,'Design Basis'!$A$13:$A$21,0))),""))</f>
        <v>0.03</v>
      </c>
      <c r="AA27" s="31" t="str">
        <f aca="false">IF(U27="","n/a",IF(W27="","CHECK",IF(AND(X27&lt;=1,OR(Y27="",Z27="",Y27&lt;=Z27)),"OK","CHECK")))</f>
        <v>OK</v>
      </c>
      <c r="AB27" s="27" t="n">
        <f aca="false">IF(AN27="","",K27*AM27*PI()/4*AN27^2)</f>
        <v>3117.24531052447</v>
      </c>
      <c r="AC27" s="31" t="s">
        <v>676</v>
      </c>
      <c r="AE27" s="32" t="n">
        <f aca="false">INDEX(Equipment!$D$2:$D$137,MATCH(E27,Equipment!$A$2:$A$137,0))</f>
        <v>36</v>
      </c>
      <c r="AF27" s="32" t="n">
        <f aca="false">INDEX(Equipment!$E$2:$E$137,MATCH(E27,Equipment!$A$2:$A$137,0))</f>
        <v>52</v>
      </c>
      <c r="AG27" s="32" t="n">
        <f aca="false">INDEX(Equipment!$F$2:$F$137,MATCH(E27,Equipment!$A$2:$A$137,0))</f>
        <v>0.5</v>
      </c>
      <c r="AH27" s="32" t="n">
        <f aca="false">INDEX(Equipment!$D$2:$D$137,MATCH(G27,Equipment!$A$2:$A$137,0))</f>
        <v>88</v>
      </c>
      <c r="AI27" s="32" t="n">
        <f aca="false">INDEX(Equipment!$E$2:$E$137,MATCH(G27,Equipment!$A$2:$A$137,0))</f>
        <v>44</v>
      </c>
      <c r="AJ27" s="32" t="n">
        <f aca="false">INDEX(Equipment!$F$2:$F$137,MATCH(G27,Equipment!$A$2:$A$137,0))</f>
        <v>0.5</v>
      </c>
      <c r="AK27" s="32" t="n">
        <f aca="false">IF(INDEX(Raceways!$D$2:$D$18,MATCH(L27,Raceways!$A$2:$A$18,0))="",0,INDEX(Raceways!$D$2:$D$18,MATCH(L27,Raceways!$A$2:$A$18,0)))</f>
        <v>5</v>
      </c>
      <c r="AL27" s="33" t="n">
        <f aca="false">IF(INDEX(Raceways!$I$2:$I$18,MATCH(L27,Raceways!$A$2:$A$18,0))="","",INDEX(Raceways!$I$2:$I$18,MATCH(L27,Raceways!$A$2:$A$18,0)))</f>
        <v>0.8</v>
      </c>
      <c r="AM27" s="26" t="n">
        <f aca="false">INDEX('Cable Types'!$D$2:$D$41,MATCH(I27,'Cable Types'!$A$2:$A$41,0))</f>
        <v>1</v>
      </c>
      <c r="AN27" s="26" t="n">
        <f aca="false">IF(INDEX('Cable Types'!$E$2:$E$41,MATCH(I27,'Cable Types'!$A$2:$A$41,0))="","",INDEX('Cable Types'!$E$2:$E$41,MATCH(I27,'Cable Types'!$A$2:$A$41,0)))</f>
        <v>63</v>
      </c>
      <c r="AO27" s="26" t="n">
        <f aca="false">IF(INDEX('Cable Types'!$F$2:$F$41,MATCH(I27,'Cable Types'!$A$2:$A$41,0))="","",INDEX('Cable Types'!$F$2:$F$41,MATCH(I27,'Cable Types'!$A$2:$A$41,0)))</f>
        <v>250</v>
      </c>
      <c r="AP27" s="33" t="n">
        <f aca="false">IF(INDEX('Cable Types'!$G$2:$G$41,MATCH(I27,'Cable Types'!$A$2:$A$41,0))="","",INDEX('Cable Types'!$G$2:$G$41,MATCH(I27,'Cable Types'!$A$2:$A$41,0)))</f>
        <v>0.6</v>
      </c>
    </row>
    <row r="28" customFormat="false" ht="15" hidden="false" customHeight="false" outlineLevel="0" collapsed="false">
      <c r="A28" s="25" t="s">
        <v>677</v>
      </c>
      <c r="B28" s="25" t="s">
        <v>133</v>
      </c>
      <c r="C28" s="25" t="s">
        <v>65</v>
      </c>
      <c r="D28" s="25" t="s">
        <v>678</v>
      </c>
      <c r="E28" s="25" t="s">
        <v>449</v>
      </c>
      <c r="F28" s="26" t="str">
        <f aca="false">INDEX(Equipment!$B$2:$B$137,MATCH(E28,Equipment!$A$2:$A$137,0))</f>
        <v>Main 11 kV switchboard (main electrical building)</v>
      </c>
      <c r="G28" s="25" t="s">
        <v>221</v>
      </c>
      <c r="H28" s="26" t="str">
        <f aca="false">INDEX(Equipment!$B$2:$B$137,MATCH(G28,Equipment!$A$2:$A$137,0))</f>
        <v>Condensate extraction pump B motor 500 kW, 11 kV</v>
      </c>
      <c r="I28" s="25" t="s">
        <v>508</v>
      </c>
      <c r="J28" s="26" t="str">
        <f aca="false">INDEX('Cable Types'!$B$2:$B$41,MATCH(I28,'Cable Types'!$A$2:$A$41,0))</f>
        <v>6.35/11 kV 3C 70 mm2 Cu/XLPE/SWA/PVC</v>
      </c>
      <c r="K28" s="25" t="n">
        <v>1</v>
      </c>
      <c r="L28" s="25" t="s">
        <v>659</v>
      </c>
      <c r="M28" s="25" t="s">
        <v>638</v>
      </c>
      <c r="N28" s="25"/>
      <c r="O28" s="27" t="n">
        <f aca="false">IF(N28&lt;&gt;"",N28,IF(M28="D",ROUNDUP(SQRT((AH28-AE28)^2+(AI28-AF28)^2+(AJ28-AG28)^2)*(1+'Design Basis'!$C$6),0),ROUNDUP((ABS(AH28-AE28)+ABS(AI28-AF28)+ABS(AK28-AG28)+ABS(AK28-AJ28))*(1+'Design Basis'!$C$4)+2*'Design Basis'!$C$5,0)))</f>
        <v>86</v>
      </c>
      <c r="P28" s="27" t="n">
        <f aca="false">O28*K28*AM28</f>
        <v>86</v>
      </c>
      <c r="Q28" s="28" t="n">
        <v>11000</v>
      </c>
      <c r="R28" s="25" t="n">
        <v>3</v>
      </c>
      <c r="S28" s="28" t="n">
        <v>500</v>
      </c>
      <c r="T28" s="29" t="n">
        <v>0.82</v>
      </c>
      <c r="U28" s="27" t="n">
        <f aca="false">IF(OR(S28="",Q28=""),"",IF(R28=3,S28*1000/(SQRT(3)*Q28*T28),S28*1000/(Q28*T28)))</f>
        <v>32.003895187895</v>
      </c>
      <c r="V28" s="27" t="n">
        <f aca="false">IF(OR(AO28="",AL28=""),"",AO28*AL28)</f>
        <v>200</v>
      </c>
      <c r="W28" s="27" t="n">
        <f aca="false">IF(V28="","",V28*K28)</f>
        <v>200</v>
      </c>
      <c r="X28" s="30" t="n">
        <f aca="false">IF(OR(U28="",W28=""),"",U28/W28)</f>
        <v>0.160019475939475</v>
      </c>
      <c r="Y28" s="30" t="n">
        <f aca="false">IF(OR(U28="",AP28=""),"",AP28*(U28/K28)*O28/1000/Q28)</f>
        <v>0.000150127362881398</v>
      </c>
      <c r="Z28" s="30" t="n">
        <f aca="false">IF(U28="","",IFERROR(IF(INDEX('Design Basis'!$C$13:$C$21,MATCH(C28,'Design Basis'!$A$13:$A$21,0))="","",INDEX('Design Basis'!$C$13:$C$21,MATCH(C28,'Design Basis'!$A$13:$A$21,0))),""))</f>
        <v>0.03</v>
      </c>
      <c r="AA28" s="31" t="str">
        <f aca="false">IF(U28="","n/a",IF(W28="","CHECK",IF(AND(X28&lt;=1,OR(Y28="",Z28="",Y28&lt;=Z28)),"OK","CHECK")))</f>
        <v>OK</v>
      </c>
      <c r="AB28" s="27" t="n">
        <f aca="false">IF(AN28="","",K28*AM28*PI()/4*AN28^2)</f>
        <v>3117.24531052447</v>
      </c>
      <c r="AC28" s="31"/>
      <c r="AE28" s="32" t="n">
        <f aca="false">INDEX(Equipment!$D$2:$D$137,MATCH(E28,Equipment!$A$2:$A$137,0))</f>
        <v>36</v>
      </c>
      <c r="AF28" s="32" t="n">
        <f aca="false">INDEX(Equipment!$E$2:$E$137,MATCH(E28,Equipment!$A$2:$A$137,0))</f>
        <v>52</v>
      </c>
      <c r="AG28" s="32" t="n">
        <f aca="false">INDEX(Equipment!$F$2:$F$137,MATCH(E28,Equipment!$A$2:$A$137,0))</f>
        <v>0.5</v>
      </c>
      <c r="AH28" s="32" t="n">
        <f aca="false">INDEX(Equipment!$D$2:$D$137,MATCH(G28,Equipment!$A$2:$A$137,0))</f>
        <v>88</v>
      </c>
      <c r="AI28" s="32" t="n">
        <f aca="false">INDEX(Equipment!$E$2:$E$137,MATCH(G28,Equipment!$A$2:$A$137,0))</f>
        <v>41</v>
      </c>
      <c r="AJ28" s="32" t="n">
        <f aca="false">INDEX(Equipment!$F$2:$F$137,MATCH(G28,Equipment!$A$2:$A$137,0))</f>
        <v>0.5</v>
      </c>
      <c r="AK28" s="32" t="n">
        <f aca="false">IF(INDEX(Raceways!$D$2:$D$18,MATCH(L28,Raceways!$A$2:$A$18,0))="",0,INDEX(Raceways!$D$2:$D$18,MATCH(L28,Raceways!$A$2:$A$18,0)))</f>
        <v>5</v>
      </c>
      <c r="AL28" s="33" t="n">
        <f aca="false">IF(INDEX(Raceways!$I$2:$I$18,MATCH(L28,Raceways!$A$2:$A$18,0))="","",INDEX(Raceways!$I$2:$I$18,MATCH(L28,Raceways!$A$2:$A$18,0)))</f>
        <v>0.8</v>
      </c>
      <c r="AM28" s="26" t="n">
        <f aca="false">INDEX('Cable Types'!$D$2:$D$41,MATCH(I28,'Cable Types'!$A$2:$A$41,0))</f>
        <v>1</v>
      </c>
      <c r="AN28" s="26" t="n">
        <f aca="false">IF(INDEX('Cable Types'!$E$2:$E$41,MATCH(I28,'Cable Types'!$A$2:$A$41,0))="","",INDEX('Cable Types'!$E$2:$E$41,MATCH(I28,'Cable Types'!$A$2:$A$41,0)))</f>
        <v>63</v>
      </c>
      <c r="AO28" s="26" t="n">
        <f aca="false">IF(INDEX('Cable Types'!$F$2:$F$41,MATCH(I28,'Cable Types'!$A$2:$A$41,0))="","",INDEX('Cable Types'!$F$2:$F$41,MATCH(I28,'Cable Types'!$A$2:$A$41,0)))</f>
        <v>250</v>
      </c>
      <c r="AP28" s="33" t="n">
        <f aca="false">IF(INDEX('Cable Types'!$G$2:$G$41,MATCH(I28,'Cable Types'!$A$2:$A$41,0))="","",INDEX('Cable Types'!$G$2:$G$41,MATCH(I28,'Cable Types'!$A$2:$A$41,0)))</f>
        <v>0.6</v>
      </c>
    </row>
    <row r="29" customFormat="false" ht="15" hidden="false" customHeight="false" outlineLevel="0" collapsed="false">
      <c r="A29" s="25" t="s">
        <v>679</v>
      </c>
      <c r="B29" s="25" t="s">
        <v>451</v>
      </c>
      <c r="C29" s="25" t="s">
        <v>65</v>
      </c>
      <c r="D29" s="25" t="s">
        <v>680</v>
      </c>
      <c r="E29" s="25" t="s">
        <v>449</v>
      </c>
      <c r="F29" s="26" t="str">
        <f aca="false">INDEX(Equipment!$B$2:$B$137,MATCH(E29,Equipment!$A$2:$A$137,0))</f>
        <v>Main 11 kV switchboard (main electrical building)</v>
      </c>
      <c r="G29" s="25" t="s">
        <v>455</v>
      </c>
      <c r="H29" s="26" t="str">
        <f aca="false">INDEX(Equipment!$B$2:$B$137,MATCH(G29,Equipment!$A$2:$A$137,0))</f>
        <v>Main LV transformer 11/0.42 kV 2.5 MVA</v>
      </c>
      <c r="I29" s="25" t="s">
        <v>508</v>
      </c>
      <c r="J29" s="26" t="str">
        <f aca="false">INDEX('Cable Types'!$B$2:$B$41,MATCH(I29,'Cable Types'!$A$2:$A$41,0))</f>
        <v>6.35/11 kV 3C 70 mm2 Cu/XLPE/SWA/PVC</v>
      </c>
      <c r="K29" s="25" t="n">
        <v>1</v>
      </c>
      <c r="L29" s="25" t="s">
        <v>649</v>
      </c>
      <c r="M29" s="25" t="s">
        <v>638</v>
      </c>
      <c r="N29" s="25"/>
      <c r="O29" s="27" t="n">
        <f aca="false">IF(N29&lt;&gt;"",N29,IF(M29="D",ROUNDUP(SQRT((AH29-AE29)^2+(AI29-AF29)^2+(AJ29-AG29)^2)*(1+'Design Basis'!$C$6),0),ROUNDUP((ABS(AH29-AE29)+ABS(AI29-AF29)+ABS(AK29-AG29)+ABS(AK29-AJ29))*(1+'Design Basis'!$C$4)+2*'Design Basis'!$C$5,0)))</f>
        <v>15</v>
      </c>
      <c r="P29" s="27" t="n">
        <f aca="false">O29*K29*AM29</f>
        <v>15</v>
      </c>
      <c r="Q29" s="28" t="n">
        <v>11000</v>
      </c>
      <c r="R29" s="25" t="n">
        <v>3</v>
      </c>
      <c r="S29" s="28" t="n">
        <v>2500</v>
      </c>
      <c r="T29" s="29" t="n">
        <v>1</v>
      </c>
      <c r="U29" s="27" t="n">
        <f aca="false">IF(OR(S29="",Q29=""),"",IF(R29=3,S29*1000/(SQRT(3)*Q29*T29),S29*1000/(Q29*T29)))</f>
        <v>131.21597027037</v>
      </c>
      <c r="V29" s="27" t="n">
        <f aca="false">IF(OR(AO29="",AL29=""),"",AO29*AL29)</f>
        <v>200</v>
      </c>
      <c r="W29" s="27" t="n">
        <f aca="false">IF(V29="","",V29*K29)</f>
        <v>200</v>
      </c>
      <c r="X29" s="30" t="n">
        <f aca="false">IF(OR(U29="",W29=""),"",U29/W29)</f>
        <v>0.656079851351847</v>
      </c>
      <c r="Y29" s="30" t="n">
        <f aca="false">IF(OR(U29="",AP29=""),"",AP29*(U29/K29)*O29/1000/Q29)</f>
        <v>0.000107358521130302</v>
      </c>
      <c r="Z29" s="30" t="n">
        <f aca="false">IF(U29="","",IFERROR(IF(INDEX('Design Basis'!$C$13:$C$21,MATCH(C29,'Design Basis'!$A$13:$A$21,0))="","",INDEX('Design Basis'!$C$13:$C$21,MATCH(C29,'Design Basis'!$A$13:$A$21,0))),""))</f>
        <v>0.03</v>
      </c>
      <c r="AA29" s="31" t="str">
        <f aca="false">IF(U29="","n/a",IF(W29="","CHECK",IF(AND(X29&lt;=1,OR(Y29="",Z29="",Y29&lt;=Z29)),"OK","CHECK")))</f>
        <v>OK</v>
      </c>
      <c r="AB29" s="27" t="n">
        <f aca="false">IF(AN29="","",K29*AM29*PI()/4*AN29^2)</f>
        <v>3117.24531052447</v>
      </c>
      <c r="AC29" s="31"/>
      <c r="AE29" s="32" t="n">
        <f aca="false">INDEX(Equipment!$D$2:$D$137,MATCH(E29,Equipment!$A$2:$A$137,0))</f>
        <v>36</v>
      </c>
      <c r="AF29" s="32" t="n">
        <f aca="false">INDEX(Equipment!$E$2:$E$137,MATCH(E29,Equipment!$A$2:$A$137,0))</f>
        <v>52</v>
      </c>
      <c r="AG29" s="32" t="n">
        <f aca="false">INDEX(Equipment!$F$2:$F$137,MATCH(E29,Equipment!$A$2:$A$137,0))</f>
        <v>0.5</v>
      </c>
      <c r="AH29" s="32" t="n">
        <f aca="false">INDEX(Equipment!$D$2:$D$137,MATCH(G29,Equipment!$A$2:$A$137,0))</f>
        <v>34</v>
      </c>
      <c r="AI29" s="32" t="n">
        <f aca="false">INDEX(Equipment!$E$2:$E$137,MATCH(G29,Equipment!$A$2:$A$137,0))</f>
        <v>57</v>
      </c>
      <c r="AJ29" s="32" t="n">
        <f aca="false">INDEX(Equipment!$F$2:$F$137,MATCH(G29,Equipment!$A$2:$A$137,0))</f>
        <v>0.5</v>
      </c>
      <c r="AK29" s="32" t="n">
        <f aca="false">IF(INDEX(Raceways!$D$2:$D$18,MATCH(L29,Raceways!$A$2:$A$18,0))="",0,INDEX(Raceways!$D$2:$D$18,MATCH(L29,Raceways!$A$2:$A$18,0)))</f>
        <v>1</v>
      </c>
      <c r="AL29" s="33" t="n">
        <f aca="false">IF(INDEX(Raceways!$I$2:$I$18,MATCH(L29,Raceways!$A$2:$A$18,0))="","",INDEX(Raceways!$I$2:$I$18,MATCH(L29,Raceways!$A$2:$A$18,0)))</f>
        <v>0.8</v>
      </c>
      <c r="AM29" s="26" t="n">
        <f aca="false">INDEX('Cable Types'!$D$2:$D$41,MATCH(I29,'Cable Types'!$A$2:$A$41,0))</f>
        <v>1</v>
      </c>
      <c r="AN29" s="26" t="n">
        <f aca="false">IF(INDEX('Cable Types'!$E$2:$E$41,MATCH(I29,'Cable Types'!$A$2:$A$41,0))="","",INDEX('Cable Types'!$E$2:$E$41,MATCH(I29,'Cable Types'!$A$2:$A$41,0)))</f>
        <v>63</v>
      </c>
      <c r="AO29" s="26" t="n">
        <f aca="false">IF(INDEX('Cable Types'!$F$2:$F$41,MATCH(I29,'Cable Types'!$A$2:$A$41,0))="","",INDEX('Cable Types'!$F$2:$F$41,MATCH(I29,'Cable Types'!$A$2:$A$41,0)))</f>
        <v>250</v>
      </c>
      <c r="AP29" s="33" t="n">
        <f aca="false">IF(INDEX('Cable Types'!$G$2:$G$41,MATCH(I29,'Cable Types'!$A$2:$A$41,0))="","",INDEX('Cable Types'!$G$2:$G$41,MATCH(I29,'Cable Types'!$A$2:$A$41,0)))</f>
        <v>0.6</v>
      </c>
    </row>
    <row r="30" customFormat="false" ht="15" hidden="false" customHeight="false" outlineLevel="0" collapsed="false">
      <c r="A30" s="25" t="s">
        <v>681</v>
      </c>
      <c r="B30" s="25" t="s">
        <v>230</v>
      </c>
      <c r="C30" s="25" t="s">
        <v>65</v>
      </c>
      <c r="D30" s="25" t="s">
        <v>682</v>
      </c>
      <c r="E30" s="25" t="s">
        <v>449</v>
      </c>
      <c r="F30" s="26" t="str">
        <f aca="false">INDEX(Equipment!$B$2:$B$137,MATCH(E30,Equipment!$A$2:$A$137,0))</f>
        <v>Main 11 kV switchboard (main electrical building)</v>
      </c>
      <c r="G30" s="25" t="s">
        <v>228</v>
      </c>
      <c r="H30" s="26" t="str">
        <f aca="false">INDEX(Equipment!$B$2:$B$137,MATCH(G30,Equipment!$A$2:$A$137,0))</f>
        <v>ACC fan transformer 11/0.69 kV 4 MVA</v>
      </c>
      <c r="I30" s="25" t="s">
        <v>510</v>
      </c>
      <c r="J30" s="26" t="str">
        <f aca="false">INDEX('Cable Types'!$B$2:$B$41,MATCH(I30,'Cable Types'!$A$2:$A$41,0))</f>
        <v>6.35/11 kV 3C 120 mm2 Cu/XLPE/SWA/PVC</v>
      </c>
      <c r="K30" s="25" t="n">
        <v>1</v>
      </c>
      <c r="L30" s="25" t="s">
        <v>659</v>
      </c>
      <c r="M30" s="25" t="s">
        <v>638</v>
      </c>
      <c r="N30" s="25"/>
      <c r="O30" s="27" t="n">
        <f aca="false">IF(N30&lt;&gt;"",N30,IF(M30="D",ROUNDUP(SQRT((AH30-AE30)^2+(AI30-AF30)^2+(AJ30-AG30)^2)*(1+'Design Basis'!$C$6),0),ROUNDUP((ABS(AH30-AE30)+ABS(AI30-AF30)+ABS(AK30-AG30)+ABS(AK30-AJ30))*(1+'Design Basis'!$C$4)+2*'Design Basis'!$C$5,0)))</f>
        <v>151</v>
      </c>
      <c r="P30" s="27" t="n">
        <f aca="false">O30*K30*AM30</f>
        <v>151</v>
      </c>
      <c r="Q30" s="28" t="n">
        <v>11000</v>
      </c>
      <c r="R30" s="25" t="n">
        <v>3</v>
      </c>
      <c r="S30" s="28" t="n">
        <v>4000</v>
      </c>
      <c r="T30" s="29" t="n">
        <v>1</v>
      </c>
      <c r="U30" s="27" t="n">
        <f aca="false">IF(OR(S30="",Q30=""),"",IF(R30=3,S30*1000/(SQRT(3)*Q30*T30),S30*1000/(Q30*T30)))</f>
        <v>209.945552432591</v>
      </c>
      <c r="V30" s="27" t="n">
        <f aca="false">IF(OR(AO30="",AL30=""),"",AO30*AL30)</f>
        <v>272</v>
      </c>
      <c r="W30" s="27" t="n">
        <f aca="false">IF(V30="","",V30*K30)</f>
        <v>272</v>
      </c>
      <c r="X30" s="30" t="n">
        <f aca="false">IF(OR(U30="",W30=""),"",U30/W30)</f>
        <v>0.771858648649232</v>
      </c>
      <c r="Y30" s="30" t="n">
        <f aca="false">IF(OR(U30="",AP30=""),"",AP30*(U30/K30)*O30/1000/Q30)</f>
        <v>0.00103751274820324</v>
      </c>
      <c r="Z30" s="30" t="n">
        <f aca="false">IF(U30="","",IFERROR(IF(INDEX('Design Basis'!$C$13:$C$21,MATCH(C30,'Design Basis'!$A$13:$A$21,0))="","",INDEX('Design Basis'!$C$13:$C$21,MATCH(C30,'Design Basis'!$A$13:$A$21,0))),""))</f>
        <v>0.03</v>
      </c>
      <c r="AA30" s="31" t="str">
        <f aca="false">IF(U30="","n/a",IF(W30="","CHECK",IF(AND(X30&lt;=1,OR(Y30="",Z30="",Y30&lt;=Z30)),"OK","CHECK")))</f>
        <v>OK</v>
      </c>
      <c r="AB30" s="27" t="n">
        <f aca="false">IF(AN30="","",K30*AM30*PI()/4*AN30^2)</f>
        <v>4185.386812745</v>
      </c>
      <c r="AC30" s="31"/>
      <c r="AE30" s="32" t="n">
        <f aca="false">INDEX(Equipment!$D$2:$D$137,MATCH(E30,Equipment!$A$2:$A$137,0))</f>
        <v>36</v>
      </c>
      <c r="AF30" s="32" t="n">
        <f aca="false">INDEX(Equipment!$E$2:$E$137,MATCH(E30,Equipment!$A$2:$A$137,0))</f>
        <v>52</v>
      </c>
      <c r="AG30" s="32" t="n">
        <f aca="false">INDEX(Equipment!$F$2:$F$137,MATCH(E30,Equipment!$A$2:$A$137,0))</f>
        <v>0.5</v>
      </c>
      <c r="AH30" s="32" t="n">
        <f aca="false">INDEX(Equipment!$D$2:$D$137,MATCH(G30,Equipment!$A$2:$A$137,0))</f>
        <v>146</v>
      </c>
      <c r="AI30" s="32" t="n">
        <f aca="false">INDEX(Equipment!$E$2:$E$137,MATCH(G30,Equipment!$A$2:$A$137,0))</f>
        <v>40</v>
      </c>
      <c r="AJ30" s="32" t="n">
        <f aca="false">INDEX(Equipment!$F$2:$F$137,MATCH(G30,Equipment!$A$2:$A$137,0))</f>
        <v>0.5</v>
      </c>
      <c r="AK30" s="32" t="n">
        <f aca="false">IF(INDEX(Raceways!$D$2:$D$18,MATCH(L30,Raceways!$A$2:$A$18,0))="",0,INDEX(Raceways!$D$2:$D$18,MATCH(L30,Raceways!$A$2:$A$18,0)))</f>
        <v>5</v>
      </c>
      <c r="AL30" s="33" t="n">
        <f aca="false">IF(INDEX(Raceways!$I$2:$I$18,MATCH(L30,Raceways!$A$2:$A$18,0))="","",INDEX(Raceways!$I$2:$I$18,MATCH(L30,Raceways!$A$2:$A$18,0)))</f>
        <v>0.8</v>
      </c>
      <c r="AM30" s="26" t="n">
        <f aca="false">INDEX('Cable Types'!$D$2:$D$41,MATCH(I30,'Cable Types'!$A$2:$A$41,0))</f>
        <v>1</v>
      </c>
      <c r="AN30" s="26" t="n">
        <f aca="false">IF(INDEX('Cable Types'!$E$2:$E$41,MATCH(I30,'Cable Types'!$A$2:$A$41,0))="","",INDEX('Cable Types'!$E$2:$E$41,MATCH(I30,'Cable Types'!$A$2:$A$41,0)))</f>
        <v>73</v>
      </c>
      <c r="AO30" s="26" t="n">
        <f aca="false">IF(INDEX('Cable Types'!$F$2:$F$41,MATCH(I30,'Cable Types'!$A$2:$A$41,0))="","",INDEX('Cable Types'!$F$2:$F$41,MATCH(I30,'Cable Types'!$A$2:$A$41,0)))</f>
        <v>340</v>
      </c>
      <c r="AP30" s="33" t="n">
        <f aca="false">IF(INDEX('Cable Types'!$G$2:$G$41,MATCH(I30,'Cable Types'!$A$2:$A$41,0))="","",INDEX('Cable Types'!$G$2:$G$41,MATCH(I30,'Cable Types'!$A$2:$A$41,0)))</f>
        <v>0.36</v>
      </c>
    </row>
    <row r="31" customFormat="false" ht="15" hidden="false" customHeight="false" outlineLevel="0" collapsed="false">
      <c r="A31" s="25" t="s">
        <v>683</v>
      </c>
      <c r="B31" s="25" t="s">
        <v>395</v>
      </c>
      <c r="C31" s="25" t="s">
        <v>65</v>
      </c>
      <c r="D31" s="25" t="s">
        <v>684</v>
      </c>
      <c r="E31" s="25" t="s">
        <v>449</v>
      </c>
      <c r="F31" s="26" t="str">
        <f aca="false">INDEX(Equipment!$B$2:$B$137,MATCH(E31,Equipment!$A$2:$A$137,0))</f>
        <v>Main 11 kV switchboard (main electrical building)</v>
      </c>
      <c r="G31" s="25" t="s">
        <v>416</v>
      </c>
      <c r="H31" s="26" t="str">
        <f aca="false">INDEX(Equipment!$B$2:$B$137,MATCH(G31,Equipment!$A$2:$A$137,0))</f>
        <v>Gas station transformer 11/0.42 kV 1.6 MVA</v>
      </c>
      <c r="I31" s="25" t="s">
        <v>508</v>
      </c>
      <c r="J31" s="26" t="str">
        <f aca="false">INDEX('Cable Types'!$B$2:$B$41,MATCH(I31,'Cable Types'!$A$2:$A$41,0))</f>
        <v>6.35/11 kV 3C 70 mm2 Cu/XLPE/SWA/PVC</v>
      </c>
      <c r="K31" s="25" t="n">
        <v>1</v>
      </c>
      <c r="L31" s="25" t="s">
        <v>685</v>
      </c>
      <c r="M31" s="25" t="s">
        <v>638</v>
      </c>
      <c r="N31" s="25"/>
      <c r="O31" s="27" t="n">
        <f aca="false">IF(N31&lt;&gt;"",N31,IF(M31="D",ROUNDUP(SQRT((AH31-AE31)^2+(AI31-AF31)^2+(AJ31-AG31)^2)*(1+'Design Basis'!$C$6),0),ROUNDUP((ABS(AH31-AE31)+ABS(AI31-AF31)+ABS(AK31-AG31)+ABS(AK31-AJ31))*(1+'Design Basis'!$C$4)+2*'Design Basis'!$C$5,0)))</f>
        <v>109</v>
      </c>
      <c r="P31" s="27" t="n">
        <f aca="false">O31*K31*AM31</f>
        <v>109</v>
      </c>
      <c r="Q31" s="28" t="n">
        <v>11000</v>
      </c>
      <c r="R31" s="25" t="n">
        <v>3</v>
      </c>
      <c r="S31" s="28" t="n">
        <v>1600</v>
      </c>
      <c r="T31" s="29" t="n">
        <v>1</v>
      </c>
      <c r="U31" s="27" t="n">
        <f aca="false">IF(OR(S31="",Q31=""),"",IF(R31=3,S31*1000/(SQRT(3)*Q31*T31),S31*1000/(Q31*T31)))</f>
        <v>83.9782209730365</v>
      </c>
      <c r="V31" s="27" t="n">
        <f aca="false">IF(OR(AO31="",AL31=""),"",AO31*AL31)</f>
        <v>200</v>
      </c>
      <c r="W31" s="27" t="n">
        <f aca="false">IF(V31="","",V31*K31)</f>
        <v>200</v>
      </c>
      <c r="X31" s="30" t="n">
        <f aca="false">IF(OR(U31="",W31=""),"",U31/W31)</f>
        <v>0.419891104865182</v>
      </c>
      <c r="Y31" s="30" t="n">
        <f aca="false">IF(OR(U31="",AP31=""),"",AP31*(U31/K31)*O31/1000/Q31)</f>
        <v>0.000499288695603326</v>
      </c>
      <c r="Z31" s="30" t="n">
        <f aca="false">IF(U31="","",IFERROR(IF(INDEX('Design Basis'!$C$13:$C$21,MATCH(C31,'Design Basis'!$A$13:$A$21,0))="","",INDEX('Design Basis'!$C$13:$C$21,MATCH(C31,'Design Basis'!$A$13:$A$21,0))),""))</f>
        <v>0.03</v>
      </c>
      <c r="AA31" s="31" t="str">
        <f aca="false">IF(U31="","n/a",IF(W31="","CHECK",IF(AND(X31&lt;=1,OR(Y31="",Z31="",Y31&lt;=Z31)),"OK","CHECK")))</f>
        <v>OK</v>
      </c>
      <c r="AB31" s="27" t="n">
        <f aca="false">IF(AN31="","",K31*AM31*PI()/4*AN31^2)</f>
        <v>3117.24531052447</v>
      </c>
      <c r="AC31" s="31"/>
      <c r="AE31" s="32" t="n">
        <f aca="false">INDEX(Equipment!$D$2:$D$137,MATCH(E31,Equipment!$A$2:$A$137,0))</f>
        <v>36</v>
      </c>
      <c r="AF31" s="32" t="n">
        <f aca="false">INDEX(Equipment!$E$2:$E$137,MATCH(E31,Equipment!$A$2:$A$137,0))</f>
        <v>52</v>
      </c>
      <c r="AG31" s="32" t="n">
        <f aca="false">INDEX(Equipment!$F$2:$F$137,MATCH(E31,Equipment!$A$2:$A$137,0))</f>
        <v>0.5</v>
      </c>
      <c r="AH31" s="32" t="n">
        <f aca="false">INDEX(Equipment!$D$2:$D$137,MATCH(G31,Equipment!$A$2:$A$137,0))</f>
        <v>-12</v>
      </c>
      <c r="AI31" s="32" t="n">
        <f aca="false">INDEX(Equipment!$E$2:$E$137,MATCH(G31,Equipment!$A$2:$A$137,0))</f>
        <v>16</v>
      </c>
      <c r="AJ31" s="32" t="n">
        <f aca="false">INDEX(Equipment!$F$2:$F$137,MATCH(G31,Equipment!$A$2:$A$137,0))</f>
        <v>0.5</v>
      </c>
      <c r="AK31" s="32" t="n">
        <f aca="false">IF(INDEX(Raceways!$D$2:$D$18,MATCH(L31,Raceways!$A$2:$A$18,0))="",0,INDEX(Raceways!$D$2:$D$18,MATCH(L31,Raceways!$A$2:$A$18,0)))</f>
        <v>5</v>
      </c>
      <c r="AL31" s="33" t="n">
        <f aca="false">IF(INDEX(Raceways!$I$2:$I$18,MATCH(L31,Raceways!$A$2:$A$18,0))="","",INDEX(Raceways!$I$2:$I$18,MATCH(L31,Raceways!$A$2:$A$18,0)))</f>
        <v>0.8</v>
      </c>
      <c r="AM31" s="26" t="n">
        <f aca="false">INDEX('Cable Types'!$D$2:$D$41,MATCH(I31,'Cable Types'!$A$2:$A$41,0))</f>
        <v>1</v>
      </c>
      <c r="AN31" s="26" t="n">
        <f aca="false">IF(INDEX('Cable Types'!$E$2:$E$41,MATCH(I31,'Cable Types'!$A$2:$A$41,0))="","",INDEX('Cable Types'!$E$2:$E$41,MATCH(I31,'Cable Types'!$A$2:$A$41,0)))</f>
        <v>63</v>
      </c>
      <c r="AO31" s="26" t="n">
        <f aca="false">IF(INDEX('Cable Types'!$F$2:$F$41,MATCH(I31,'Cable Types'!$A$2:$A$41,0))="","",INDEX('Cable Types'!$F$2:$F$41,MATCH(I31,'Cable Types'!$A$2:$A$41,0)))</f>
        <v>250</v>
      </c>
      <c r="AP31" s="33" t="n">
        <f aca="false">IF(INDEX('Cable Types'!$G$2:$G$41,MATCH(I31,'Cable Types'!$A$2:$A$41,0))="","",INDEX('Cable Types'!$G$2:$G$41,MATCH(I31,'Cable Types'!$A$2:$A$41,0)))</f>
        <v>0.6</v>
      </c>
    </row>
    <row r="32" customFormat="false" ht="15" hidden="false" customHeight="false" outlineLevel="0" collapsed="false">
      <c r="A32" s="25" t="s">
        <v>686</v>
      </c>
      <c r="B32" s="25" t="s">
        <v>395</v>
      </c>
      <c r="C32" s="25" t="s">
        <v>65</v>
      </c>
      <c r="D32" s="25" t="s">
        <v>687</v>
      </c>
      <c r="E32" s="25" t="s">
        <v>449</v>
      </c>
      <c r="F32" s="26" t="str">
        <f aca="false">INDEX(Equipment!$B$2:$B$137,MATCH(E32,Equipment!$A$2:$A$137,0))</f>
        <v>Main 11 kV switchboard (main electrical building)</v>
      </c>
      <c r="G32" s="25" t="s">
        <v>405</v>
      </c>
      <c r="H32" s="26" t="str">
        <f aca="false">INDEX(Equipment!$B$2:$B$137,MATCH(G32,Equipment!$A$2:$A$137,0))</f>
        <v>Boil-off gas compressor motor 900 kW, 11 kV</v>
      </c>
      <c r="I32" s="25" t="s">
        <v>508</v>
      </c>
      <c r="J32" s="26" t="str">
        <f aca="false">INDEX('Cable Types'!$B$2:$B$41,MATCH(I32,'Cable Types'!$A$2:$A$41,0))</f>
        <v>6.35/11 kV 3C 70 mm2 Cu/XLPE/SWA/PVC</v>
      </c>
      <c r="K32" s="25" t="n">
        <v>1</v>
      </c>
      <c r="L32" s="25" t="s">
        <v>685</v>
      </c>
      <c r="M32" s="25" t="s">
        <v>638</v>
      </c>
      <c r="N32" s="25"/>
      <c r="O32" s="27" t="n">
        <f aca="false">IF(N32&lt;&gt;"",N32,IF(M32="D",ROUNDUP(SQRT((AH32-AE32)^2+(AI32-AF32)^2+(AJ32-AG32)^2)*(1+'Design Basis'!$C$6),0),ROUNDUP((ABS(AH32-AE32)+ABS(AI32-AF32)+ABS(AK32-AG32)+ABS(AK32-AJ32))*(1+'Design Basis'!$C$4)+2*'Design Basis'!$C$5,0)))</f>
        <v>135</v>
      </c>
      <c r="P32" s="27" t="n">
        <f aca="false">O32*K32*AM32</f>
        <v>135</v>
      </c>
      <c r="Q32" s="28" t="n">
        <v>11000</v>
      </c>
      <c r="R32" s="25" t="n">
        <v>3</v>
      </c>
      <c r="S32" s="28" t="n">
        <v>900</v>
      </c>
      <c r="T32" s="29" t="n">
        <v>0.82</v>
      </c>
      <c r="U32" s="27" t="n">
        <f aca="false">IF(OR(S32="",Q32=""),"",IF(R32=3,S32*1000/(SQRT(3)*Q32*T32),S32*1000/(Q32*T32)))</f>
        <v>57.607011338211</v>
      </c>
      <c r="V32" s="27" t="n">
        <f aca="false">IF(OR(AO32="",AL32=""),"",AO32*AL32)</f>
        <v>200</v>
      </c>
      <c r="W32" s="27" t="n">
        <f aca="false">IF(V32="","",V32*K32)</f>
        <v>200</v>
      </c>
      <c r="X32" s="30" t="n">
        <f aca="false">IF(OR(U32="",W32=""),"",U32/W32)</f>
        <v>0.288035056691055</v>
      </c>
      <c r="Y32" s="30" t="n">
        <f aca="false">IF(OR(U32="",AP32=""),"",AP32*(U32/K32)*O32/1000/Q32)</f>
        <v>0.000424197083490463</v>
      </c>
      <c r="Z32" s="30" t="n">
        <f aca="false">IF(U32="","",IFERROR(IF(INDEX('Design Basis'!$C$13:$C$21,MATCH(C32,'Design Basis'!$A$13:$A$21,0))="","",INDEX('Design Basis'!$C$13:$C$21,MATCH(C32,'Design Basis'!$A$13:$A$21,0))),""))</f>
        <v>0.03</v>
      </c>
      <c r="AA32" s="31" t="str">
        <f aca="false">IF(U32="","n/a",IF(W32="","CHECK",IF(AND(X32&lt;=1,OR(Y32="",Z32="",Y32&lt;=Z32)),"OK","CHECK")))</f>
        <v>OK</v>
      </c>
      <c r="AB32" s="27" t="n">
        <f aca="false">IF(AN32="","",K32*AM32*PI()/4*AN32^2)</f>
        <v>3117.24531052447</v>
      </c>
      <c r="AC32" s="31" t="s">
        <v>688</v>
      </c>
      <c r="AE32" s="32" t="n">
        <f aca="false">INDEX(Equipment!$D$2:$D$137,MATCH(E32,Equipment!$A$2:$A$137,0))</f>
        <v>36</v>
      </c>
      <c r="AF32" s="32" t="n">
        <f aca="false">INDEX(Equipment!$E$2:$E$137,MATCH(E32,Equipment!$A$2:$A$137,0))</f>
        <v>52</v>
      </c>
      <c r="AG32" s="32" t="n">
        <f aca="false">INDEX(Equipment!$F$2:$F$137,MATCH(E32,Equipment!$A$2:$A$137,0))</f>
        <v>0.5</v>
      </c>
      <c r="AH32" s="32" t="n">
        <f aca="false">INDEX(Equipment!$D$2:$D$137,MATCH(G32,Equipment!$A$2:$A$137,0))</f>
        <v>-45</v>
      </c>
      <c r="AI32" s="32" t="n">
        <f aca="false">INDEX(Equipment!$E$2:$E$137,MATCH(G32,Equipment!$A$2:$A$137,0))</f>
        <v>25</v>
      </c>
      <c r="AJ32" s="32" t="n">
        <f aca="false">INDEX(Equipment!$F$2:$F$137,MATCH(G32,Equipment!$A$2:$A$137,0))</f>
        <v>0.5</v>
      </c>
      <c r="AK32" s="32" t="n">
        <f aca="false">IF(INDEX(Raceways!$D$2:$D$18,MATCH(L32,Raceways!$A$2:$A$18,0))="",0,INDEX(Raceways!$D$2:$D$18,MATCH(L32,Raceways!$A$2:$A$18,0)))</f>
        <v>5</v>
      </c>
      <c r="AL32" s="33" t="n">
        <f aca="false">IF(INDEX(Raceways!$I$2:$I$18,MATCH(L32,Raceways!$A$2:$A$18,0))="","",INDEX(Raceways!$I$2:$I$18,MATCH(L32,Raceways!$A$2:$A$18,0)))</f>
        <v>0.8</v>
      </c>
      <c r="AM32" s="26" t="n">
        <f aca="false">INDEX('Cable Types'!$D$2:$D$41,MATCH(I32,'Cable Types'!$A$2:$A$41,0))</f>
        <v>1</v>
      </c>
      <c r="AN32" s="26" t="n">
        <f aca="false">IF(INDEX('Cable Types'!$E$2:$E$41,MATCH(I32,'Cable Types'!$A$2:$A$41,0))="","",INDEX('Cable Types'!$E$2:$E$41,MATCH(I32,'Cable Types'!$A$2:$A$41,0)))</f>
        <v>63</v>
      </c>
      <c r="AO32" s="26" t="n">
        <f aca="false">IF(INDEX('Cable Types'!$F$2:$F$41,MATCH(I32,'Cable Types'!$A$2:$A$41,0))="","",INDEX('Cable Types'!$F$2:$F$41,MATCH(I32,'Cable Types'!$A$2:$A$41,0)))</f>
        <v>250</v>
      </c>
      <c r="AP32" s="33" t="n">
        <f aca="false">IF(INDEX('Cable Types'!$G$2:$G$41,MATCH(I32,'Cable Types'!$A$2:$A$41,0))="","",INDEX('Cable Types'!$G$2:$G$41,MATCH(I32,'Cable Types'!$A$2:$A$41,0)))</f>
        <v>0.6</v>
      </c>
    </row>
    <row r="33" customFormat="false" ht="15" hidden="false" customHeight="false" outlineLevel="0" collapsed="false">
      <c r="A33" s="25" t="s">
        <v>689</v>
      </c>
      <c r="B33" s="25" t="s">
        <v>127</v>
      </c>
      <c r="C33" s="25" t="s">
        <v>65</v>
      </c>
      <c r="D33" s="25" t="s">
        <v>690</v>
      </c>
      <c r="E33" s="25" t="s">
        <v>341</v>
      </c>
      <c r="F33" s="26" t="str">
        <f aca="false">INDEX(Equipment!$B$2:$B$137,MATCH(E33,Equipment!$A$2:$A$137,0))</f>
        <v>RICE 11 kV collector switchgear e-house</v>
      </c>
      <c r="G33" s="25" t="s">
        <v>449</v>
      </c>
      <c r="H33" s="26" t="str">
        <f aca="false">INDEX(Equipment!$B$2:$B$137,MATCH(G33,Equipment!$A$2:$A$137,0))</f>
        <v>Main 11 kV switchboard (main electrical building)</v>
      </c>
      <c r="I33" s="25" t="s">
        <v>502</v>
      </c>
      <c r="J33" s="26" t="str">
        <f aca="false">INDEX('Cable Types'!$B$2:$B$41,MATCH(I33,'Cable Types'!$A$2:$A$41,0))</f>
        <v>6.35/11 kV 1C 240 mm2 Cu/XLPE/CWS/PVC (trefoil set)</v>
      </c>
      <c r="K33" s="25" t="n">
        <v>2</v>
      </c>
      <c r="L33" s="25" t="s">
        <v>691</v>
      </c>
      <c r="M33" s="25" t="s">
        <v>638</v>
      </c>
      <c r="N33" s="25"/>
      <c r="O33" s="27" t="n">
        <f aca="false">IF(N33&lt;&gt;"",N33,IF(M33="D",ROUNDUP(SQRT((AH33-AE33)^2+(AI33-AF33)^2+(AJ33-AG33)^2)*(1+'Design Basis'!$C$6),0),ROUNDUP((ABS(AH33-AE33)+ABS(AI33-AF33)+ABS(AK33-AG33)+ABS(AK33-AJ33))*(1+'Design Basis'!$C$4)+2*'Design Basis'!$C$5,0)))</f>
        <v>88</v>
      </c>
      <c r="P33" s="27" t="n">
        <f aca="false">O33*K33*AM33</f>
        <v>528</v>
      </c>
      <c r="Q33" s="28" t="n">
        <v>11000</v>
      </c>
      <c r="R33" s="25" t="n">
        <v>3</v>
      </c>
      <c r="S33" s="28" t="n">
        <v>10000</v>
      </c>
      <c r="T33" s="29" t="n">
        <v>1</v>
      </c>
      <c r="U33" s="27" t="n">
        <f aca="false">IF(OR(S33="",Q33=""),"",IF(R33=3,S33*1000/(SQRT(3)*Q33*T33),S33*1000/(Q33*T33)))</f>
        <v>524.863881081478</v>
      </c>
      <c r="V33" s="27" t="n">
        <f aca="false">IF(OR(AO33="",AL33=""),"",AO33*AL33)</f>
        <v>406</v>
      </c>
      <c r="W33" s="27" t="n">
        <f aca="false">IF(V33="","",V33*K33)</f>
        <v>812</v>
      </c>
      <c r="X33" s="30" t="n">
        <f aca="false">IF(OR(U33="",W33=""),"",U33/W33)</f>
        <v>0.64638409000182</v>
      </c>
      <c r="Y33" s="30" t="n">
        <f aca="false">IF(OR(U33="",AP33=""),"",AP33*(U33/K33)*O33/1000/Q33)</f>
        <v>0.000419891104865182</v>
      </c>
      <c r="Z33" s="30" t="n">
        <f aca="false">IF(U33="","",IFERROR(IF(INDEX('Design Basis'!$C$13:$C$21,MATCH(C33,'Design Basis'!$A$13:$A$21,0))="","",INDEX('Design Basis'!$C$13:$C$21,MATCH(C33,'Design Basis'!$A$13:$A$21,0))),""))</f>
        <v>0.03</v>
      </c>
      <c r="AA33" s="31" t="str">
        <f aca="false">IF(U33="","n/a",IF(W33="","CHECK",IF(AND(X33&lt;=1,OR(Y33="",Z33="",Y33&lt;=Z33)),"OK","CHECK")))</f>
        <v>OK</v>
      </c>
      <c r="AB33" s="27" t="n">
        <f aca="false">IF(AN33="","",K33*AM33*PI()/4*AN33^2)</f>
        <v>8312.65416139859</v>
      </c>
      <c r="AC33" s="31"/>
      <c r="AE33" s="32" t="n">
        <f aca="false">INDEX(Equipment!$D$2:$D$137,MATCH(E33,Equipment!$A$2:$A$137,0))</f>
        <v>12</v>
      </c>
      <c r="AF33" s="32" t="n">
        <f aca="false">INDEX(Equipment!$E$2:$E$137,MATCH(E33,Equipment!$A$2:$A$137,0))</f>
        <v>99</v>
      </c>
      <c r="AG33" s="32" t="n">
        <f aca="false">INDEX(Equipment!$F$2:$F$137,MATCH(E33,Equipment!$A$2:$A$137,0))</f>
        <v>0.5</v>
      </c>
      <c r="AH33" s="32" t="n">
        <f aca="false">INDEX(Equipment!$D$2:$D$137,MATCH(G33,Equipment!$A$2:$A$137,0))</f>
        <v>36</v>
      </c>
      <c r="AI33" s="32" t="n">
        <f aca="false">INDEX(Equipment!$E$2:$E$137,MATCH(G33,Equipment!$A$2:$A$137,0))</f>
        <v>52</v>
      </c>
      <c r="AJ33" s="32" t="n">
        <f aca="false">INDEX(Equipment!$F$2:$F$137,MATCH(G33,Equipment!$A$2:$A$137,0))</f>
        <v>0.5</v>
      </c>
      <c r="AK33" s="32" t="n">
        <f aca="false">IF(INDEX(Raceways!$D$2:$D$18,MATCH(L33,Raceways!$A$2:$A$18,0))="",0,INDEX(Raceways!$D$2:$D$18,MATCH(L33,Raceways!$A$2:$A$18,0)))</f>
        <v>-1.2</v>
      </c>
      <c r="AL33" s="33" t="n">
        <f aca="false">IF(INDEX(Raceways!$I$2:$I$18,MATCH(L33,Raceways!$A$2:$A$18,0))="","",INDEX(Raceways!$I$2:$I$18,MATCH(L33,Raceways!$A$2:$A$18,0)))</f>
        <v>0.7</v>
      </c>
      <c r="AM33" s="26" t="n">
        <f aca="false">INDEX('Cable Types'!$D$2:$D$41,MATCH(I33,'Cable Types'!$A$2:$A$41,0))</f>
        <v>3</v>
      </c>
      <c r="AN33" s="26" t="n">
        <f aca="false">IF(INDEX('Cable Types'!$E$2:$E$41,MATCH(I33,'Cable Types'!$A$2:$A$41,0))="","",INDEX('Cable Types'!$E$2:$E$41,MATCH(I33,'Cable Types'!$A$2:$A$41,0)))</f>
        <v>42</v>
      </c>
      <c r="AO33" s="26" t="n">
        <f aca="false">IF(INDEX('Cable Types'!$F$2:$F$41,MATCH(I33,'Cable Types'!$A$2:$A$41,0))="","",INDEX('Cable Types'!$F$2:$F$41,MATCH(I33,'Cable Types'!$A$2:$A$41,0)))</f>
        <v>580</v>
      </c>
      <c r="AP33" s="33" t="n">
        <f aca="false">IF(INDEX('Cable Types'!$G$2:$G$41,MATCH(I33,'Cable Types'!$A$2:$A$41,0))="","",INDEX('Cable Types'!$G$2:$G$41,MATCH(I33,'Cable Types'!$A$2:$A$41,0)))</f>
        <v>0.2</v>
      </c>
    </row>
    <row r="34" customFormat="false" ht="15" hidden="false" customHeight="false" outlineLevel="0" collapsed="false">
      <c r="A34" s="25" t="s">
        <v>692</v>
      </c>
      <c r="B34" s="25" t="s">
        <v>285</v>
      </c>
      <c r="C34" s="25" t="s">
        <v>65</v>
      </c>
      <c r="D34" s="25" t="s">
        <v>693</v>
      </c>
      <c r="E34" s="25" t="s">
        <v>283</v>
      </c>
      <c r="F34" s="26" t="str">
        <f aca="false">INDEX(Equipment!$B$2:$B$137,MATCH(E34,Equipment!$A$2:$A$137,0))</f>
        <v>CCS 11 kV switchboard (CCS substation)</v>
      </c>
      <c r="G34" s="25" t="s">
        <v>294</v>
      </c>
      <c r="H34" s="26" t="str">
        <f aca="false">INDEX(Equipment!$B$2:$B$137,MATCH(G34,Equipment!$A$2:$A$137,0))</f>
        <v>Flue gas booster fan motor 6.5 MW, 11 kV</v>
      </c>
      <c r="I34" s="25" t="s">
        <v>502</v>
      </c>
      <c r="J34" s="26" t="str">
        <f aca="false">INDEX('Cable Types'!$B$2:$B$41,MATCH(I34,'Cable Types'!$A$2:$A$41,0))</f>
        <v>6.35/11 kV 1C 240 mm2 Cu/XLPE/CWS/PVC (trefoil set)</v>
      </c>
      <c r="K34" s="25" t="n">
        <v>1</v>
      </c>
      <c r="L34" s="25" t="s">
        <v>694</v>
      </c>
      <c r="M34" s="25" t="s">
        <v>638</v>
      </c>
      <c r="N34" s="25"/>
      <c r="O34" s="27" t="n">
        <f aca="false">IF(N34&lt;&gt;"",N34,IF(M34="D",ROUNDUP(SQRT((AH34-AE34)^2+(AI34-AF34)^2+(AJ34-AG34)^2)*(1+'Design Basis'!$C$6),0),ROUNDUP((ABS(AH34-AE34)+ABS(AI34-AF34)+ABS(AK34-AG34)+ABS(AK34-AJ34))*(1+'Design Basis'!$C$4)+2*'Design Basis'!$C$5,0)))</f>
        <v>118</v>
      </c>
      <c r="P34" s="27" t="n">
        <f aca="false">O34*K34*AM34</f>
        <v>354</v>
      </c>
      <c r="Q34" s="28" t="n">
        <v>11000</v>
      </c>
      <c r="R34" s="25" t="n">
        <v>3</v>
      </c>
      <c r="S34" s="28" t="n">
        <v>6500</v>
      </c>
      <c r="T34" s="29" t="n">
        <v>0.86</v>
      </c>
      <c r="U34" s="27" t="n">
        <f aca="false">IF(OR(S34="",Q34=""),"",IF(R34=3,S34*1000/(SQRT(3)*Q34*T34),S34*1000/(Q34*T34)))</f>
        <v>396.699445003443</v>
      </c>
      <c r="V34" s="27" t="n">
        <f aca="false">IF(OR(AO34="",AL34=""),"",AO34*AL34)</f>
        <v>464</v>
      </c>
      <c r="W34" s="27" t="n">
        <f aca="false">IF(V34="","",V34*K34)</f>
        <v>464</v>
      </c>
      <c r="X34" s="30" t="n">
        <f aca="false">IF(OR(U34="",W34=""),"",U34/W34)</f>
        <v>0.854955700438454</v>
      </c>
      <c r="Y34" s="30" t="n">
        <f aca="false">IF(OR(U34="",AP34=""),"",AP34*(U34/K34)*O34/1000/Q34)</f>
        <v>0.000851100627461932</v>
      </c>
      <c r="Z34" s="30" t="n">
        <f aca="false">IF(U34="","",IFERROR(IF(INDEX('Design Basis'!$C$13:$C$21,MATCH(C34,'Design Basis'!$A$13:$A$21,0))="","",INDEX('Design Basis'!$C$13:$C$21,MATCH(C34,'Design Basis'!$A$13:$A$21,0))),""))</f>
        <v>0.03</v>
      </c>
      <c r="AA34" s="31" t="str">
        <f aca="false">IF(U34="","n/a",IF(W34="","CHECK",IF(AND(X34&lt;=1,OR(Y34="",Z34="",Y34&lt;=Z34)),"OK","CHECK")))</f>
        <v>OK</v>
      </c>
      <c r="AB34" s="27" t="n">
        <f aca="false">IF(AN34="","",K34*AM34*PI()/4*AN34^2)</f>
        <v>4156.3270806993</v>
      </c>
      <c r="AC34" s="31" t="s">
        <v>695</v>
      </c>
      <c r="AE34" s="32" t="n">
        <f aca="false">INDEX(Equipment!$D$2:$D$137,MATCH(E34,Equipment!$A$2:$A$137,0))</f>
        <v>178</v>
      </c>
      <c r="AF34" s="32" t="n">
        <f aca="false">INDEX(Equipment!$E$2:$E$137,MATCH(E34,Equipment!$A$2:$A$137,0))</f>
        <v>58</v>
      </c>
      <c r="AG34" s="32" t="n">
        <f aca="false">INDEX(Equipment!$F$2:$F$137,MATCH(E34,Equipment!$A$2:$A$137,0))</f>
        <v>0.5</v>
      </c>
      <c r="AH34" s="32" t="n">
        <f aca="false">INDEX(Equipment!$D$2:$D$137,MATCH(G34,Equipment!$A$2:$A$137,0))</f>
        <v>150</v>
      </c>
      <c r="AI34" s="32" t="n">
        <f aca="false">INDEX(Equipment!$E$2:$E$137,MATCH(G34,Equipment!$A$2:$A$137,0))</f>
        <v>-4</v>
      </c>
      <c r="AJ34" s="32" t="n">
        <f aca="false">INDEX(Equipment!$F$2:$F$137,MATCH(G34,Equipment!$A$2:$A$137,0))</f>
        <v>0.5</v>
      </c>
      <c r="AK34" s="32" t="n">
        <f aca="false">IF(INDEX(Raceways!$D$2:$D$18,MATCH(L34,Raceways!$A$2:$A$18,0))="",0,INDEX(Raceways!$D$2:$D$18,MATCH(L34,Raceways!$A$2:$A$18,0)))</f>
        <v>6</v>
      </c>
      <c r="AL34" s="33" t="n">
        <f aca="false">IF(INDEX(Raceways!$I$2:$I$18,MATCH(L34,Raceways!$A$2:$A$18,0))="","",INDEX(Raceways!$I$2:$I$18,MATCH(L34,Raceways!$A$2:$A$18,0)))</f>
        <v>0.8</v>
      </c>
      <c r="AM34" s="26" t="n">
        <f aca="false">INDEX('Cable Types'!$D$2:$D$41,MATCH(I34,'Cable Types'!$A$2:$A$41,0))</f>
        <v>3</v>
      </c>
      <c r="AN34" s="26" t="n">
        <f aca="false">IF(INDEX('Cable Types'!$E$2:$E$41,MATCH(I34,'Cable Types'!$A$2:$A$41,0))="","",INDEX('Cable Types'!$E$2:$E$41,MATCH(I34,'Cable Types'!$A$2:$A$41,0)))</f>
        <v>42</v>
      </c>
      <c r="AO34" s="26" t="n">
        <f aca="false">IF(INDEX('Cable Types'!$F$2:$F$41,MATCH(I34,'Cable Types'!$A$2:$A$41,0))="","",INDEX('Cable Types'!$F$2:$F$41,MATCH(I34,'Cable Types'!$A$2:$A$41,0)))</f>
        <v>580</v>
      </c>
      <c r="AP34" s="33" t="n">
        <f aca="false">IF(INDEX('Cable Types'!$G$2:$G$41,MATCH(I34,'Cable Types'!$A$2:$A$41,0))="","",INDEX('Cable Types'!$G$2:$G$41,MATCH(I34,'Cable Types'!$A$2:$A$41,0)))</f>
        <v>0.2</v>
      </c>
    </row>
    <row r="35" customFormat="false" ht="15" hidden="false" customHeight="false" outlineLevel="0" collapsed="false">
      <c r="A35" s="25" t="s">
        <v>696</v>
      </c>
      <c r="B35" s="25" t="s">
        <v>285</v>
      </c>
      <c r="C35" s="25" t="s">
        <v>65</v>
      </c>
      <c r="D35" s="25" t="s">
        <v>697</v>
      </c>
      <c r="E35" s="25" t="s">
        <v>283</v>
      </c>
      <c r="F35" s="26" t="str">
        <f aca="false">INDEX(Equipment!$B$2:$B$137,MATCH(E35,Equipment!$A$2:$A$137,0))</f>
        <v>CCS 11 kV switchboard (CCS substation)</v>
      </c>
      <c r="G35" s="25" t="s">
        <v>318</v>
      </c>
      <c r="H35" s="26" t="str">
        <f aca="false">INDEX(Equipment!$B$2:$B$137,MATCH(G35,Equipment!$A$2:$A$137,0))</f>
        <v>CO2 compressor motor 14 MW, 11 kV (VFD)</v>
      </c>
      <c r="I35" s="25" t="s">
        <v>504</v>
      </c>
      <c r="J35" s="26" t="str">
        <f aca="false">INDEX('Cable Types'!$B$2:$B$41,MATCH(I35,'Cable Types'!$A$2:$A$41,0))</f>
        <v>6.35/11 kV 1C 400 mm2 Cu/XLPE/CWS/PVC (trefoil set)</v>
      </c>
      <c r="K35" s="25" t="n">
        <v>2</v>
      </c>
      <c r="L35" s="25" t="s">
        <v>694</v>
      </c>
      <c r="M35" s="25" t="s">
        <v>638</v>
      </c>
      <c r="N35" s="25"/>
      <c r="O35" s="27" t="n">
        <f aca="false">IF(N35&lt;&gt;"",N35,IF(M35="D",ROUNDUP(SQRT((AH35-AE35)^2+(AI35-AF35)^2+(AJ35-AG35)^2)*(1+'Design Basis'!$C$6),0),ROUNDUP((ABS(AH35-AE35)+ABS(AI35-AF35)+ABS(AK35-AG35)+ABS(AK35-AJ35))*(1+'Design Basis'!$C$4)+2*'Design Basis'!$C$5,0)))</f>
        <v>58</v>
      </c>
      <c r="P35" s="27" t="n">
        <f aca="false">O35*K35*AM35</f>
        <v>348</v>
      </c>
      <c r="Q35" s="28" t="n">
        <v>11000</v>
      </c>
      <c r="R35" s="25" t="n">
        <v>3</v>
      </c>
      <c r="S35" s="28" t="n">
        <v>14000</v>
      </c>
      <c r="T35" s="29" t="n">
        <v>0.9</v>
      </c>
      <c r="U35" s="27" t="n">
        <f aca="false">IF(OR(S35="",Q35=""),"",IF(R35=3,S35*1000/(SQRT(3)*Q35*T35),S35*1000/(Q35*T35)))</f>
        <v>816.454926126744</v>
      </c>
      <c r="V35" s="27" t="n">
        <f aca="false">IF(OR(AO35="",AL35=""),"",AO35*AL35)</f>
        <v>608</v>
      </c>
      <c r="W35" s="27" t="n">
        <f aca="false">IF(V35="","",V35*K35)</f>
        <v>1216</v>
      </c>
      <c r="X35" s="30" t="n">
        <f aca="false">IF(OR(U35="",W35=""),"",U35/W35)</f>
        <v>0.671426748459493</v>
      </c>
      <c r="Y35" s="30" t="n">
        <f aca="false">IF(OR(U35="",AP35=""),"",AP35*(U35/K35)*O35/1000/Q35)</f>
        <v>0.000322870811695576</v>
      </c>
      <c r="Z35" s="30" t="n">
        <f aca="false">IF(U35="","",IFERROR(IF(INDEX('Design Basis'!$C$13:$C$21,MATCH(C35,'Design Basis'!$A$13:$A$21,0))="","",INDEX('Design Basis'!$C$13:$C$21,MATCH(C35,'Design Basis'!$A$13:$A$21,0))),""))</f>
        <v>0.03</v>
      </c>
      <c r="AA35" s="31" t="str">
        <f aca="false">IF(U35="","n/a",IF(W35="","CHECK",IF(AND(X35&lt;=1,OR(Y35="",Z35="",Y35&lt;=Z35)),"OK","CHECK")))</f>
        <v>OK</v>
      </c>
      <c r="AB35" s="27" t="n">
        <f aca="false">IF(AN35="","",K35*AM35*PI()/4*AN35^2)</f>
        <v>11780.9724509617</v>
      </c>
      <c r="AC35" s="31" t="s">
        <v>698</v>
      </c>
      <c r="AE35" s="32" t="n">
        <f aca="false">INDEX(Equipment!$D$2:$D$137,MATCH(E35,Equipment!$A$2:$A$137,0))</f>
        <v>178</v>
      </c>
      <c r="AF35" s="32" t="n">
        <f aca="false">INDEX(Equipment!$E$2:$E$137,MATCH(E35,Equipment!$A$2:$A$137,0))</f>
        <v>58</v>
      </c>
      <c r="AG35" s="32" t="n">
        <f aca="false">INDEX(Equipment!$F$2:$F$137,MATCH(E35,Equipment!$A$2:$A$137,0))</f>
        <v>0.5</v>
      </c>
      <c r="AH35" s="32" t="n">
        <f aca="false">INDEX(Equipment!$D$2:$D$137,MATCH(G35,Equipment!$A$2:$A$137,0))</f>
        <v>195</v>
      </c>
      <c r="AI35" s="32" t="n">
        <f aca="false">INDEX(Equipment!$E$2:$E$137,MATCH(G35,Equipment!$A$2:$A$137,0))</f>
        <v>39</v>
      </c>
      <c r="AJ35" s="32" t="n">
        <f aca="false">INDEX(Equipment!$F$2:$F$137,MATCH(G35,Equipment!$A$2:$A$137,0))</f>
        <v>0.5</v>
      </c>
      <c r="AK35" s="32" t="n">
        <f aca="false">IF(INDEX(Raceways!$D$2:$D$18,MATCH(L35,Raceways!$A$2:$A$18,0))="",0,INDEX(Raceways!$D$2:$D$18,MATCH(L35,Raceways!$A$2:$A$18,0)))</f>
        <v>6</v>
      </c>
      <c r="AL35" s="33" t="n">
        <f aca="false">IF(INDEX(Raceways!$I$2:$I$18,MATCH(L35,Raceways!$A$2:$A$18,0))="","",INDEX(Raceways!$I$2:$I$18,MATCH(L35,Raceways!$A$2:$A$18,0)))</f>
        <v>0.8</v>
      </c>
      <c r="AM35" s="26" t="n">
        <f aca="false">INDEX('Cable Types'!$D$2:$D$41,MATCH(I35,'Cable Types'!$A$2:$A$41,0))</f>
        <v>3</v>
      </c>
      <c r="AN35" s="26" t="n">
        <f aca="false">IF(INDEX('Cable Types'!$E$2:$E$41,MATCH(I35,'Cable Types'!$A$2:$A$41,0))="","",INDEX('Cable Types'!$E$2:$E$41,MATCH(I35,'Cable Types'!$A$2:$A$41,0)))</f>
        <v>50</v>
      </c>
      <c r="AO35" s="26" t="n">
        <f aca="false">IF(INDEX('Cable Types'!$F$2:$F$41,MATCH(I35,'Cable Types'!$A$2:$A$41,0))="","",INDEX('Cable Types'!$F$2:$F$41,MATCH(I35,'Cable Types'!$A$2:$A$41,0)))</f>
        <v>760</v>
      </c>
      <c r="AP35" s="33" t="n">
        <f aca="false">IF(INDEX('Cable Types'!$G$2:$G$41,MATCH(I35,'Cable Types'!$A$2:$A$41,0))="","",INDEX('Cable Types'!$G$2:$G$41,MATCH(I35,'Cable Types'!$A$2:$A$41,0)))</f>
        <v>0.15</v>
      </c>
    </row>
    <row r="36" customFormat="false" ht="15" hidden="false" customHeight="false" outlineLevel="0" collapsed="false">
      <c r="A36" s="25" t="s">
        <v>699</v>
      </c>
      <c r="B36" s="25" t="s">
        <v>285</v>
      </c>
      <c r="C36" s="25" t="s">
        <v>65</v>
      </c>
      <c r="D36" s="25" t="s">
        <v>700</v>
      </c>
      <c r="E36" s="25" t="s">
        <v>283</v>
      </c>
      <c r="F36" s="26" t="str">
        <f aca="false">INDEX(Equipment!$B$2:$B$137,MATCH(E36,Equipment!$A$2:$A$137,0))</f>
        <v>CCS 11 kV switchboard (CCS substation)</v>
      </c>
      <c r="G36" s="25" t="s">
        <v>309</v>
      </c>
      <c r="H36" s="26" t="str">
        <f aca="false">INDEX(Equipment!$B$2:$B$137,MATCH(G36,Equipment!$A$2:$A$137,0))</f>
        <v>Lean amine pump A 800 kW, 11 kV</v>
      </c>
      <c r="I36" s="25" t="s">
        <v>508</v>
      </c>
      <c r="J36" s="26" t="str">
        <f aca="false">INDEX('Cable Types'!$B$2:$B$41,MATCH(I36,'Cable Types'!$A$2:$A$41,0))</f>
        <v>6.35/11 kV 3C 70 mm2 Cu/XLPE/SWA/PVC</v>
      </c>
      <c r="K36" s="25" t="n">
        <v>1</v>
      </c>
      <c r="L36" s="25" t="s">
        <v>694</v>
      </c>
      <c r="M36" s="25" t="s">
        <v>638</v>
      </c>
      <c r="N36" s="25"/>
      <c r="O36" s="27" t="n">
        <f aca="false">IF(N36&lt;&gt;"",N36,IF(M36="D",ROUNDUP(SQRT((AH36-AE36)^2+(AI36-AF36)^2+(AJ36-AG36)^2)*(1+'Design Basis'!$C$6),0),ROUNDUP((ABS(AH36-AE36)+ABS(AI36-AF36)+ABS(AK36-AG36)+ABS(AK36-AJ36))*(1+'Design Basis'!$C$4)+2*'Design Basis'!$C$5,0)))</f>
        <v>78</v>
      </c>
      <c r="P36" s="27" t="n">
        <f aca="false">O36*K36*AM36</f>
        <v>78</v>
      </c>
      <c r="Q36" s="28" t="n">
        <v>11000</v>
      </c>
      <c r="R36" s="25" t="n">
        <v>3</v>
      </c>
      <c r="S36" s="28" t="n">
        <v>800</v>
      </c>
      <c r="T36" s="29" t="n">
        <v>0.84</v>
      </c>
      <c r="U36" s="27" t="n">
        <f aca="false">IF(OR(S36="",Q36=""),"",IF(R36=3,S36*1000/(SQRT(3)*Q36*T36),S36*1000/(Q36*T36)))</f>
        <v>49.9870362934741</v>
      </c>
      <c r="V36" s="27" t="n">
        <f aca="false">IF(OR(AO36="",AL36=""),"",AO36*AL36)</f>
        <v>200</v>
      </c>
      <c r="W36" s="27" t="n">
        <f aca="false">IF(V36="","",V36*K36)</f>
        <v>200</v>
      </c>
      <c r="X36" s="30" t="n">
        <f aca="false">IF(OR(U36="",W36=""),"",U36/W36)</f>
        <v>0.24993518146737</v>
      </c>
      <c r="Y36" s="30" t="n">
        <f aca="false">IF(OR(U36="",AP36=""),"",AP36*(U36/K36)*O36/1000/Q36)</f>
        <v>0.000212672118048599</v>
      </c>
      <c r="Z36" s="30" t="n">
        <f aca="false">IF(U36="","",IFERROR(IF(INDEX('Design Basis'!$C$13:$C$21,MATCH(C36,'Design Basis'!$A$13:$A$21,0))="","",INDEX('Design Basis'!$C$13:$C$21,MATCH(C36,'Design Basis'!$A$13:$A$21,0))),""))</f>
        <v>0.03</v>
      </c>
      <c r="AA36" s="31" t="str">
        <f aca="false">IF(U36="","n/a",IF(W36="","CHECK",IF(AND(X36&lt;=1,OR(Y36="",Z36="",Y36&lt;=Z36)),"OK","CHECK")))</f>
        <v>OK</v>
      </c>
      <c r="AB36" s="27" t="n">
        <f aca="false">IF(AN36="","",K36*AM36*PI()/4*AN36^2)</f>
        <v>3117.24531052447</v>
      </c>
      <c r="AC36" s="31"/>
      <c r="AE36" s="32" t="n">
        <f aca="false">INDEX(Equipment!$D$2:$D$137,MATCH(E36,Equipment!$A$2:$A$137,0))</f>
        <v>178</v>
      </c>
      <c r="AF36" s="32" t="n">
        <f aca="false">INDEX(Equipment!$E$2:$E$137,MATCH(E36,Equipment!$A$2:$A$137,0))</f>
        <v>58</v>
      </c>
      <c r="AG36" s="32" t="n">
        <f aca="false">INDEX(Equipment!$F$2:$F$137,MATCH(E36,Equipment!$A$2:$A$137,0))</f>
        <v>0.5</v>
      </c>
      <c r="AH36" s="32" t="n">
        <f aca="false">INDEX(Equipment!$D$2:$D$137,MATCH(G36,Equipment!$A$2:$A$137,0))</f>
        <v>186</v>
      </c>
      <c r="AI36" s="32" t="n">
        <f aca="false">INDEX(Equipment!$E$2:$E$137,MATCH(G36,Equipment!$A$2:$A$137,0))</f>
        <v>12</v>
      </c>
      <c r="AJ36" s="32" t="n">
        <f aca="false">INDEX(Equipment!$F$2:$F$137,MATCH(G36,Equipment!$A$2:$A$137,0))</f>
        <v>0.5</v>
      </c>
      <c r="AK36" s="32" t="n">
        <f aca="false">IF(INDEX(Raceways!$D$2:$D$18,MATCH(L36,Raceways!$A$2:$A$18,0))="",0,INDEX(Raceways!$D$2:$D$18,MATCH(L36,Raceways!$A$2:$A$18,0)))</f>
        <v>6</v>
      </c>
      <c r="AL36" s="33" t="n">
        <f aca="false">IF(INDEX(Raceways!$I$2:$I$18,MATCH(L36,Raceways!$A$2:$A$18,0))="","",INDEX(Raceways!$I$2:$I$18,MATCH(L36,Raceways!$A$2:$A$18,0)))</f>
        <v>0.8</v>
      </c>
      <c r="AM36" s="26" t="n">
        <f aca="false">INDEX('Cable Types'!$D$2:$D$41,MATCH(I36,'Cable Types'!$A$2:$A$41,0))</f>
        <v>1</v>
      </c>
      <c r="AN36" s="26" t="n">
        <f aca="false">IF(INDEX('Cable Types'!$E$2:$E$41,MATCH(I36,'Cable Types'!$A$2:$A$41,0))="","",INDEX('Cable Types'!$E$2:$E$41,MATCH(I36,'Cable Types'!$A$2:$A$41,0)))</f>
        <v>63</v>
      </c>
      <c r="AO36" s="26" t="n">
        <f aca="false">IF(INDEX('Cable Types'!$F$2:$F$41,MATCH(I36,'Cable Types'!$A$2:$A$41,0))="","",INDEX('Cable Types'!$F$2:$F$41,MATCH(I36,'Cable Types'!$A$2:$A$41,0)))</f>
        <v>250</v>
      </c>
      <c r="AP36" s="33" t="n">
        <f aca="false">IF(INDEX('Cable Types'!$G$2:$G$41,MATCH(I36,'Cable Types'!$A$2:$A$41,0))="","",INDEX('Cable Types'!$G$2:$G$41,MATCH(I36,'Cable Types'!$A$2:$A$41,0)))</f>
        <v>0.6</v>
      </c>
    </row>
    <row r="37" customFormat="false" ht="15" hidden="false" customHeight="false" outlineLevel="0" collapsed="false">
      <c r="A37" s="25" t="s">
        <v>701</v>
      </c>
      <c r="B37" s="25" t="s">
        <v>285</v>
      </c>
      <c r="C37" s="25" t="s">
        <v>65</v>
      </c>
      <c r="D37" s="25" t="s">
        <v>702</v>
      </c>
      <c r="E37" s="25" t="s">
        <v>283</v>
      </c>
      <c r="F37" s="26" t="str">
        <f aca="false">INDEX(Equipment!$B$2:$B$137,MATCH(E37,Equipment!$A$2:$A$137,0))</f>
        <v>CCS 11 kV switchboard (CCS substation)</v>
      </c>
      <c r="G37" s="25" t="s">
        <v>312</v>
      </c>
      <c r="H37" s="26" t="str">
        <f aca="false">INDEX(Equipment!$B$2:$B$137,MATCH(G37,Equipment!$A$2:$A$137,0))</f>
        <v>Lean amine pump B 800 kW, 11 kV</v>
      </c>
      <c r="I37" s="25" t="s">
        <v>508</v>
      </c>
      <c r="J37" s="26" t="str">
        <f aca="false">INDEX('Cable Types'!$B$2:$B$41,MATCH(I37,'Cable Types'!$A$2:$A$41,0))</f>
        <v>6.35/11 kV 3C 70 mm2 Cu/XLPE/SWA/PVC</v>
      </c>
      <c r="K37" s="25" t="n">
        <v>1</v>
      </c>
      <c r="L37" s="25" t="s">
        <v>694</v>
      </c>
      <c r="M37" s="25" t="s">
        <v>638</v>
      </c>
      <c r="N37" s="25"/>
      <c r="O37" s="27" t="n">
        <f aca="false">IF(N37&lt;&gt;"",N37,IF(M37="D",ROUNDUP(SQRT((AH37-AE37)^2+(AI37-AF37)^2+(AJ37-AG37)^2)*(1+'Design Basis'!$C$6),0),ROUNDUP((ABS(AH37-AE37)+ABS(AI37-AF37)+ABS(AK37-AG37)+ABS(AK37-AJ37))*(1+'Design Basis'!$C$4)+2*'Design Basis'!$C$5,0)))</f>
        <v>75</v>
      </c>
      <c r="P37" s="27" t="n">
        <f aca="false">O37*K37*AM37</f>
        <v>75</v>
      </c>
      <c r="Q37" s="28" t="n">
        <v>11000</v>
      </c>
      <c r="R37" s="25" t="n">
        <v>3</v>
      </c>
      <c r="S37" s="28" t="n">
        <v>800</v>
      </c>
      <c r="T37" s="29" t="n">
        <v>0.84</v>
      </c>
      <c r="U37" s="27" t="n">
        <f aca="false">IF(OR(S37="",Q37=""),"",IF(R37=3,S37*1000/(SQRT(3)*Q37*T37),S37*1000/(Q37*T37)))</f>
        <v>49.9870362934741</v>
      </c>
      <c r="V37" s="27" t="n">
        <f aca="false">IF(OR(AO37="",AL37=""),"",AO37*AL37)</f>
        <v>200</v>
      </c>
      <c r="W37" s="27" t="n">
        <f aca="false">IF(V37="","",V37*K37)</f>
        <v>200</v>
      </c>
      <c r="X37" s="30" t="n">
        <f aca="false">IF(OR(U37="",W37=""),"",U37/W37)</f>
        <v>0.24993518146737</v>
      </c>
      <c r="Y37" s="30" t="n">
        <f aca="false">IF(OR(U37="",AP37=""),"",AP37*(U37/K37)*O37/1000/Q37)</f>
        <v>0.000204492421200576</v>
      </c>
      <c r="Z37" s="30" t="n">
        <f aca="false">IF(U37="","",IFERROR(IF(INDEX('Design Basis'!$C$13:$C$21,MATCH(C37,'Design Basis'!$A$13:$A$21,0))="","",INDEX('Design Basis'!$C$13:$C$21,MATCH(C37,'Design Basis'!$A$13:$A$21,0))),""))</f>
        <v>0.03</v>
      </c>
      <c r="AA37" s="31" t="str">
        <f aca="false">IF(U37="","n/a",IF(W37="","CHECK",IF(AND(X37&lt;=1,OR(Y37="",Z37="",Y37&lt;=Z37)),"OK","CHECK")))</f>
        <v>OK</v>
      </c>
      <c r="AB37" s="27" t="n">
        <f aca="false">IF(AN37="","",K37*AM37*PI()/4*AN37^2)</f>
        <v>3117.24531052447</v>
      </c>
      <c r="AC37" s="31"/>
      <c r="AE37" s="32" t="n">
        <f aca="false">INDEX(Equipment!$D$2:$D$137,MATCH(E37,Equipment!$A$2:$A$137,0))</f>
        <v>178</v>
      </c>
      <c r="AF37" s="32" t="n">
        <f aca="false">INDEX(Equipment!$E$2:$E$137,MATCH(E37,Equipment!$A$2:$A$137,0))</f>
        <v>58</v>
      </c>
      <c r="AG37" s="32" t="n">
        <f aca="false">INDEX(Equipment!$F$2:$F$137,MATCH(E37,Equipment!$A$2:$A$137,0))</f>
        <v>0.5</v>
      </c>
      <c r="AH37" s="32" t="n">
        <f aca="false">INDEX(Equipment!$D$2:$D$137,MATCH(G37,Equipment!$A$2:$A$137,0))</f>
        <v>186</v>
      </c>
      <c r="AI37" s="32" t="n">
        <f aca="false">INDEX(Equipment!$E$2:$E$137,MATCH(G37,Equipment!$A$2:$A$137,0))</f>
        <v>15</v>
      </c>
      <c r="AJ37" s="32" t="n">
        <f aca="false">INDEX(Equipment!$F$2:$F$137,MATCH(G37,Equipment!$A$2:$A$137,0))</f>
        <v>0.5</v>
      </c>
      <c r="AK37" s="32" t="n">
        <f aca="false">IF(INDEX(Raceways!$D$2:$D$18,MATCH(L37,Raceways!$A$2:$A$18,0))="",0,INDEX(Raceways!$D$2:$D$18,MATCH(L37,Raceways!$A$2:$A$18,0)))</f>
        <v>6</v>
      </c>
      <c r="AL37" s="33" t="n">
        <f aca="false">IF(INDEX(Raceways!$I$2:$I$18,MATCH(L37,Raceways!$A$2:$A$18,0))="","",INDEX(Raceways!$I$2:$I$18,MATCH(L37,Raceways!$A$2:$A$18,0)))</f>
        <v>0.8</v>
      </c>
      <c r="AM37" s="26" t="n">
        <f aca="false">INDEX('Cable Types'!$D$2:$D$41,MATCH(I37,'Cable Types'!$A$2:$A$41,0))</f>
        <v>1</v>
      </c>
      <c r="AN37" s="26" t="n">
        <f aca="false">IF(INDEX('Cable Types'!$E$2:$E$41,MATCH(I37,'Cable Types'!$A$2:$A$41,0))="","",INDEX('Cable Types'!$E$2:$E$41,MATCH(I37,'Cable Types'!$A$2:$A$41,0)))</f>
        <v>63</v>
      </c>
      <c r="AO37" s="26" t="n">
        <f aca="false">IF(INDEX('Cable Types'!$F$2:$F$41,MATCH(I37,'Cable Types'!$A$2:$A$41,0))="","",INDEX('Cable Types'!$F$2:$F$41,MATCH(I37,'Cable Types'!$A$2:$A$41,0)))</f>
        <v>250</v>
      </c>
      <c r="AP37" s="33" t="n">
        <f aca="false">IF(INDEX('Cable Types'!$G$2:$G$41,MATCH(I37,'Cable Types'!$A$2:$A$41,0))="","",INDEX('Cable Types'!$G$2:$G$41,MATCH(I37,'Cable Types'!$A$2:$A$41,0)))</f>
        <v>0.6</v>
      </c>
    </row>
    <row r="38" customFormat="false" ht="15" hidden="false" customHeight="false" outlineLevel="0" collapsed="false">
      <c r="A38" s="25" t="s">
        <v>703</v>
      </c>
      <c r="B38" s="25" t="s">
        <v>285</v>
      </c>
      <c r="C38" s="25" t="s">
        <v>65</v>
      </c>
      <c r="D38" s="25" t="s">
        <v>704</v>
      </c>
      <c r="E38" s="25" t="s">
        <v>283</v>
      </c>
      <c r="F38" s="26" t="str">
        <f aca="false">INDEX(Equipment!$B$2:$B$137,MATCH(E38,Equipment!$A$2:$A$137,0))</f>
        <v>CCS 11 kV switchboard (CCS substation)</v>
      </c>
      <c r="G38" s="25" t="s">
        <v>303</v>
      </c>
      <c r="H38" s="26" t="str">
        <f aca="false">INDEX(Equipment!$B$2:$B$137,MATCH(G38,Equipment!$A$2:$A$137,0))</f>
        <v>Rich amine pump A 700 kW, 11 kV</v>
      </c>
      <c r="I38" s="25" t="s">
        <v>508</v>
      </c>
      <c r="J38" s="26" t="str">
        <f aca="false">INDEX('Cable Types'!$B$2:$B$41,MATCH(I38,'Cable Types'!$A$2:$A$41,0))</f>
        <v>6.35/11 kV 3C 70 mm2 Cu/XLPE/SWA/PVC</v>
      </c>
      <c r="K38" s="25" t="n">
        <v>1</v>
      </c>
      <c r="L38" s="25" t="s">
        <v>694</v>
      </c>
      <c r="M38" s="25" t="s">
        <v>638</v>
      </c>
      <c r="N38" s="25"/>
      <c r="O38" s="27" t="n">
        <f aca="false">IF(N38&lt;&gt;"",N38,IF(M38="D",ROUNDUP(SQRT((AH38-AE38)^2+(AI38-AF38)^2+(AJ38-AG38)^2)*(1+'Design Basis'!$C$6),0),ROUNDUP((ABS(AH38-AE38)+ABS(AI38-AF38)+ABS(AK38-AG38)+ABS(AK38-AJ38))*(1+'Design Basis'!$C$4)+2*'Design Basis'!$C$5,0)))</f>
        <v>69</v>
      </c>
      <c r="P38" s="27" t="n">
        <f aca="false">O38*K38*AM38</f>
        <v>69</v>
      </c>
      <c r="Q38" s="28" t="n">
        <v>11000</v>
      </c>
      <c r="R38" s="25" t="n">
        <v>3</v>
      </c>
      <c r="S38" s="28" t="n">
        <v>700</v>
      </c>
      <c r="T38" s="29" t="n">
        <v>0.84</v>
      </c>
      <c r="U38" s="27" t="n">
        <f aca="false">IF(OR(S38="",Q38=""),"",IF(R38=3,S38*1000/(SQRT(3)*Q38*T38),S38*1000/(Q38*T38)))</f>
        <v>43.7386567567898</v>
      </c>
      <c r="V38" s="27" t="n">
        <f aca="false">IF(OR(AO38="",AL38=""),"",AO38*AL38)</f>
        <v>200</v>
      </c>
      <c r="W38" s="27" t="n">
        <f aca="false">IF(V38="","",V38*K38)</f>
        <v>200</v>
      </c>
      <c r="X38" s="30" t="n">
        <f aca="false">IF(OR(U38="",W38=""),"",U38/W38)</f>
        <v>0.218693283783949</v>
      </c>
      <c r="Y38" s="30" t="n">
        <f aca="false">IF(OR(U38="",AP38=""),"",AP38*(U38/K38)*O38/1000/Q38)</f>
        <v>0.000164616399066464</v>
      </c>
      <c r="Z38" s="30" t="n">
        <f aca="false">IF(U38="","",IFERROR(IF(INDEX('Design Basis'!$C$13:$C$21,MATCH(C38,'Design Basis'!$A$13:$A$21,0))="","",INDEX('Design Basis'!$C$13:$C$21,MATCH(C38,'Design Basis'!$A$13:$A$21,0))),""))</f>
        <v>0.03</v>
      </c>
      <c r="AA38" s="31" t="str">
        <f aca="false">IF(U38="","n/a",IF(W38="","CHECK",IF(AND(X38&lt;=1,OR(Y38="",Z38="",Y38&lt;=Z38)),"OK","CHECK")))</f>
        <v>OK</v>
      </c>
      <c r="AB38" s="27" t="n">
        <f aca="false">IF(AN38="","",K38*AM38*PI()/4*AN38^2)</f>
        <v>3117.24531052447</v>
      </c>
      <c r="AC38" s="31"/>
      <c r="AE38" s="32" t="n">
        <f aca="false">INDEX(Equipment!$D$2:$D$137,MATCH(E38,Equipment!$A$2:$A$137,0))</f>
        <v>178</v>
      </c>
      <c r="AF38" s="32" t="n">
        <f aca="false">INDEX(Equipment!$E$2:$E$137,MATCH(E38,Equipment!$A$2:$A$137,0))</f>
        <v>58</v>
      </c>
      <c r="AG38" s="32" t="n">
        <f aca="false">INDEX(Equipment!$F$2:$F$137,MATCH(E38,Equipment!$A$2:$A$137,0))</f>
        <v>0.5</v>
      </c>
      <c r="AH38" s="32" t="n">
        <f aca="false">INDEX(Equipment!$D$2:$D$137,MATCH(G38,Equipment!$A$2:$A$137,0))</f>
        <v>174</v>
      </c>
      <c r="AI38" s="32" t="n">
        <f aca="false">INDEX(Equipment!$E$2:$E$137,MATCH(G38,Equipment!$A$2:$A$137,0))</f>
        <v>16</v>
      </c>
      <c r="AJ38" s="32" t="n">
        <f aca="false">INDEX(Equipment!$F$2:$F$137,MATCH(G38,Equipment!$A$2:$A$137,0))</f>
        <v>0.5</v>
      </c>
      <c r="AK38" s="32" t="n">
        <f aca="false">IF(INDEX(Raceways!$D$2:$D$18,MATCH(L38,Raceways!$A$2:$A$18,0))="",0,INDEX(Raceways!$D$2:$D$18,MATCH(L38,Raceways!$A$2:$A$18,0)))</f>
        <v>6</v>
      </c>
      <c r="AL38" s="33" t="n">
        <f aca="false">IF(INDEX(Raceways!$I$2:$I$18,MATCH(L38,Raceways!$A$2:$A$18,0))="","",INDEX(Raceways!$I$2:$I$18,MATCH(L38,Raceways!$A$2:$A$18,0)))</f>
        <v>0.8</v>
      </c>
      <c r="AM38" s="26" t="n">
        <f aca="false">INDEX('Cable Types'!$D$2:$D$41,MATCH(I38,'Cable Types'!$A$2:$A$41,0))</f>
        <v>1</v>
      </c>
      <c r="AN38" s="26" t="n">
        <f aca="false">IF(INDEX('Cable Types'!$E$2:$E$41,MATCH(I38,'Cable Types'!$A$2:$A$41,0))="","",INDEX('Cable Types'!$E$2:$E$41,MATCH(I38,'Cable Types'!$A$2:$A$41,0)))</f>
        <v>63</v>
      </c>
      <c r="AO38" s="26" t="n">
        <f aca="false">IF(INDEX('Cable Types'!$F$2:$F$41,MATCH(I38,'Cable Types'!$A$2:$A$41,0))="","",INDEX('Cable Types'!$F$2:$F$41,MATCH(I38,'Cable Types'!$A$2:$A$41,0)))</f>
        <v>250</v>
      </c>
      <c r="AP38" s="33" t="n">
        <f aca="false">IF(INDEX('Cable Types'!$G$2:$G$41,MATCH(I38,'Cable Types'!$A$2:$A$41,0))="","",INDEX('Cable Types'!$G$2:$G$41,MATCH(I38,'Cable Types'!$A$2:$A$41,0)))</f>
        <v>0.6</v>
      </c>
    </row>
    <row r="39" customFormat="false" ht="15" hidden="false" customHeight="false" outlineLevel="0" collapsed="false">
      <c r="A39" s="25" t="s">
        <v>705</v>
      </c>
      <c r="B39" s="25" t="s">
        <v>285</v>
      </c>
      <c r="C39" s="25" t="s">
        <v>65</v>
      </c>
      <c r="D39" s="25" t="s">
        <v>706</v>
      </c>
      <c r="E39" s="25" t="s">
        <v>283</v>
      </c>
      <c r="F39" s="26" t="str">
        <f aca="false">INDEX(Equipment!$B$2:$B$137,MATCH(E39,Equipment!$A$2:$A$137,0))</f>
        <v>CCS 11 kV switchboard (CCS substation)</v>
      </c>
      <c r="G39" s="25" t="s">
        <v>306</v>
      </c>
      <c r="H39" s="26" t="str">
        <f aca="false">INDEX(Equipment!$B$2:$B$137,MATCH(G39,Equipment!$A$2:$A$137,0))</f>
        <v>Rich amine pump B 700 kW, 11 kV</v>
      </c>
      <c r="I39" s="25" t="s">
        <v>508</v>
      </c>
      <c r="J39" s="26" t="str">
        <f aca="false">INDEX('Cable Types'!$B$2:$B$41,MATCH(I39,'Cable Types'!$A$2:$A$41,0))</f>
        <v>6.35/11 kV 3C 70 mm2 Cu/XLPE/SWA/PVC</v>
      </c>
      <c r="K39" s="25" t="n">
        <v>1</v>
      </c>
      <c r="L39" s="25" t="s">
        <v>694</v>
      </c>
      <c r="M39" s="25" t="s">
        <v>638</v>
      </c>
      <c r="N39" s="25"/>
      <c r="O39" s="27" t="n">
        <f aca="false">IF(N39&lt;&gt;"",N39,IF(M39="D",ROUNDUP(SQRT((AH39-AE39)^2+(AI39-AF39)^2+(AJ39-AG39)^2)*(1+'Design Basis'!$C$6),0),ROUNDUP((ABS(AH39-AE39)+ABS(AI39-AF39)+ABS(AK39-AG39)+ABS(AK39-AJ39))*(1+'Design Basis'!$C$4)+2*'Design Basis'!$C$5,0)))</f>
        <v>66</v>
      </c>
      <c r="P39" s="27" t="n">
        <f aca="false">O39*K39*AM39</f>
        <v>66</v>
      </c>
      <c r="Q39" s="28" t="n">
        <v>11000</v>
      </c>
      <c r="R39" s="25" t="n">
        <v>3</v>
      </c>
      <c r="S39" s="28" t="n">
        <v>700</v>
      </c>
      <c r="T39" s="29" t="n">
        <v>0.84</v>
      </c>
      <c r="U39" s="27" t="n">
        <f aca="false">IF(OR(S39="",Q39=""),"",IF(R39=3,S39*1000/(SQRT(3)*Q39*T39),S39*1000/(Q39*T39)))</f>
        <v>43.7386567567898</v>
      </c>
      <c r="V39" s="27" t="n">
        <f aca="false">IF(OR(AO39="",AL39=""),"",AO39*AL39)</f>
        <v>200</v>
      </c>
      <c r="W39" s="27" t="n">
        <f aca="false">IF(V39="","",V39*K39)</f>
        <v>200</v>
      </c>
      <c r="X39" s="30" t="n">
        <f aca="false">IF(OR(U39="",W39=""),"",U39/W39)</f>
        <v>0.218693283783949</v>
      </c>
      <c r="Y39" s="30" t="n">
        <f aca="false">IF(OR(U39="",AP39=""),"",AP39*(U39/K39)*O39/1000/Q39)</f>
        <v>0.000157459164324443</v>
      </c>
      <c r="Z39" s="30" t="n">
        <f aca="false">IF(U39="","",IFERROR(IF(INDEX('Design Basis'!$C$13:$C$21,MATCH(C39,'Design Basis'!$A$13:$A$21,0))="","",INDEX('Design Basis'!$C$13:$C$21,MATCH(C39,'Design Basis'!$A$13:$A$21,0))),""))</f>
        <v>0.03</v>
      </c>
      <c r="AA39" s="31" t="str">
        <f aca="false">IF(U39="","n/a",IF(W39="","CHECK",IF(AND(X39&lt;=1,OR(Y39="",Z39="",Y39&lt;=Z39)),"OK","CHECK")))</f>
        <v>OK</v>
      </c>
      <c r="AB39" s="27" t="n">
        <f aca="false">IF(AN39="","",K39*AM39*PI()/4*AN39^2)</f>
        <v>3117.24531052447</v>
      </c>
      <c r="AC39" s="31"/>
      <c r="AE39" s="32" t="n">
        <f aca="false">INDEX(Equipment!$D$2:$D$137,MATCH(E39,Equipment!$A$2:$A$137,0))</f>
        <v>178</v>
      </c>
      <c r="AF39" s="32" t="n">
        <f aca="false">INDEX(Equipment!$E$2:$E$137,MATCH(E39,Equipment!$A$2:$A$137,0))</f>
        <v>58</v>
      </c>
      <c r="AG39" s="32" t="n">
        <f aca="false">INDEX(Equipment!$F$2:$F$137,MATCH(E39,Equipment!$A$2:$A$137,0))</f>
        <v>0.5</v>
      </c>
      <c r="AH39" s="32" t="n">
        <f aca="false">INDEX(Equipment!$D$2:$D$137,MATCH(G39,Equipment!$A$2:$A$137,0))</f>
        <v>177</v>
      </c>
      <c r="AI39" s="32" t="n">
        <f aca="false">INDEX(Equipment!$E$2:$E$137,MATCH(G39,Equipment!$A$2:$A$137,0))</f>
        <v>16</v>
      </c>
      <c r="AJ39" s="32" t="n">
        <f aca="false">INDEX(Equipment!$F$2:$F$137,MATCH(G39,Equipment!$A$2:$A$137,0))</f>
        <v>0.5</v>
      </c>
      <c r="AK39" s="32" t="n">
        <f aca="false">IF(INDEX(Raceways!$D$2:$D$18,MATCH(L39,Raceways!$A$2:$A$18,0))="",0,INDEX(Raceways!$D$2:$D$18,MATCH(L39,Raceways!$A$2:$A$18,0)))</f>
        <v>6</v>
      </c>
      <c r="AL39" s="33" t="n">
        <f aca="false">IF(INDEX(Raceways!$I$2:$I$18,MATCH(L39,Raceways!$A$2:$A$18,0))="","",INDEX(Raceways!$I$2:$I$18,MATCH(L39,Raceways!$A$2:$A$18,0)))</f>
        <v>0.8</v>
      </c>
      <c r="AM39" s="26" t="n">
        <f aca="false">INDEX('Cable Types'!$D$2:$D$41,MATCH(I39,'Cable Types'!$A$2:$A$41,0))</f>
        <v>1</v>
      </c>
      <c r="AN39" s="26" t="n">
        <f aca="false">IF(INDEX('Cable Types'!$E$2:$E$41,MATCH(I39,'Cable Types'!$A$2:$A$41,0))="","",INDEX('Cable Types'!$E$2:$E$41,MATCH(I39,'Cable Types'!$A$2:$A$41,0)))</f>
        <v>63</v>
      </c>
      <c r="AO39" s="26" t="n">
        <f aca="false">IF(INDEX('Cable Types'!$F$2:$F$41,MATCH(I39,'Cable Types'!$A$2:$A$41,0))="","",INDEX('Cable Types'!$F$2:$F$41,MATCH(I39,'Cable Types'!$A$2:$A$41,0)))</f>
        <v>250</v>
      </c>
      <c r="AP39" s="33" t="n">
        <f aca="false">IF(INDEX('Cable Types'!$G$2:$G$41,MATCH(I39,'Cable Types'!$A$2:$A$41,0))="","",INDEX('Cable Types'!$G$2:$G$41,MATCH(I39,'Cable Types'!$A$2:$A$41,0)))</f>
        <v>0.6</v>
      </c>
    </row>
    <row r="40" customFormat="false" ht="15" hidden="false" customHeight="false" outlineLevel="0" collapsed="false">
      <c r="A40" s="25" t="s">
        <v>707</v>
      </c>
      <c r="B40" s="25" t="s">
        <v>285</v>
      </c>
      <c r="C40" s="25" t="s">
        <v>65</v>
      </c>
      <c r="D40" s="25" t="s">
        <v>708</v>
      </c>
      <c r="E40" s="25" t="s">
        <v>283</v>
      </c>
      <c r="F40" s="26" t="str">
        <f aca="false">INDEX(Equipment!$B$2:$B$137,MATCH(E40,Equipment!$A$2:$A$137,0))</f>
        <v>CCS 11 kV switchboard (CCS substation)</v>
      </c>
      <c r="G40" s="25" t="s">
        <v>297</v>
      </c>
      <c r="H40" s="26" t="str">
        <f aca="false">INDEX(Equipment!$B$2:$B$137,MATCH(G40,Equipment!$A$2:$A$137,0))</f>
        <v>Direct contact cooler circulation pump A 400 kW, 11 kV</v>
      </c>
      <c r="I40" s="25" t="s">
        <v>508</v>
      </c>
      <c r="J40" s="26" t="str">
        <f aca="false">INDEX('Cable Types'!$B$2:$B$41,MATCH(I40,'Cable Types'!$A$2:$A$41,0))</f>
        <v>6.35/11 kV 3C 70 mm2 Cu/XLPE/SWA/PVC</v>
      </c>
      <c r="K40" s="25" t="n">
        <v>1</v>
      </c>
      <c r="L40" s="25" t="s">
        <v>694</v>
      </c>
      <c r="M40" s="25" t="s">
        <v>638</v>
      </c>
      <c r="N40" s="25"/>
      <c r="O40" s="27" t="n">
        <f aca="false">IF(N40&lt;&gt;"",N40,IF(M40="D",ROUNDUP(SQRT((AH40-AE40)^2+(AI40-AF40)^2+(AJ40-AG40)^2)*(1+'Design Basis'!$C$6),0),ROUNDUP((ABS(AH40-AE40)+ABS(AI40-AF40)+ABS(AK40-AG40)+ABS(AK40-AJ40))*(1+'Design Basis'!$C$4)+2*'Design Basis'!$C$5,0)))</f>
        <v>111</v>
      </c>
      <c r="P40" s="27" t="n">
        <f aca="false">O40*K40*AM40</f>
        <v>111</v>
      </c>
      <c r="Q40" s="28" t="n">
        <v>11000</v>
      </c>
      <c r="R40" s="25" t="n">
        <v>3</v>
      </c>
      <c r="S40" s="28" t="n">
        <v>400</v>
      </c>
      <c r="T40" s="29" t="n">
        <v>0.82</v>
      </c>
      <c r="U40" s="27" t="n">
        <f aca="false">IF(OR(S40="",Q40=""),"",IF(R40=3,S40*1000/(SQRT(3)*Q40*T40),S40*1000/(Q40*T40)))</f>
        <v>25.603116150316</v>
      </c>
      <c r="V40" s="27" t="n">
        <f aca="false">IF(OR(AO40="",AL40=""),"",AO40*AL40)</f>
        <v>200</v>
      </c>
      <c r="W40" s="27" t="n">
        <f aca="false">IF(V40="","",V40*K40)</f>
        <v>200</v>
      </c>
      <c r="X40" s="30" t="n">
        <f aca="false">IF(OR(U40="",W40=""),"",U40/W40)</f>
        <v>0.12801558075158</v>
      </c>
      <c r="Y40" s="30" t="n">
        <f aca="false">IF(OR(U40="",AP40=""),"",AP40*(U40/K40)*O40/1000/Q40)</f>
        <v>0.000155015230510095</v>
      </c>
      <c r="Z40" s="30" t="n">
        <f aca="false">IF(U40="","",IFERROR(IF(INDEX('Design Basis'!$C$13:$C$21,MATCH(C40,'Design Basis'!$A$13:$A$21,0))="","",INDEX('Design Basis'!$C$13:$C$21,MATCH(C40,'Design Basis'!$A$13:$A$21,0))),""))</f>
        <v>0.03</v>
      </c>
      <c r="AA40" s="31" t="str">
        <f aca="false">IF(U40="","n/a",IF(W40="","CHECK",IF(AND(X40&lt;=1,OR(Y40="",Z40="",Y40&lt;=Z40)),"OK","CHECK")))</f>
        <v>OK</v>
      </c>
      <c r="AB40" s="27" t="n">
        <f aca="false">IF(AN40="","",K40*AM40*PI()/4*AN40^2)</f>
        <v>3117.24531052447</v>
      </c>
      <c r="AC40" s="31"/>
      <c r="AE40" s="32" t="n">
        <f aca="false">INDEX(Equipment!$D$2:$D$137,MATCH(E40,Equipment!$A$2:$A$137,0))</f>
        <v>178</v>
      </c>
      <c r="AF40" s="32" t="n">
        <f aca="false">INDEX(Equipment!$E$2:$E$137,MATCH(E40,Equipment!$A$2:$A$137,0))</f>
        <v>58</v>
      </c>
      <c r="AG40" s="32" t="n">
        <f aca="false">INDEX(Equipment!$F$2:$F$137,MATCH(E40,Equipment!$A$2:$A$137,0))</f>
        <v>0.5</v>
      </c>
      <c r="AH40" s="32" t="n">
        <f aca="false">INDEX(Equipment!$D$2:$D$137,MATCH(G40,Equipment!$A$2:$A$137,0))</f>
        <v>146</v>
      </c>
      <c r="AI40" s="32" t="n">
        <f aca="false">INDEX(Equipment!$E$2:$E$137,MATCH(G40,Equipment!$A$2:$A$137,0))</f>
        <v>6</v>
      </c>
      <c r="AJ40" s="32" t="n">
        <f aca="false">INDEX(Equipment!$F$2:$F$137,MATCH(G40,Equipment!$A$2:$A$137,0))</f>
        <v>0.5</v>
      </c>
      <c r="AK40" s="32" t="n">
        <f aca="false">IF(INDEX(Raceways!$D$2:$D$18,MATCH(L40,Raceways!$A$2:$A$18,0))="",0,INDEX(Raceways!$D$2:$D$18,MATCH(L40,Raceways!$A$2:$A$18,0)))</f>
        <v>6</v>
      </c>
      <c r="AL40" s="33" t="n">
        <f aca="false">IF(INDEX(Raceways!$I$2:$I$18,MATCH(L40,Raceways!$A$2:$A$18,0))="","",INDEX(Raceways!$I$2:$I$18,MATCH(L40,Raceways!$A$2:$A$18,0)))</f>
        <v>0.8</v>
      </c>
      <c r="AM40" s="26" t="n">
        <f aca="false">INDEX('Cable Types'!$D$2:$D$41,MATCH(I40,'Cable Types'!$A$2:$A$41,0))</f>
        <v>1</v>
      </c>
      <c r="AN40" s="26" t="n">
        <f aca="false">IF(INDEX('Cable Types'!$E$2:$E$41,MATCH(I40,'Cable Types'!$A$2:$A$41,0))="","",INDEX('Cable Types'!$E$2:$E$41,MATCH(I40,'Cable Types'!$A$2:$A$41,0)))</f>
        <v>63</v>
      </c>
      <c r="AO40" s="26" t="n">
        <f aca="false">IF(INDEX('Cable Types'!$F$2:$F$41,MATCH(I40,'Cable Types'!$A$2:$A$41,0))="","",INDEX('Cable Types'!$F$2:$F$41,MATCH(I40,'Cable Types'!$A$2:$A$41,0)))</f>
        <v>250</v>
      </c>
      <c r="AP40" s="33" t="n">
        <f aca="false">IF(INDEX('Cable Types'!$G$2:$G$41,MATCH(I40,'Cable Types'!$A$2:$A$41,0))="","",INDEX('Cable Types'!$G$2:$G$41,MATCH(I40,'Cable Types'!$A$2:$A$41,0)))</f>
        <v>0.6</v>
      </c>
    </row>
    <row r="41" customFormat="false" ht="15" hidden="false" customHeight="false" outlineLevel="0" collapsed="false">
      <c r="A41" s="25" t="s">
        <v>709</v>
      </c>
      <c r="B41" s="25" t="s">
        <v>285</v>
      </c>
      <c r="C41" s="25" t="s">
        <v>65</v>
      </c>
      <c r="D41" s="25" t="s">
        <v>710</v>
      </c>
      <c r="E41" s="25" t="s">
        <v>283</v>
      </c>
      <c r="F41" s="26" t="str">
        <f aca="false">INDEX(Equipment!$B$2:$B$137,MATCH(E41,Equipment!$A$2:$A$137,0))</f>
        <v>CCS 11 kV switchboard (CCS substation)</v>
      </c>
      <c r="G41" s="25" t="s">
        <v>300</v>
      </c>
      <c r="H41" s="26" t="str">
        <f aca="false">INDEX(Equipment!$B$2:$B$137,MATCH(G41,Equipment!$A$2:$A$137,0))</f>
        <v>Direct contact cooler circulation pump B 400 kW, 11 kV</v>
      </c>
      <c r="I41" s="25" t="s">
        <v>508</v>
      </c>
      <c r="J41" s="26" t="str">
        <f aca="false">INDEX('Cable Types'!$B$2:$B$41,MATCH(I41,'Cable Types'!$A$2:$A$41,0))</f>
        <v>6.35/11 kV 3C 70 mm2 Cu/XLPE/SWA/PVC</v>
      </c>
      <c r="K41" s="25" t="n">
        <v>1</v>
      </c>
      <c r="L41" s="25" t="s">
        <v>694</v>
      </c>
      <c r="M41" s="25" t="s">
        <v>638</v>
      </c>
      <c r="N41" s="25"/>
      <c r="O41" s="27" t="n">
        <f aca="false">IF(N41&lt;&gt;"",N41,IF(M41="D",ROUNDUP(SQRT((AH41-AE41)^2+(AI41-AF41)^2+(AJ41-AG41)^2)*(1+'Design Basis'!$C$6),0),ROUNDUP((ABS(AH41-AE41)+ABS(AI41-AF41)+ABS(AK41-AG41)+ABS(AK41-AJ41))*(1+'Design Basis'!$C$4)+2*'Design Basis'!$C$5,0)))</f>
        <v>108</v>
      </c>
      <c r="P41" s="27" t="n">
        <f aca="false">O41*K41*AM41</f>
        <v>108</v>
      </c>
      <c r="Q41" s="28" t="n">
        <v>11000</v>
      </c>
      <c r="R41" s="25" t="n">
        <v>3</v>
      </c>
      <c r="S41" s="28" t="n">
        <v>400</v>
      </c>
      <c r="T41" s="29" t="n">
        <v>0.82</v>
      </c>
      <c r="U41" s="27" t="n">
        <f aca="false">IF(OR(S41="",Q41=""),"",IF(R41=3,S41*1000/(SQRT(3)*Q41*T41),S41*1000/(Q41*T41)))</f>
        <v>25.603116150316</v>
      </c>
      <c r="V41" s="27" t="n">
        <f aca="false">IF(OR(AO41="",AL41=""),"",AO41*AL41)</f>
        <v>200</v>
      </c>
      <c r="W41" s="27" t="n">
        <f aca="false">IF(V41="","",V41*K41)</f>
        <v>200</v>
      </c>
      <c r="X41" s="30" t="n">
        <f aca="false">IF(OR(U41="",W41=""),"",U41/W41)</f>
        <v>0.12801558075158</v>
      </c>
      <c r="Y41" s="30" t="n">
        <f aca="false">IF(OR(U41="",AP41=""),"",AP41*(U41/K41)*O41/1000/Q41)</f>
        <v>0.000150825629685498</v>
      </c>
      <c r="Z41" s="30" t="n">
        <f aca="false">IF(U41="","",IFERROR(IF(INDEX('Design Basis'!$C$13:$C$21,MATCH(C41,'Design Basis'!$A$13:$A$21,0))="","",INDEX('Design Basis'!$C$13:$C$21,MATCH(C41,'Design Basis'!$A$13:$A$21,0))),""))</f>
        <v>0.03</v>
      </c>
      <c r="AA41" s="31" t="str">
        <f aca="false">IF(U41="","n/a",IF(W41="","CHECK",IF(AND(X41&lt;=1,OR(Y41="",Z41="",Y41&lt;=Z41)),"OK","CHECK")))</f>
        <v>OK</v>
      </c>
      <c r="AB41" s="27" t="n">
        <f aca="false">IF(AN41="","",K41*AM41*PI()/4*AN41^2)</f>
        <v>3117.24531052447</v>
      </c>
      <c r="AC41" s="31"/>
      <c r="AE41" s="32" t="n">
        <f aca="false">INDEX(Equipment!$D$2:$D$137,MATCH(E41,Equipment!$A$2:$A$137,0))</f>
        <v>178</v>
      </c>
      <c r="AF41" s="32" t="n">
        <f aca="false">INDEX(Equipment!$E$2:$E$137,MATCH(E41,Equipment!$A$2:$A$137,0))</f>
        <v>58</v>
      </c>
      <c r="AG41" s="32" t="n">
        <f aca="false">INDEX(Equipment!$F$2:$F$137,MATCH(E41,Equipment!$A$2:$A$137,0))</f>
        <v>0.5</v>
      </c>
      <c r="AH41" s="32" t="n">
        <f aca="false">INDEX(Equipment!$D$2:$D$137,MATCH(G41,Equipment!$A$2:$A$137,0))</f>
        <v>146</v>
      </c>
      <c r="AI41" s="32" t="n">
        <f aca="false">INDEX(Equipment!$E$2:$E$137,MATCH(G41,Equipment!$A$2:$A$137,0))</f>
        <v>9</v>
      </c>
      <c r="AJ41" s="32" t="n">
        <f aca="false">INDEX(Equipment!$F$2:$F$137,MATCH(G41,Equipment!$A$2:$A$137,0))</f>
        <v>0.5</v>
      </c>
      <c r="AK41" s="32" t="n">
        <f aca="false">IF(INDEX(Raceways!$D$2:$D$18,MATCH(L41,Raceways!$A$2:$A$18,0))="",0,INDEX(Raceways!$D$2:$D$18,MATCH(L41,Raceways!$A$2:$A$18,0)))</f>
        <v>6</v>
      </c>
      <c r="AL41" s="33" t="n">
        <f aca="false">IF(INDEX(Raceways!$I$2:$I$18,MATCH(L41,Raceways!$A$2:$A$18,0))="","",INDEX(Raceways!$I$2:$I$18,MATCH(L41,Raceways!$A$2:$A$18,0)))</f>
        <v>0.8</v>
      </c>
      <c r="AM41" s="26" t="n">
        <f aca="false">INDEX('Cable Types'!$D$2:$D$41,MATCH(I41,'Cable Types'!$A$2:$A$41,0))</f>
        <v>1</v>
      </c>
      <c r="AN41" s="26" t="n">
        <f aca="false">IF(INDEX('Cable Types'!$E$2:$E$41,MATCH(I41,'Cable Types'!$A$2:$A$41,0))="","",INDEX('Cable Types'!$E$2:$E$41,MATCH(I41,'Cable Types'!$A$2:$A$41,0)))</f>
        <v>63</v>
      </c>
      <c r="AO41" s="26" t="n">
        <f aca="false">IF(INDEX('Cable Types'!$F$2:$F$41,MATCH(I41,'Cable Types'!$A$2:$A$41,0))="","",INDEX('Cable Types'!$F$2:$F$41,MATCH(I41,'Cable Types'!$A$2:$A$41,0)))</f>
        <v>250</v>
      </c>
      <c r="AP41" s="33" t="n">
        <f aca="false">IF(INDEX('Cable Types'!$G$2:$G$41,MATCH(I41,'Cable Types'!$A$2:$A$41,0))="","",INDEX('Cable Types'!$G$2:$G$41,MATCH(I41,'Cable Types'!$A$2:$A$41,0)))</f>
        <v>0.6</v>
      </c>
    </row>
    <row r="42" customFormat="false" ht="15" hidden="false" customHeight="false" outlineLevel="0" collapsed="false">
      <c r="A42" s="25" t="s">
        <v>711</v>
      </c>
      <c r="B42" s="25" t="s">
        <v>285</v>
      </c>
      <c r="C42" s="25" t="s">
        <v>65</v>
      </c>
      <c r="D42" s="25" t="s">
        <v>712</v>
      </c>
      <c r="E42" s="25" t="s">
        <v>283</v>
      </c>
      <c r="F42" s="26" t="str">
        <f aca="false">INDEX(Equipment!$B$2:$B$137,MATCH(E42,Equipment!$A$2:$A$137,0))</f>
        <v>CCS 11 kV switchboard (CCS substation)</v>
      </c>
      <c r="G42" s="25" t="s">
        <v>287</v>
      </c>
      <c r="H42" s="26" t="str">
        <f aca="false">INDEX(Equipment!$B$2:$B$137,MATCH(G42,Equipment!$A$2:$A$137,0))</f>
        <v>CCS LV transformer 11/0.42 kV 2.5 MVA</v>
      </c>
      <c r="I42" s="25" t="s">
        <v>508</v>
      </c>
      <c r="J42" s="26" t="str">
        <f aca="false">INDEX('Cable Types'!$B$2:$B$41,MATCH(I42,'Cable Types'!$A$2:$A$41,0))</f>
        <v>6.35/11 kV 3C 70 mm2 Cu/XLPE/SWA/PVC</v>
      </c>
      <c r="K42" s="25" t="n">
        <v>1</v>
      </c>
      <c r="L42" s="25" t="s">
        <v>649</v>
      </c>
      <c r="M42" s="25" t="s">
        <v>638</v>
      </c>
      <c r="N42" s="25"/>
      <c r="O42" s="27" t="n">
        <f aca="false">IF(N42&lt;&gt;"",N42,IF(M42="D",ROUNDUP(SQRT((AH42-AE42)^2+(AI42-AF42)^2+(AJ42-AG42)^2)*(1+'Design Basis'!$C$6),0),ROUNDUP((ABS(AH42-AE42)+ABS(AI42-AF42)+ABS(AK42-AG42)+ABS(AK42-AJ42))*(1+'Design Basis'!$C$4)+2*'Design Basis'!$C$5,0)))</f>
        <v>14</v>
      </c>
      <c r="P42" s="27" t="n">
        <f aca="false">O42*K42*AM42</f>
        <v>14</v>
      </c>
      <c r="Q42" s="28" t="n">
        <v>11000</v>
      </c>
      <c r="R42" s="25" t="n">
        <v>3</v>
      </c>
      <c r="S42" s="28" t="n">
        <v>2500</v>
      </c>
      <c r="T42" s="29" t="n">
        <v>1</v>
      </c>
      <c r="U42" s="27" t="n">
        <f aca="false">IF(OR(S42="",Q42=""),"",IF(R42=3,S42*1000/(SQRT(3)*Q42*T42),S42*1000/(Q42*T42)))</f>
        <v>131.21597027037</v>
      </c>
      <c r="V42" s="27" t="n">
        <f aca="false">IF(OR(AO42="",AL42=""),"",AO42*AL42)</f>
        <v>200</v>
      </c>
      <c r="W42" s="27" t="n">
        <f aca="false">IF(V42="","",V42*K42)</f>
        <v>200</v>
      </c>
      <c r="X42" s="30" t="n">
        <f aca="false">IF(OR(U42="",W42=""),"",U42/W42)</f>
        <v>0.656079851351847</v>
      </c>
      <c r="Y42" s="30" t="n">
        <f aca="false">IF(OR(U42="",AP42=""),"",AP42*(U42/K42)*O42/1000/Q42)</f>
        <v>0.000100201286388282</v>
      </c>
      <c r="Z42" s="30" t="n">
        <f aca="false">IF(U42="","",IFERROR(IF(INDEX('Design Basis'!$C$13:$C$21,MATCH(C42,'Design Basis'!$A$13:$A$21,0))="","",INDEX('Design Basis'!$C$13:$C$21,MATCH(C42,'Design Basis'!$A$13:$A$21,0))),""))</f>
        <v>0.03</v>
      </c>
      <c r="AA42" s="31" t="str">
        <f aca="false">IF(U42="","n/a",IF(W42="","CHECK",IF(AND(X42&lt;=1,OR(Y42="",Z42="",Y42&lt;=Z42)),"OK","CHECK")))</f>
        <v>OK</v>
      </c>
      <c r="AB42" s="27" t="n">
        <f aca="false">IF(AN42="","",K42*AM42*PI()/4*AN42^2)</f>
        <v>3117.24531052447</v>
      </c>
      <c r="AC42" s="31"/>
      <c r="AE42" s="32" t="n">
        <f aca="false">INDEX(Equipment!$D$2:$D$137,MATCH(E42,Equipment!$A$2:$A$137,0))</f>
        <v>178</v>
      </c>
      <c r="AF42" s="32" t="n">
        <f aca="false">INDEX(Equipment!$E$2:$E$137,MATCH(E42,Equipment!$A$2:$A$137,0))</f>
        <v>58</v>
      </c>
      <c r="AG42" s="32" t="n">
        <f aca="false">INDEX(Equipment!$F$2:$F$137,MATCH(E42,Equipment!$A$2:$A$137,0))</f>
        <v>0.5</v>
      </c>
      <c r="AH42" s="32" t="n">
        <f aca="false">INDEX(Equipment!$D$2:$D$137,MATCH(G42,Equipment!$A$2:$A$137,0))</f>
        <v>182</v>
      </c>
      <c r="AI42" s="32" t="n">
        <f aca="false">INDEX(Equipment!$E$2:$E$137,MATCH(G42,Equipment!$A$2:$A$137,0))</f>
        <v>60</v>
      </c>
      <c r="AJ42" s="32" t="n">
        <f aca="false">INDEX(Equipment!$F$2:$F$137,MATCH(G42,Equipment!$A$2:$A$137,0))</f>
        <v>0.5</v>
      </c>
      <c r="AK42" s="32" t="n">
        <f aca="false">IF(INDEX(Raceways!$D$2:$D$18,MATCH(L42,Raceways!$A$2:$A$18,0))="",0,INDEX(Raceways!$D$2:$D$18,MATCH(L42,Raceways!$A$2:$A$18,0)))</f>
        <v>1</v>
      </c>
      <c r="AL42" s="33" t="n">
        <f aca="false">IF(INDEX(Raceways!$I$2:$I$18,MATCH(L42,Raceways!$A$2:$A$18,0))="","",INDEX(Raceways!$I$2:$I$18,MATCH(L42,Raceways!$A$2:$A$18,0)))</f>
        <v>0.8</v>
      </c>
      <c r="AM42" s="26" t="n">
        <f aca="false">INDEX('Cable Types'!$D$2:$D$41,MATCH(I42,'Cable Types'!$A$2:$A$41,0))</f>
        <v>1</v>
      </c>
      <c r="AN42" s="26" t="n">
        <f aca="false">IF(INDEX('Cable Types'!$E$2:$E$41,MATCH(I42,'Cable Types'!$A$2:$A$41,0))="","",INDEX('Cable Types'!$E$2:$E$41,MATCH(I42,'Cable Types'!$A$2:$A$41,0)))</f>
        <v>63</v>
      </c>
      <c r="AO42" s="26" t="n">
        <f aca="false">IF(INDEX('Cable Types'!$F$2:$F$41,MATCH(I42,'Cable Types'!$A$2:$A$41,0))="","",INDEX('Cable Types'!$F$2:$F$41,MATCH(I42,'Cable Types'!$A$2:$A$41,0)))</f>
        <v>250</v>
      </c>
      <c r="AP42" s="33" t="n">
        <f aca="false">IF(INDEX('Cable Types'!$G$2:$G$41,MATCH(I42,'Cable Types'!$A$2:$A$41,0))="","",INDEX('Cable Types'!$G$2:$G$41,MATCH(I42,'Cable Types'!$A$2:$A$41,0)))</f>
        <v>0.6</v>
      </c>
    </row>
    <row r="43" customFormat="false" ht="15" hidden="false" customHeight="false" outlineLevel="0" collapsed="false">
      <c r="A43" s="25" t="s">
        <v>713</v>
      </c>
      <c r="B43" s="25" t="s">
        <v>127</v>
      </c>
      <c r="C43" s="25" t="s">
        <v>65</v>
      </c>
      <c r="D43" s="25" t="s">
        <v>714</v>
      </c>
      <c r="E43" s="25" t="s">
        <v>353</v>
      </c>
      <c r="F43" s="26" t="str">
        <f aca="false">INDEX(Equipment!$B$2:$B$137,MATCH(E43,Equipment!$A$2:$A$137,0))</f>
        <v>Gas engine genset 1 (40 ft container) 2.5 MVA, 11 kV - terminal box</v>
      </c>
      <c r="G43" s="25" t="s">
        <v>341</v>
      </c>
      <c r="H43" s="26" t="str">
        <f aca="false">INDEX(Equipment!$B$2:$B$137,MATCH(G43,Equipment!$A$2:$A$137,0))</f>
        <v>RICE 11 kV collector switchgear e-house</v>
      </c>
      <c r="I43" s="25" t="s">
        <v>508</v>
      </c>
      <c r="J43" s="26" t="str">
        <f aca="false">INDEX('Cable Types'!$B$2:$B$41,MATCH(I43,'Cable Types'!$A$2:$A$41,0))</f>
        <v>6.35/11 kV 3C 70 mm2 Cu/XLPE/SWA/PVC</v>
      </c>
      <c r="K43" s="25" t="n">
        <v>1</v>
      </c>
      <c r="L43" s="25" t="s">
        <v>715</v>
      </c>
      <c r="M43" s="25" t="s">
        <v>638</v>
      </c>
      <c r="N43" s="25"/>
      <c r="O43" s="27" t="n">
        <f aca="false">IF(N43&lt;&gt;"",N43,IF(M43="D",ROUNDUP(SQRT((AH43-AE43)^2+(AI43-AF43)^2+(AJ43-AG43)^2)*(1+'Design Basis'!$C$6),0),ROUNDUP((ABS(AH43-AE43)+ABS(AI43-AF43)+ABS(AK43-AG43)+ABS(AK43-AJ43))*(1+'Design Basis'!$C$4)+2*'Design Basis'!$C$5,0)))</f>
        <v>52</v>
      </c>
      <c r="P43" s="27" t="n">
        <f aca="false">O43*K43*AM43</f>
        <v>52</v>
      </c>
      <c r="Q43" s="28" t="n">
        <v>11000</v>
      </c>
      <c r="R43" s="25" t="n">
        <v>3</v>
      </c>
      <c r="S43" s="28" t="n">
        <v>2500</v>
      </c>
      <c r="T43" s="29" t="n">
        <v>1</v>
      </c>
      <c r="U43" s="27" t="n">
        <f aca="false">IF(OR(S43="",Q43=""),"",IF(R43=3,S43*1000/(SQRT(3)*Q43*T43),S43*1000/(Q43*T43)))</f>
        <v>131.21597027037</v>
      </c>
      <c r="V43" s="27" t="n">
        <f aca="false">IF(OR(AO43="",AL43=""),"",AO43*AL43)</f>
        <v>200</v>
      </c>
      <c r="W43" s="27" t="n">
        <f aca="false">IF(V43="","",V43*K43)</f>
        <v>200</v>
      </c>
      <c r="X43" s="30" t="n">
        <f aca="false">IF(OR(U43="",W43=""),"",U43/W43)</f>
        <v>0.656079851351847</v>
      </c>
      <c r="Y43" s="30" t="n">
        <f aca="false">IF(OR(U43="",AP43=""),"",AP43*(U43/K43)*O43/1000/Q43)</f>
        <v>0.000372176206585048</v>
      </c>
      <c r="Z43" s="30" t="n">
        <f aca="false">IF(U43="","",IFERROR(IF(INDEX('Design Basis'!$C$13:$C$21,MATCH(C43,'Design Basis'!$A$13:$A$21,0))="","",INDEX('Design Basis'!$C$13:$C$21,MATCH(C43,'Design Basis'!$A$13:$A$21,0))),""))</f>
        <v>0.03</v>
      </c>
      <c r="AA43" s="31" t="str">
        <f aca="false">IF(U43="","n/a",IF(W43="","CHECK",IF(AND(X43&lt;=1,OR(Y43="",Z43="",Y43&lt;=Z43)),"OK","CHECK")))</f>
        <v>OK</v>
      </c>
      <c r="AB43" s="27" t="n">
        <f aca="false">IF(AN43="","",K43*AM43*PI()/4*AN43^2)</f>
        <v>3117.24531052447</v>
      </c>
      <c r="AC43" s="31" t="s">
        <v>613</v>
      </c>
      <c r="AE43" s="32" t="n">
        <f aca="false">INDEX(Equipment!$D$2:$D$137,MATCH(E43,Equipment!$A$2:$A$137,0))</f>
        <v>2.2</v>
      </c>
      <c r="AF43" s="32" t="n">
        <f aca="false">INDEX(Equipment!$E$2:$E$137,MATCH(E43,Equipment!$A$2:$A$137,0))</f>
        <v>71.45</v>
      </c>
      <c r="AG43" s="32" t="n">
        <f aca="false">INDEX(Equipment!$F$2:$F$137,MATCH(E43,Equipment!$A$2:$A$137,0))</f>
        <v>1.5</v>
      </c>
      <c r="AH43" s="32" t="n">
        <f aca="false">INDEX(Equipment!$D$2:$D$137,MATCH(G43,Equipment!$A$2:$A$137,0))</f>
        <v>12</v>
      </c>
      <c r="AI43" s="32" t="n">
        <f aca="false">INDEX(Equipment!$E$2:$E$137,MATCH(G43,Equipment!$A$2:$A$137,0))</f>
        <v>99</v>
      </c>
      <c r="AJ43" s="32" t="n">
        <f aca="false">INDEX(Equipment!$F$2:$F$137,MATCH(G43,Equipment!$A$2:$A$137,0))</f>
        <v>0.5</v>
      </c>
      <c r="AK43" s="32" t="n">
        <f aca="false">IF(INDEX(Raceways!$D$2:$D$18,MATCH(L43,Raceways!$A$2:$A$18,0))="",0,INDEX(Raceways!$D$2:$D$18,MATCH(L43,Raceways!$A$2:$A$18,0)))</f>
        <v>3</v>
      </c>
      <c r="AL43" s="33" t="n">
        <f aca="false">IF(INDEX(Raceways!$I$2:$I$18,MATCH(L43,Raceways!$A$2:$A$18,0))="","",INDEX(Raceways!$I$2:$I$18,MATCH(L43,Raceways!$A$2:$A$18,0)))</f>
        <v>0.8</v>
      </c>
      <c r="AM43" s="26" t="n">
        <f aca="false">INDEX('Cable Types'!$D$2:$D$41,MATCH(I43,'Cable Types'!$A$2:$A$41,0))</f>
        <v>1</v>
      </c>
      <c r="AN43" s="26" t="n">
        <f aca="false">IF(INDEX('Cable Types'!$E$2:$E$41,MATCH(I43,'Cable Types'!$A$2:$A$41,0))="","",INDEX('Cable Types'!$E$2:$E$41,MATCH(I43,'Cable Types'!$A$2:$A$41,0)))</f>
        <v>63</v>
      </c>
      <c r="AO43" s="26" t="n">
        <f aca="false">IF(INDEX('Cable Types'!$F$2:$F$41,MATCH(I43,'Cable Types'!$A$2:$A$41,0))="","",INDEX('Cable Types'!$F$2:$F$41,MATCH(I43,'Cable Types'!$A$2:$A$41,0)))</f>
        <v>250</v>
      </c>
      <c r="AP43" s="33" t="n">
        <f aca="false">IF(INDEX('Cable Types'!$G$2:$G$41,MATCH(I43,'Cable Types'!$A$2:$A$41,0))="","",INDEX('Cable Types'!$G$2:$G$41,MATCH(I43,'Cable Types'!$A$2:$A$41,0)))</f>
        <v>0.6</v>
      </c>
    </row>
    <row r="44" customFormat="false" ht="15" hidden="false" customHeight="false" outlineLevel="0" collapsed="false">
      <c r="A44" s="25" t="s">
        <v>716</v>
      </c>
      <c r="B44" s="25" t="s">
        <v>127</v>
      </c>
      <c r="C44" s="25" t="s">
        <v>65</v>
      </c>
      <c r="D44" s="25" t="s">
        <v>717</v>
      </c>
      <c r="E44" s="25" t="s">
        <v>356</v>
      </c>
      <c r="F44" s="26" t="str">
        <f aca="false">INDEX(Equipment!$B$2:$B$137,MATCH(E44,Equipment!$A$2:$A$137,0))</f>
        <v>Gas engine genset 2 (40 ft container) 2.5 MVA, 11 kV - terminal box</v>
      </c>
      <c r="G44" s="25" t="s">
        <v>341</v>
      </c>
      <c r="H44" s="26" t="str">
        <f aca="false">INDEX(Equipment!$B$2:$B$137,MATCH(G44,Equipment!$A$2:$A$137,0))</f>
        <v>RICE 11 kV collector switchgear e-house</v>
      </c>
      <c r="I44" s="25" t="s">
        <v>508</v>
      </c>
      <c r="J44" s="26" t="str">
        <f aca="false">INDEX('Cable Types'!$B$2:$B$41,MATCH(I44,'Cable Types'!$A$2:$A$41,0))</f>
        <v>6.35/11 kV 3C 70 mm2 Cu/XLPE/SWA/PVC</v>
      </c>
      <c r="K44" s="25" t="n">
        <v>1</v>
      </c>
      <c r="L44" s="25" t="s">
        <v>715</v>
      </c>
      <c r="M44" s="25" t="s">
        <v>638</v>
      </c>
      <c r="N44" s="25"/>
      <c r="O44" s="27" t="n">
        <f aca="false">IF(N44&lt;&gt;"",N44,IF(M44="D",ROUNDUP(SQRT((AH44-AE44)^2+(AI44-AF44)^2+(AJ44-AG44)^2)*(1+'Design Basis'!$C$6),0),ROUNDUP((ABS(AH44-AE44)+ABS(AI44-AF44)+ABS(AK44-AG44)+ABS(AK44-AJ44))*(1+'Design Basis'!$C$4)+2*'Design Basis'!$C$5,0)))</f>
        <v>47</v>
      </c>
      <c r="P44" s="27" t="n">
        <f aca="false">O44*K44*AM44</f>
        <v>47</v>
      </c>
      <c r="Q44" s="28" t="n">
        <v>11000</v>
      </c>
      <c r="R44" s="25" t="n">
        <v>3</v>
      </c>
      <c r="S44" s="28" t="n">
        <v>2500</v>
      </c>
      <c r="T44" s="29" t="n">
        <v>1</v>
      </c>
      <c r="U44" s="27" t="n">
        <f aca="false">IF(OR(S44="",Q44=""),"",IF(R44=3,S44*1000/(SQRT(3)*Q44*T44),S44*1000/(Q44*T44)))</f>
        <v>131.21597027037</v>
      </c>
      <c r="V44" s="27" t="n">
        <f aca="false">IF(OR(AO44="",AL44=""),"",AO44*AL44)</f>
        <v>200</v>
      </c>
      <c r="W44" s="27" t="n">
        <f aca="false">IF(V44="","",V44*K44)</f>
        <v>200</v>
      </c>
      <c r="X44" s="30" t="n">
        <f aca="false">IF(OR(U44="",W44=""),"",U44/W44)</f>
        <v>0.656079851351847</v>
      </c>
      <c r="Y44" s="30" t="n">
        <f aca="false">IF(OR(U44="",AP44=""),"",AP44*(U44/K44)*O44/1000/Q44)</f>
        <v>0.000336390032874947</v>
      </c>
      <c r="Z44" s="30" t="n">
        <f aca="false">IF(U44="","",IFERROR(IF(INDEX('Design Basis'!$C$13:$C$21,MATCH(C44,'Design Basis'!$A$13:$A$21,0))="","",INDEX('Design Basis'!$C$13:$C$21,MATCH(C44,'Design Basis'!$A$13:$A$21,0))),""))</f>
        <v>0.03</v>
      </c>
      <c r="AA44" s="31" t="str">
        <f aca="false">IF(U44="","n/a",IF(W44="","CHECK",IF(AND(X44&lt;=1,OR(Y44="",Z44="",Y44&lt;=Z44)),"OK","CHECK")))</f>
        <v>OK</v>
      </c>
      <c r="AB44" s="27" t="n">
        <f aca="false">IF(AN44="","",K44*AM44*PI()/4*AN44^2)</f>
        <v>3117.24531052447</v>
      </c>
      <c r="AC44" s="31" t="s">
        <v>613</v>
      </c>
      <c r="AE44" s="32" t="n">
        <f aca="false">INDEX(Equipment!$D$2:$D$137,MATCH(E44,Equipment!$A$2:$A$137,0))</f>
        <v>2.2</v>
      </c>
      <c r="AF44" s="32" t="n">
        <f aca="false">INDEX(Equipment!$E$2:$E$137,MATCH(E44,Equipment!$A$2:$A$137,0))</f>
        <v>75.65</v>
      </c>
      <c r="AG44" s="32" t="n">
        <f aca="false">INDEX(Equipment!$F$2:$F$137,MATCH(E44,Equipment!$A$2:$A$137,0))</f>
        <v>1.5</v>
      </c>
      <c r="AH44" s="32" t="n">
        <f aca="false">INDEX(Equipment!$D$2:$D$137,MATCH(G44,Equipment!$A$2:$A$137,0))</f>
        <v>12</v>
      </c>
      <c r="AI44" s="32" t="n">
        <f aca="false">INDEX(Equipment!$E$2:$E$137,MATCH(G44,Equipment!$A$2:$A$137,0))</f>
        <v>99</v>
      </c>
      <c r="AJ44" s="32" t="n">
        <f aca="false">INDEX(Equipment!$F$2:$F$137,MATCH(G44,Equipment!$A$2:$A$137,0))</f>
        <v>0.5</v>
      </c>
      <c r="AK44" s="32" t="n">
        <f aca="false">IF(INDEX(Raceways!$D$2:$D$18,MATCH(L44,Raceways!$A$2:$A$18,0))="",0,INDEX(Raceways!$D$2:$D$18,MATCH(L44,Raceways!$A$2:$A$18,0)))</f>
        <v>3</v>
      </c>
      <c r="AL44" s="33" t="n">
        <f aca="false">IF(INDEX(Raceways!$I$2:$I$18,MATCH(L44,Raceways!$A$2:$A$18,0))="","",INDEX(Raceways!$I$2:$I$18,MATCH(L44,Raceways!$A$2:$A$18,0)))</f>
        <v>0.8</v>
      </c>
      <c r="AM44" s="26" t="n">
        <f aca="false">INDEX('Cable Types'!$D$2:$D$41,MATCH(I44,'Cable Types'!$A$2:$A$41,0))</f>
        <v>1</v>
      </c>
      <c r="AN44" s="26" t="n">
        <f aca="false">IF(INDEX('Cable Types'!$E$2:$E$41,MATCH(I44,'Cable Types'!$A$2:$A$41,0))="","",INDEX('Cable Types'!$E$2:$E$41,MATCH(I44,'Cable Types'!$A$2:$A$41,0)))</f>
        <v>63</v>
      </c>
      <c r="AO44" s="26" t="n">
        <f aca="false">IF(INDEX('Cable Types'!$F$2:$F$41,MATCH(I44,'Cable Types'!$A$2:$A$41,0))="","",INDEX('Cable Types'!$F$2:$F$41,MATCH(I44,'Cable Types'!$A$2:$A$41,0)))</f>
        <v>250</v>
      </c>
      <c r="AP44" s="33" t="n">
        <f aca="false">IF(INDEX('Cable Types'!$G$2:$G$41,MATCH(I44,'Cable Types'!$A$2:$A$41,0))="","",INDEX('Cable Types'!$G$2:$G$41,MATCH(I44,'Cable Types'!$A$2:$A$41,0)))</f>
        <v>0.6</v>
      </c>
    </row>
    <row r="45" customFormat="false" ht="15" hidden="false" customHeight="false" outlineLevel="0" collapsed="false">
      <c r="A45" s="25" t="s">
        <v>718</v>
      </c>
      <c r="B45" s="25" t="s">
        <v>127</v>
      </c>
      <c r="C45" s="25" t="s">
        <v>65</v>
      </c>
      <c r="D45" s="25" t="s">
        <v>719</v>
      </c>
      <c r="E45" s="25" t="s">
        <v>359</v>
      </c>
      <c r="F45" s="26" t="str">
        <f aca="false">INDEX(Equipment!$B$2:$B$137,MATCH(E45,Equipment!$A$2:$A$137,0))</f>
        <v>Gas engine genset 3 (40 ft container) 2.5 MVA, 11 kV - terminal box</v>
      </c>
      <c r="G45" s="25" t="s">
        <v>341</v>
      </c>
      <c r="H45" s="26" t="str">
        <f aca="false">INDEX(Equipment!$B$2:$B$137,MATCH(G45,Equipment!$A$2:$A$137,0))</f>
        <v>RICE 11 kV collector switchgear e-house</v>
      </c>
      <c r="I45" s="25" t="s">
        <v>508</v>
      </c>
      <c r="J45" s="26" t="str">
        <f aca="false">INDEX('Cable Types'!$B$2:$B$41,MATCH(I45,'Cable Types'!$A$2:$A$41,0))</f>
        <v>6.35/11 kV 3C 70 mm2 Cu/XLPE/SWA/PVC</v>
      </c>
      <c r="K45" s="25" t="n">
        <v>1</v>
      </c>
      <c r="L45" s="25" t="s">
        <v>715</v>
      </c>
      <c r="M45" s="25" t="s">
        <v>638</v>
      </c>
      <c r="N45" s="25"/>
      <c r="O45" s="27" t="n">
        <f aca="false">IF(N45&lt;&gt;"",N45,IF(M45="D",ROUNDUP(SQRT((AH45-AE45)^2+(AI45-AF45)^2+(AJ45-AG45)^2)*(1+'Design Basis'!$C$6),0),ROUNDUP((ABS(AH45-AE45)+ABS(AI45-AF45)+ABS(AK45-AG45)+ABS(AK45-AJ45))*(1+'Design Basis'!$C$4)+2*'Design Basis'!$C$5,0)))</f>
        <v>43</v>
      </c>
      <c r="P45" s="27" t="n">
        <f aca="false">O45*K45*AM45</f>
        <v>43</v>
      </c>
      <c r="Q45" s="28" t="n">
        <v>11000</v>
      </c>
      <c r="R45" s="25" t="n">
        <v>3</v>
      </c>
      <c r="S45" s="28" t="n">
        <v>2500</v>
      </c>
      <c r="T45" s="29" t="n">
        <v>1</v>
      </c>
      <c r="U45" s="27" t="n">
        <f aca="false">IF(OR(S45="",Q45=""),"",IF(R45=3,S45*1000/(SQRT(3)*Q45*T45),S45*1000/(Q45*T45)))</f>
        <v>131.21597027037</v>
      </c>
      <c r="V45" s="27" t="n">
        <f aca="false">IF(OR(AO45="",AL45=""),"",AO45*AL45)</f>
        <v>200</v>
      </c>
      <c r="W45" s="27" t="n">
        <f aca="false">IF(V45="","",V45*K45)</f>
        <v>200</v>
      </c>
      <c r="X45" s="30" t="n">
        <f aca="false">IF(OR(U45="",W45=""),"",U45/W45)</f>
        <v>0.656079851351847</v>
      </c>
      <c r="Y45" s="30" t="n">
        <f aca="false">IF(OR(U45="",AP45=""),"",AP45*(U45/K45)*O45/1000/Q45)</f>
        <v>0.000307761093906867</v>
      </c>
      <c r="Z45" s="30" t="n">
        <f aca="false">IF(U45="","",IFERROR(IF(INDEX('Design Basis'!$C$13:$C$21,MATCH(C45,'Design Basis'!$A$13:$A$21,0))="","",INDEX('Design Basis'!$C$13:$C$21,MATCH(C45,'Design Basis'!$A$13:$A$21,0))),""))</f>
        <v>0.03</v>
      </c>
      <c r="AA45" s="31" t="str">
        <f aca="false">IF(U45="","n/a",IF(W45="","CHECK",IF(AND(X45&lt;=1,OR(Y45="",Z45="",Y45&lt;=Z45)),"OK","CHECK")))</f>
        <v>OK</v>
      </c>
      <c r="AB45" s="27" t="n">
        <f aca="false">IF(AN45="","",K45*AM45*PI()/4*AN45^2)</f>
        <v>3117.24531052447</v>
      </c>
      <c r="AC45" s="31" t="s">
        <v>613</v>
      </c>
      <c r="AE45" s="32" t="n">
        <f aca="false">INDEX(Equipment!$D$2:$D$137,MATCH(E45,Equipment!$A$2:$A$137,0))</f>
        <v>2.2</v>
      </c>
      <c r="AF45" s="32" t="n">
        <f aca="false">INDEX(Equipment!$E$2:$E$137,MATCH(E45,Equipment!$A$2:$A$137,0))</f>
        <v>79.85</v>
      </c>
      <c r="AG45" s="32" t="n">
        <f aca="false">INDEX(Equipment!$F$2:$F$137,MATCH(E45,Equipment!$A$2:$A$137,0))</f>
        <v>1.5</v>
      </c>
      <c r="AH45" s="32" t="n">
        <f aca="false">INDEX(Equipment!$D$2:$D$137,MATCH(G45,Equipment!$A$2:$A$137,0))</f>
        <v>12</v>
      </c>
      <c r="AI45" s="32" t="n">
        <f aca="false">INDEX(Equipment!$E$2:$E$137,MATCH(G45,Equipment!$A$2:$A$137,0))</f>
        <v>99</v>
      </c>
      <c r="AJ45" s="32" t="n">
        <f aca="false">INDEX(Equipment!$F$2:$F$137,MATCH(G45,Equipment!$A$2:$A$137,0))</f>
        <v>0.5</v>
      </c>
      <c r="AK45" s="32" t="n">
        <f aca="false">IF(INDEX(Raceways!$D$2:$D$18,MATCH(L45,Raceways!$A$2:$A$18,0))="",0,INDEX(Raceways!$D$2:$D$18,MATCH(L45,Raceways!$A$2:$A$18,0)))</f>
        <v>3</v>
      </c>
      <c r="AL45" s="33" t="n">
        <f aca="false">IF(INDEX(Raceways!$I$2:$I$18,MATCH(L45,Raceways!$A$2:$A$18,0))="","",INDEX(Raceways!$I$2:$I$18,MATCH(L45,Raceways!$A$2:$A$18,0)))</f>
        <v>0.8</v>
      </c>
      <c r="AM45" s="26" t="n">
        <f aca="false">INDEX('Cable Types'!$D$2:$D$41,MATCH(I45,'Cable Types'!$A$2:$A$41,0))</f>
        <v>1</v>
      </c>
      <c r="AN45" s="26" t="n">
        <f aca="false">IF(INDEX('Cable Types'!$E$2:$E$41,MATCH(I45,'Cable Types'!$A$2:$A$41,0))="","",INDEX('Cable Types'!$E$2:$E$41,MATCH(I45,'Cable Types'!$A$2:$A$41,0)))</f>
        <v>63</v>
      </c>
      <c r="AO45" s="26" t="n">
        <f aca="false">IF(INDEX('Cable Types'!$F$2:$F$41,MATCH(I45,'Cable Types'!$A$2:$A$41,0))="","",INDEX('Cable Types'!$F$2:$F$41,MATCH(I45,'Cable Types'!$A$2:$A$41,0)))</f>
        <v>250</v>
      </c>
      <c r="AP45" s="33" t="n">
        <f aca="false">IF(INDEX('Cable Types'!$G$2:$G$41,MATCH(I45,'Cable Types'!$A$2:$A$41,0))="","",INDEX('Cable Types'!$G$2:$G$41,MATCH(I45,'Cable Types'!$A$2:$A$41,0)))</f>
        <v>0.6</v>
      </c>
    </row>
    <row r="46" customFormat="false" ht="15" hidden="false" customHeight="false" outlineLevel="0" collapsed="false">
      <c r="A46" s="25" t="s">
        <v>720</v>
      </c>
      <c r="B46" s="25" t="s">
        <v>127</v>
      </c>
      <c r="C46" s="25" t="s">
        <v>65</v>
      </c>
      <c r="D46" s="25" t="s">
        <v>721</v>
      </c>
      <c r="E46" s="25" t="s">
        <v>362</v>
      </c>
      <c r="F46" s="26" t="str">
        <f aca="false">INDEX(Equipment!$B$2:$B$137,MATCH(E46,Equipment!$A$2:$A$137,0))</f>
        <v>Gas engine genset 4 (40 ft container) 2.5 MVA, 11 kV - terminal box</v>
      </c>
      <c r="G46" s="25" t="s">
        <v>341</v>
      </c>
      <c r="H46" s="26" t="str">
        <f aca="false">INDEX(Equipment!$B$2:$B$137,MATCH(G46,Equipment!$A$2:$A$137,0))</f>
        <v>RICE 11 kV collector switchgear e-house</v>
      </c>
      <c r="I46" s="25" t="s">
        <v>508</v>
      </c>
      <c r="J46" s="26" t="str">
        <f aca="false">INDEX('Cable Types'!$B$2:$B$41,MATCH(I46,'Cable Types'!$A$2:$A$41,0))</f>
        <v>6.35/11 kV 3C 70 mm2 Cu/XLPE/SWA/PVC</v>
      </c>
      <c r="K46" s="25" t="n">
        <v>1</v>
      </c>
      <c r="L46" s="25" t="s">
        <v>715</v>
      </c>
      <c r="M46" s="25" t="s">
        <v>638</v>
      </c>
      <c r="N46" s="25"/>
      <c r="O46" s="27" t="n">
        <f aca="false">IF(N46&lt;&gt;"",N46,IF(M46="D",ROUNDUP(SQRT((AH46-AE46)^2+(AI46-AF46)^2+(AJ46-AG46)^2)*(1+'Design Basis'!$C$6),0),ROUNDUP((ABS(AH46-AE46)+ABS(AI46-AF46)+ABS(AK46-AG46)+ABS(AK46-AJ46))*(1+'Design Basis'!$C$4)+2*'Design Basis'!$C$5,0)))</f>
        <v>38</v>
      </c>
      <c r="P46" s="27" t="n">
        <f aca="false">O46*K46*AM46</f>
        <v>38</v>
      </c>
      <c r="Q46" s="28" t="n">
        <v>11000</v>
      </c>
      <c r="R46" s="25" t="n">
        <v>3</v>
      </c>
      <c r="S46" s="28" t="n">
        <v>2500</v>
      </c>
      <c r="T46" s="29" t="n">
        <v>1</v>
      </c>
      <c r="U46" s="27" t="n">
        <f aca="false">IF(OR(S46="",Q46=""),"",IF(R46=3,S46*1000/(SQRT(3)*Q46*T46),S46*1000/(Q46*T46)))</f>
        <v>131.21597027037</v>
      </c>
      <c r="V46" s="27" t="n">
        <f aca="false">IF(OR(AO46="",AL46=""),"",AO46*AL46)</f>
        <v>200</v>
      </c>
      <c r="W46" s="27" t="n">
        <f aca="false">IF(V46="","",V46*K46)</f>
        <v>200</v>
      </c>
      <c r="X46" s="30" t="n">
        <f aca="false">IF(OR(U46="",W46=""),"",U46/W46)</f>
        <v>0.656079851351847</v>
      </c>
      <c r="Y46" s="30" t="n">
        <f aca="false">IF(OR(U46="",AP46=""),"",AP46*(U46/K46)*O46/1000/Q46)</f>
        <v>0.000271974920196766</v>
      </c>
      <c r="Z46" s="30" t="n">
        <f aca="false">IF(U46="","",IFERROR(IF(INDEX('Design Basis'!$C$13:$C$21,MATCH(C46,'Design Basis'!$A$13:$A$21,0))="","",INDEX('Design Basis'!$C$13:$C$21,MATCH(C46,'Design Basis'!$A$13:$A$21,0))),""))</f>
        <v>0.03</v>
      </c>
      <c r="AA46" s="31" t="str">
        <f aca="false">IF(U46="","n/a",IF(W46="","CHECK",IF(AND(X46&lt;=1,OR(Y46="",Z46="",Y46&lt;=Z46)),"OK","CHECK")))</f>
        <v>OK</v>
      </c>
      <c r="AB46" s="27" t="n">
        <f aca="false">IF(AN46="","",K46*AM46*PI()/4*AN46^2)</f>
        <v>3117.24531052447</v>
      </c>
      <c r="AC46" s="31" t="s">
        <v>613</v>
      </c>
      <c r="AE46" s="32" t="n">
        <f aca="false">INDEX(Equipment!$D$2:$D$137,MATCH(E46,Equipment!$A$2:$A$137,0))</f>
        <v>2.2</v>
      </c>
      <c r="AF46" s="32" t="n">
        <f aca="false">INDEX(Equipment!$E$2:$E$137,MATCH(E46,Equipment!$A$2:$A$137,0))</f>
        <v>84.05</v>
      </c>
      <c r="AG46" s="32" t="n">
        <f aca="false">INDEX(Equipment!$F$2:$F$137,MATCH(E46,Equipment!$A$2:$A$137,0))</f>
        <v>1.5</v>
      </c>
      <c r="AH46" s="32" t="n">
        <f aca="false">INDEX(Equipment!$D$2:$D$137,MATCH(G46,Equipment!$A$2:$A$137,0))</f>
        <v>12</v>
      </c>
      <c r="AI46" s="32" t="n">
        <f aca="false">INDEX(Equipment!$E$2:$E$137,MATCH(G46,Equipment!$A$2:$A$137,0))</f>
        <v>99</v>
      </c>
      <c r="AJ46" s="32" t="n">
        <f aca="false">INDEX(Equipment!$F$2:$F$137,MATCH(G46,Equipment!$A$2:$A$137,0))</f>
        <v>0.5</v>
      </c>
      <c r="AK46" s="32" t="n">
        <f aca="false">IF(INDEX(Raceways!$D$2:$D$18,MATCH(L46,Raceways!$A$2:$A$18,0))="",0,INDEX(Raceways!$D$2:$D$18,MATCH(L46,Raceways!$A$2:$A$18,0)))</f>
        <v>3</v>
      </c>
      <c r="AL46" s="33" t="n">
        <f aca="false">IF(INDEX(Raceways!$I$2:$I$18,MATCH(L46,Raceways!$A$2:$A$18,0))="","",INDEX(Raceways!$I$2:$I$18,MATCH(L46,Raceways!$A$2:$A$18,0)))</f>
        <v>0.8</v>
      </c>
      <c r="AM46" s="26" t="n">
        <f aca="false">INDEX('Cable Types'!$D$2:$D$41,MATCH(I46,'Cable Types'!$A$2:$A$41,0))</f>
        <v>1</v>
      </c>
      <c r="AN46" s="26" t="n">
        <f aca="false">IF(INDEX('Cable Types'!$E$2:$E$41,MATCH(I46,'Cable Types'!$A$2:$A$41,0))="","",INDEX('Cable Types'!$E$2:$E$41,MATCH(I46,'Cable Types'!$A$2:$A$41,0)))</f>
        <v>63</v>
      </c>
      <c r="AO46" s="26" t="n">
        <f aca="false">IF(INDEX('Cable Types'!$F$2:$F$41,MATCH(I46,'Cable Types'!$A$2:$A$41,0))="","",INDEX('Cable Types'!$F$2:$F$41,MATCH(I46,'Cable Types'!$A$2:$A$41,0)))</f>
        <v>250</v>
      </c>
      <c r="AP46" s="33" t="n">
        <f aca="false">IF(INDEX('Cable Types'!$G$2:$G$41,MATCH(I46,'Cable Types'!$A$2:$A$41,0))="","",INDEX('Cable Types'!$G$2:$G$41,MATCH(I46,'Cable Types'!$A$2:$A$41,0)))</f>
        <v>0.6</v>
      </c>
    </row>
    <row r="47" customFormat="false" ht="15" hidden="false" customHeight="false" outlineLevel="0" collapsed="false">
      <c r="A47" s="25" t="s">
        <v>722</v>
      </c>
      <c r="B47" s="25" t="s">
        <v>127</v>
      </c>
      <c r="C47" s="25" t="s">
        <v>65</v>
      </c>
      <c r="D47" s="25" t="s">
        <v>723</v>
      </c>
      <c r="E47" s="25" t="s">
        <v>365</v>
      </c>
      <c r="F47" s="26" t="str">
        <f aca="false">INDEX(Equipment!$B$2:$B$137,MATCH(E47,Equipment!$A$2:$A$137,0))</f>
        <v>Gas engine genset 5 (40 ft container) 2.5 MVA, 11 kV - terminal box</v>
      </c>
      <c r="G47" s="25" t="s">
        <v>341</v>
      </c>
      <c r="H47" s="26" t="str">
        <f aca="false">INDEX(Equipment!$B$2:$B$137,MATCH(G47,Equipment!$A$2:$A$137,0))</f>
        <v>RICE 11 kV collector switchgear e-house</v>
      </c>
      <c r="I47" s="25" t="s">
        <v>508</v>
      </c>
      <c r="J47" s="26" t="str">
        <f aca="false">INDEX('Cable Types'!$B$2:$B$41,MATCH(I47,'Cable Types'!$A$2:$A$41,0))</f>
        <v>6.35/11 kV 3C 70 mm2 Cu/XLPE/SWA/PVC</v>
      </c>
      <c r="K47" s="25" t="n">
        <v>1</v>
      </c>
      <c r="L47" s="25" t="s">
        <v>715</v>
      </c>
      <c r="M47" s="25" t="s">
        <v>638</v>
      </c>
      <c r="N47" s="25"/>
      <c r="O47" s="27" t="n">
        <f aca="false">IF(N47&lt;&gt;"",N47,IF(M47="D",ROUNDUP(SQRT((AH47-AE47)^2+(AI47-AF47)^2+(AJ47-AG47)^2)*(1+'Design Basis'!$C$6),0),ROUNDUP((ABS(AH47-AE47)+ABS(AI47-AF47)+ABS(AK47-AG47)+ABS(AK47-AJ47))*(1+'Design Basis'!$C$4)+2*'Design Basis'!$C$5,0)))</f>
        <v>34</v>
      </c>
      <c r="P47" s="27" t="n">
        <f aca="false">O47*K47*AM47</f>
        <v>34</v>
      </c>
      <c r="Q47" s="28" t="n">
        <v>11000</v>
      </c>
      <c r="R47" s="25" t="n">
        <v>3</v>
      </c>
      <c r="S47" s="28" t="n">
        <v>2500</v>
      </c>
      <c r="T47" s="29" t="n">
        <v>1</v>
      </c>
      <c r="U47" s="27" t="n">
        <f aca="false">IF(OR(S47="",Q47=""),"",IF(R47=3,S47*1000/(SQRT(3)*Q47*T47),S47*1000/(Q47*T47)))</f>
        <v>131.21597027037</v>
      </c>
      <c r="V47" s="27" t="n">
        <f aca="false">IF(OR(AO47="",AL47=""),"",AO47*AL47)</f>
        <v>200</v>
      </c>
      <c r="W47" s="27" t="n">
        <f aca="false">IF(V47="","",V47*K47)</f>
        <v>200</v>
      </c>
      <c r="X47" s="30" t="n">
        <f aca="false">IF(OR(U47="",W47=""),"",U47/W47)</f>
        <v>0.656079851351847</v>
      </c>
      <c r="Y47" s="30" t="n">
        <f aca="false">IF(OR(U47="",AP47=""),"",AP47*(U47/K47)*O47/1000/Q47)</f>
        <v>0.000243345981228685</v>
      </c>
      <c r="Z47" s="30" t="n">
        <f aca="false">IF(U47="","",IFERROR(IF(INDEX('Design Basis'!$C$13:$C$21,MATCH(C47,'Design Basis'!$A$13:$A$21,0))="","",INDEX('Design Basis'!$C$13:$C$21,MATCH(C47,'Design Basis'!$A$13:$A$21,0))),""))</f>
        <v>0.03</v>
      </c>
      <c r="AA47" s="31" t="str">
        <f aca="false">IF(U47="","n/a",IF(W47="","CHECK",IF(AND(X47&lt;=1,OR(Y47="",Z47="",Y47&lt;=Z47)),"OK","CHECK")))</f>
        <v>OK</v>
      </c>
      <c r="AB47" s="27" t="n">
        <f aca="false">IF(AN47="","",K47*AM47*PI()/4*AN47^2)</f>
        <v>3117.24531052447</v>
      </c>
      <c r="AC47" s="31" t="s">
        <v>613</v>
      </c>
      <c r="AE47" s="32" t="n">
        <f aca="false">INDEX(Equipment!$D$2:$D$137,MATCH(E47,Equipment!$A$2:$A$137,0))</f>
        <v>2.2</v>
      </c>
      <c r="AF47" s="32" t="n">
        <f aca="false">INDEX(Equipment!$E$2:$E$137,MATCH(E47,Equipment!$A$2:$A$137,0))</f>
        <v>88.25</v>
      </c>
      <c r="AG47" s="32" t="n">
        <f aca="false">INDEX(Equipment!$F$2:$F$137,MATCH(E47,Equipment!$A$2:$A$137,0))</f>
        <v>1.5</v>
      </c>
      <c r="AH47" s="32" t="n">
        <f aca="false">INDEX(Equipment!$D$2:$D$137,MATCH(G47,Equipment!$A$2:$A$137,0))</f>
        <v>12</v>
      </c>
      <c r="AI47" s="32" t="n">
        <f aca="false">INDEX(Equipment!$E$2:$E$137,MATCH(G47,Equipment!$A$2:$A$137,0))</f>
        <v>99</v>
      </c>
      <c r="AJ47" s="32" t="n">
        <f aca="false">INDEX(Equipment!$F$2:$F$137,MATCH(G47,Equipment!$A$2:$A$137,0))</f>
        <v>0.5</v>
      </c>
      <c r="AK47" s="32" t="n">
        <f aca="false">IF(INDEX(Raceways!$D$2:$D$18,MATCH(L47,Raceways!$A$2:$A$18,0))="",0,INDEX(Raceways!$D$2:$D$18,MATCH(L47,Raceways!$A$2:$A$18,0)))</f>
        <v>3</v>
      </c>
      <c r="AL47" s="33" t="n">
        <f aca="false">IF(INDEX(Raceways!$I$2:$I$18,MATCH(L47,Raceways!$A$2:$A$18,0))="","",INDEX(Raceways!$I$2:$I$18,MATCH(L47,Raceways!$A$2:$A$18,0)))</f>
        <v>0.8</v>
      </c>
      <c r="AM47" s="26" t="n">
        <f aca="false">INDEX('Cable Types'!$D$2:$D$41,MATCH(I47,'Cable Types'!$A$2:$A$41,0))</f>
        <v>1</v>
      </c>
      <c r="AN47" s="26" t="n">
        <f aca="false">IF(INDEX('Cable Types'!$E$2:$E$41,MATCH(I47,'Cable Types'!$A$2:$A$41,0))="","",INDEX('Cable Types'!$E$2:$E$41,MATCH(I47,'Cable Types'!$A$2:$A$41,0)))</f>
        <v>63</v>
      </c>
      <c r="AO47" s="26" t="n">
        <f aca="false">IF(INDEX('Cable Types'!$F$2:$F$41,MATCH(I47,'Cable Types'!$A$2:$A$41,0))="","",INDEX('Cable Types'!$F$2:$F$41,MATCH(I47,'Cable Types'!$A$2:$A$41,0)))</f>
        <v>250</v>
      </c>
      <c r="AP47" s="33" t="n">
        <f aca="false">IF(INDEX('Cable Types'!$G$2:$G$41,MATCH(I47,'Cable Types'!$A$2:$A$41,0))="","",INDEX('Cable Types'!$G$2:$G$41,MATCH(I47,'Cable Types'!$A$2:$A$41,0)))</f>
        <v>0.6</v>
      </c>
    </row>
    <row r="48" customFormat="false" ht="15" hidden="false" customHeight="false" outlineLevel="0" collapsed="false">
      <c r="A48" s="25" t="s">
        <v>724</v>
      </c>
      <c r="B48" s="25" t="s">
        <v>127</v>
      </c>
      <c r="C48" s="25" t="s">
        <v>65</v>
      </c>
      <c r="D48" s="25" t="s">
        <v>725</v>
      </c>
      <c r="E48" s="25" t="s">
        <v>368</v>
      </c>
      <c r="F48" s="26" t="str">
        <f aca="false">INDEX(Equipment!$B$2:$B$137,MATCH(E48,Equipment!$A$2:$A$137,0))</f>
        <v>Gas engine genset 6 (40 ft container) 2.5 MVA, 11 kV - terminal box</v>
      </c>
      <c r="G48" s="25" t="s">
        <v>341</v>
      </c>
      <c r="H48" s="26" t="str">
        <f aca="false">INDEX(Equipment!$B$2:$B$137,MATCH(G48,Equipment!$A$2:$A$137,0))</f>
        <v>RICE 11 kV collector switchgear e-house</v>
      </c>
      <c r="I48" s="25" t="s">
        <v>508</v>
      </c>
      <c r="J48" s="26" t="str">
        <f aca="false">INDEX('Cable Types'!$B$2:$B$41,MATCH(I48,'Cable Types'!$A$2:$A$41,0))</f>
        <v>6.35/11 kV 3C 70 mm2 Cu/XLPE/SWA/PVC</v>
      </c>
      <c r="K48" s="25" t="n">
        <v>1</v>
      </c>
      <c r="L48" s="25" t="s">
        <v>715</v>
      </c>
      <c r="M48" s="25" t="s">
        <v>638</v>
      </c>
      <c r="N48" s="25"/>
      <c r="O48" s="27" t="n">
        <f aca="false">IF(N48&lt;&gt;"",N48,IF(M48="D",ROUNDUP(SQRT((AH48-AE48)^2+(AI48-AF48)^2+(AJ48-AG48)^2)*(1+'Design Basis'!$C$6),0),ROUNDUP((ABS(AH48-AE48)+ABS(AI48-AF48)+ABS(AK48-AG48)+ABS(AK48-AJ48))*(1+'Design Basis'!$C$4)+2*'Design Basis'!$C$5,0)))</f>
        <v>29</v>
      </c>
      <c r="P48" s="27" t="n">
        <f aca="false">O48*K48*AM48</f>
        <v>29</v>
      </c>
      <c r="Q48" s="28" t="n">
        <v>11000</v>
      </c>
      <c r="R48" s="25" t="n">
        <v>3</v>
      </c>
      <c r="S48" s="28" t="n">
        <v>2500</v>
      </c>
      <c r="T48" s="29" t="n">
        <v>1</v>
      </c>
      <c r="U48" s="27" t="n">
        <f aca="false">IF(OR(S48="",Q48=""),"",IF(R48=3,S48*1000/(SQRT(3)*Q48*T48),S48*1000/(Q48*T48)))</f>
        <v>131.21597027037</v>
      </c>
      <c r="V48" s="27" t="n">
        <f aca="false">IF(OR(AO48="",AL48=""),"",AO48*AL48)</f>
        <v>200</v>
      </c>
      <c r="W48" s="27" t="n">
        <f aca="false">IF(V48="","",V48*K48)</f>
        <v>200</v>
      </c>
      <c r="X48" s="30" t="n">
        <f aca="false">IF(OR(U48="",W48=""),"",U48/W48)</f>
        <v>0.656079851351847</v>
      </c>
      <c r="Y48" s="30" t="n">
        <f aca="false">IF(OR(U48="",AP48=""),"",AP48*(U48/K48)*O48/1000/Q48)</f>
        <v>0.000207559807518584</v>
      </c>
      <c r="Z48" s="30" t="n">
        <f aca="false">IF(U48="","",IFERROR(IF(INDEX('Design Basis'!$C$13:$C$21,MATCH(C48,'Design Basis'!$A$13:$A$21,0))="","",INDEX('Design Basis'!$C$13:$C$21,MATCH(C48,'Design Basis'!$A$13:$A$21,0))),""))</f>
        <v>0.03</v>
      </c>
      <c r="AA48" s="31" t="str">
        <f aca="false">IF(U48="","n/a",IF(W48="","CHECK",IF(AND(X48&lt;=1,OR(Y48="",Z48="",Y48&lt;=Z48)),"OK","CHECK")))</f>
        <v>OK</v>
      </c>
      <c r="AB48" s="27" t="n">
        <f aca="false">IF(AN48="","",K48*AM48*PI()/4*AN48^2)</f>
        <v>3117.24531052447</v>
      </c>
      <c r="AC48" s="31" t="s">
        <v>613</v>
      </c>
      <c r="AE48" s="32" t="n">
        <f aca="false">INDEX(Equipment!$D$2:$D$137,MATCH(E48,Equipment!$A$2:$A$137,0))</f>
        <v>2.2</v>
      </c>
      <c r="AF48" s="32" t="n">
        <f aca="false">INDEX(Equipment!$E$2:$E$137,MATCH(E48,Equipment!$A$2:$A$137,0))</f>
        <v>92.45</v>
      </c>
      <c r="AG48" s="32" t="n">
        <f aca="false">INDEX(Equipment!$F$2:$F$137,MATCH(E48,Equipment!$A$2:$A$137,0))</f>
        <v>1.5</v>
      </c>
      <c r="AH48" s="32" t="n">
        <f aca="false">INDEX(Equipment!$D$2:$D$137,MATCH(G48,Equipment!$A$2:$A$137,0))</f>
        <v>12</v>
      </c>
      <c r="AI48" s="32" t="n">
        <f aca="false">INDEX(Equipment!$E$2:$E$137,MATCH(G48,Equipment!$A$2:$A$137,0))</f>
        <v>99</v>
      </c>
      <c r="AJ48" s="32" t="n">
        <f aca="false">INDEX(Equipment!$F$2:$F$137,MATCH(G48,Equipment!$A$2:$A$137,0))</f>
        <v>0.5</v>
      </c>
      <c r="AK48" s="32" t="n">
        <f aca="false">IF(INDEX(Raceways!$D$2:$D$18,MATCH(L48,Raceways!$A$2:$A$18,0))="",0,INDEX(Raceways!$D$2:$D$18,MATCH(L48,Raceways!$A$2:$A$18,0)))</f>
        <v>3</v>
      </c>
      <c r="AL48" s="33" t="n">
        <f aca="false">IF(INDEX(Raceways!$I$2:$I$18,MATCH(L48,Raceways!$A$2:$A$18,0))="","",INDEX(Raceways!$I$2:$I$18,MATCH(L48,Raceways!$A$2:$A$18,0)))</f>
        <v>0.8</v>
      </c>
      <c r="AM48" s="26" t="n">
        <f aca="false">INDEX('Cable Types'!$D$2:$D$41,MATCH(I48,'Cable Types'!$A$2:$A$41,0))</f>
        <v>1</v>
      </c>
      <c r="AN48" s="26" t="n">
        <f aca="false">IF(INDEX('Cable Types'!$E$2:$E$41,MATCH(I48,'Cable Types'!$A$2:$A$41,0))="","",INDEX('Cable Types'!$E$2:$E$41,MATCH(I48,'Cable Types'!$A$2:$A$41,0)))</f>
        <v>63</v>
      </c>
      <c r="AO48" s="26" t="n">
        <f aca="false">IF(INDEX('Cable Types'!$F$2:$F$41,MATCH(I48,'Cable Types'!$A$2:$A$41,0))="","",INDEX('Cable Types'!$F$2:$F$41,MATCH(I48,'Cable Types'!$A$2:$A$41,0)))</f>
        <v>250</v>
      </c>
      <c r="AP48" s="33" t="n">
        <f aca="false">IF(INDEX('Cable Types'!$G$2:$G$41,MATCH(I48,'Cable Types'!$A$2:$A$41,0))="","",INDEX('Cable Types'!$G$2:$G$41,MATCH(I48,'Cable Types'!$A$2:$A$41,0)))</f>
        <v>0.6</v>
      </c>
    </row>
    <row r="49" customFormat="false" ht="15" hidden="false" customHeight="false" outlineLevel="0" collapsed="false">
      <c r="A49" s="25" t="s">
        <v>726</v>
      </c>
      <c r="B49" s="25" t="s">
        <v>127</v>
      </c>
      <c r="C49" s="25" t="s">
        <v>65</v>
      </c>
      <c r="D49" s="25" t="s">
        <v>727</v>
      </c>
      <c r="E49" s="25" t="s">
        <v>371</v>
      </c>
      <c r="F49" s="26" t="str">
        <f aca="false">INDEX(Equipment!$B$2:$B$137,MATCH(E49,Equipment!$A$2:$A$137,0))</f>
        <v>Gas engine genset 7 (40 ft container) 2.5 MVA, 11 kV - terminal box</v>
      </c>
      <c r="G49" s="25" t="s">
        <v>341</v>
      </c>
      <c r="H49" s="26" t="str">
        <f aca="false">INDEX(Equipment!$B$2:$B$137,MATCH(G49,Equipment!$A$2:$A$137,0))</f>
        <v>RICE 11 kV collector switchgear e-house</v>
      </c>
      <c r="I49" s="25" t="s">
        <v>508</v>
      </c>
      <c r="J49" s="26" t="str">
        <f aca="false">INDEX('Cable Types'!$B$2:$B$41,MATCH(I49,'Cable Types'!$A$2:$A$41,0))</f>
        <v>6.35/11 kV 3C 70 mm2 Cu/XLPE/SWA/PVC</v>
      </c>
      <c r="K49" s="25" t="n">
        <v>1</v>
      </c>
      <c r="L49" s="25" t="s">
        <v>715</v>
      </c>
      <c r="M49" s="25" t="s">
        <v>638</v>
      </c>
      <c r="N49" s="25"/>
      <c r="O49" s="27" t="n">
        <f aca="false">IF(N49&lt;&gt;"",N49,IF(M49="D",ROUNDUP(SQRT((AH49-AE49)^2+(AI49-AF49)^2+(AJ49-AG49)^2)*(1+'Design Basis'!$C$6),0),ROUNDUP((ABS(AH49-AE49)+ABS(AI49-AF49)+ABS(AK49-AG49)+ABS(AK49-AJ49))*(1+'Design Basis'!$C$4)+2*'Design Basis'!$C$5,0)))</f>
        <v>24</v>
      </c>
      <c r="P49" s="27" t="n">
        <f aca="false">O49*K49*AM49</f>
        <v>24</v>
      </c>
      <c r="Q49" s="28" t="n">
        <v>11000</v>
      </c>
      <c r="R49" s="25" t="n">
        <v>3</v>
      </c>
      <c r="S49" s="28" t="n">
        <v>2500</v>
      </c>
      <c r="T49" s="29" t="n">
        <v>1</v>
      </c>
      <c r="U49" s="27" t="n">
        <f aca="false">IF(OR(S49="",Q49=""),"",IF(R49=3,S49*1000/(SQRT(3)*Q49*T49),S49*1000/(Q49*T49)))</f>
        <v>131.21597027037</v>
      </c>
      <c r="V49" s="27" t="n">
        <f aca="false">IF(OR(AO49="",AL49=""),"",AO49*AL49)</f>
        <v>200</v>
      </c>
      <c r="W49" s="27" t="n">
        <f aca="false">IF(V49="","",V49*K49)</f>
        <v>200</v>
      </c>
      <c r="X49" s="30" t="n">
        <f aca="false">IF(OR(U49="",W49=""),"",U49/W49)</f>
        <v>0.656079851351847</v>
      </c>
      <c r="Y49" s="30" t="n">
        <f aca="false">IF(OR(U49="",AP49=""),"",AP49*(U49/K49)*O49/1000/Q49)</f>
        <v>0.000171773633808484</v>
      </c>
      <c r="Z49" s="30" t="n">
        <f aca="false">IF(U49="","",IFERROR(IF(INDEX('Design Basis'!$C$13:$C$21,MATCH(C49,'Design Basis'!$A$13:$A$21,0))="","",INDEX('Design Basis'!$C$13:$C$21,MATCH(C49,'Design Basis'!$A$13:$A$21,0))),""))</f>
        <v>0.03</v>
      </c>
      <c r="AA49" s="31" t="str">
        <f aca="false">IF(U49="","n/a",IF(W49="","CHECK",IF(AND(X49&lt;=1,OR(Y49="",Z49="",Y49&lt;=Z49)),"OK","CHECK")))</f>
        <v>OK</v>
      </c>
      <c r="AB49" s="27" t="n">
        <f aca="false">IF(AN49="","",K49*AM49*PI()/4*AN49^2)</f>
        <v>3117.24531052447</v>
      </c>
      <c r="AC49" s="31" t="s">
        <v>613</v>
      </c>
      <c r="AE49" s="32" t="n">
        <f aca="false">INDEX(Equipment!$D$2:$D$137,MATCH(E49,Equipment!$A$2:$A$137,0))</f>
        <v>2.2</v>
      </c>
      <c r="AF49" s="32" t="n">
        <f aca="false">INDEX(Equipment!$E$2:$E$137,MATCH(E49,Equipment!$A$2:$A$137,0))</f>
        <v>96.65</v>
      </c>
      <c r="AG49" s="32" t="n">
        <f aca="false">INDEX(Equipment!$F$2:$F$137,MATCH(E49,Equipment!$A$2:$A$137,0))</f>
        <v>1.5</v>
      </c>
      <c r="AH49" s="32" t="n">
        <f aca="false">INDEX(Equipment!$D$2:$D$137,MATCH(G49,Equipment!$A$2:$A$137,0))</f>
        <v>12</v>
      </c>
      <c r="AI49" s="32" t="n">
        <f aca="false">INDEX(Equipment!$E$2:$E$137,MATCH(G49,Equipment!$A$2:$A$137,0))</f>
        <v>99</v>
      </c>
      <c r="AJ49" s="32" t="n">
        <f aca="false">INDEX(Equipment!$F$2:$F$137,MATCH(G49,Equipment!$A$2:$A$137,0))</f>
        <v>0.5</v>
      </c>
      <c r="AK49" s="32" t="n">
        <f aca="false">IF(INDEX(Raceways!$D$2:$D$18,MATCH(L49,Raceways!$A$2:$A$18,0))="",0,INDEX(Raceways!$D$2:$D$18,MATCH(L49,Raceways!$A$2:$A$18,0)))</f>
        <v>3</v>
      </c>
      <c r="AL49" s="33" t="n">
        <f aca="false">IF(INDEX(Raceways!$I$2:$I$18,MATCH(L49,Raceways!$A$2:$A$18,0))="","",INDEX(Raceways!$I$2:$I$18,MATCH(L49,Raceways!$A$2:$A$18,0)))</f>
        <v>0.8</v>
      </c>
      <c r="AM49" s="26" t="n">
        <f aca="false">INDEX('Cable Types'!$D$2:$D$41,MATCH(I49,'Cable Types'!$A$2:$A$41,0))</f>
        <v>1</v>
      </c>
      <c r="AN49" s="26" t="n">
        <f aca="false">IF(INDEX('Cable Types'!$E$2:$E$41,MATCH(I49,'Cable Types'!$A$2:$A$41,0))="","",INDEX('Cable Types'!$E$2:$E$41,MATCH(I49,'Cable Types'!$A$2:$A$41,0)))</f>
        <v>63</v>
      </c>
      <c r="AO49" s="26" t="n">
        <f aca="false">IF(INDEX('Cable Types'!$F$2:$F$41,MATCH(I49,'Cable Types'!$A$2:$A$41,0))="","",INDEX('Cable Types'!$F$2:$F$41,MATCH(I49,'Cable Types'!$A$2:$A$41,0)))</f>
        <v>250</v>
      </c>
      <c r="AP49" s="33" t="n">
        <f aca="false">IF(INDEX('Cable Types'!$G$2:$G$41,MATCH(I49,'Cable Types'!$A$2:$A$41,0))="","",INDEX('Cable Types'!$G$2:$G$41,MATCH(I49,'Cable Types'!$A$2:$A$41,0)))</f>
        <v>0.6</v>
      </c>
    </row>
    <row r="50" customFormat="false" ht="15" hidden="false" customHeight="false" outlineLevel="0" collapsed="false">
      <c r="A50" s="25" t="s">
        <v>728</v>
      </c>
      <c r="B50" s="25" t="s">
        <v>127</v>
      </c>
      <c r="C50" s="25" t="s">
        <v>65</v>
      </c>
      <c r="D50" s="25" t="s">
        <v>729</v>
      </c>
      <c r="E50" s="25" t="s">
        <v>374</v>
      </c>
      <c r="F50" s="26" t="str">
        <f aca="false">INDEX(Equipment!$B$2:$B$137,MATCH(E50,Equipment!$A$2:$A$137,0))</f>
        <v>Gas engine genset 8 (40 ft container) 2.5 MVA, 11 kV - terminal box</v>
      </c>
      <c r="G50" s="25" t="s">
        <v>341</v>
      </c>
      <c r="H50" s="26" t="str">
        <f aca="false">INDEX(Equipment!$B$2:$B$137,MATCH(G50,Equipment!$A$2:$A$137,0))</f>
        <v>RICE 11 kV collector switchgear e-house</v>
      </c>
      <c r="I50" s="25" t="s">
        <v>508</v>
      </c>
      <c r="J50" s="26" t="str">
        <f aca="false">INDEX('Cable Types'!$B$2:$B$41,MATCH(I50,'Cable Types'!$A$2:$A$41,0))</f>
        <v>6.35/11 kV 3C 70 mm2 Cu/XLPE/SWA/PVC</v>
      </c>
      <c r="K50" s="25" t="n">
        <v>1</v>
      </c>
      <c r="L50" s="25" t="s">
        <v>715</v>
      </c>
      <c r="M50" s="25" t="s">
        <v>638</v>
      </c>
      <c r="N50" s="25"/>
      <c r="O50" s="27" t="n">
        <f aca="false">IF(N50&lt;&gt;"",N50,IF(M50="D",ROUNDUP(SQRT((AH50-AE50)^2+(AI50-AF50)^2+(AJ50-AG50)^2)*(1+'Design Basis'!$C$6),0),ROUNDUP((ABS(AH50-AE50)+ABS(AI50-AF50)+ABS(AK50-AG50)+ABS(AK50-AJ50))*(1+'Design Basis'!$C$4)+2*'Design Basis'!$C$5,0)))</f>
        <v>24</v>
      </c>
      <c r="P50" s="27" t="n">
        <f aca="false">O50*K50*AM50</f>
        <v>24</v>
      </c>
      <c r="Q50" s="28" t="n">
        <v>11000</v>
      </c>
      <c r="R50" s="25" t="n">
        <v>3</v>
      </c>
      <c r="S50" s="28" t="n">
        <v>2500</v>
      </c>
      <c r="T50" s="29" t="n">
        <v>1</v>
      </c>
      <c r="U50" s="27" t="n">
        <f aca="false">IF(OR(S50="",Q50=""),"",IF(R50=3,S50*1000/(SQRT(3)*Q50*T50),S50*1000/(Q50*T50)))</f>
        <v>131.21597027037</v>
      </c>
      <c r="V50" s="27" t="n">
        <f aca="false">IF(OR(AO50="",AL50=""),"",AO50*AL50)</f>
        <v>200</v>
      </c>
      <c r="W50" s="27" t="n">
        <f aca="false">IF(V50="","",V50*K50)</f>
        <v>200</v>
      </c>
      <c r="X50" s="30" t="n">
        <f aca="false">IF(OR(U50="",W50=""),"",U50/W50)</f>
        <v>0.656079851351847</v>
      </c>
      <c r="Y50" s="30" t="n">
        <f aca="false">IF(OR(U50="",AP50=""),"",AP50*(U50/K50)*O50/1000/Q50)</f>
        <v>0.000171773633808484</v>
      </c>
      <c r="Z50" s="30" t="n">
        <f aca="false">IF(U50="","",IFERROR(IF(INDEX('Design Basis'!$C$13:$C$21,MATCH(C50,'Design Basis'!$A$13:$A$21,0))="","",INDEX('Design Basis'!$C$13:$C$21,MATCH(C50,'Design Basis'!$A$13:$A$21,0))),""))</f>
        <v>0.03</v>
      </c>
      <c r="AA50" s="31" t="str">
        <f aca="false">IF(U50="","n/a",IF(W50="","CHECK",IF(AND(X50&lt;=1,OR(Y50="",Z50="",Y50&lt;=Z50)),"OK","CHECK")))</f>
        <v>OK</v>
      </c>
      <c r="AB50" s="27" t="n">
        <f aca="false">IF(AN50="","",K50*AM50*PI()/4*AN50^2)</f>
        <v>3117.24531052447</v>
      </c>
      <c r="AC50" s="31" t="s">
        <v>613</v>
      </c>
      <c r="AE50" s="32" t="n">
        <f aca="false">INDEX(Equipment!$D$2:$D$137,MATCH(E50,Equipment!$A$2:$A$137,0))</f>
        <v>2.2</v>
      </c>
      <c r="AF50" s="32" t="n">
        <f aca="false">INDEX(Equipment!$E$2:$E$137,MATCH(E50,Equipment!$A$2:$A$137,0))</f>
        <v>100.85</v>
      </c>
      <c r="AG50" s="32" t="n">
        <f aca="false">INDEX(Equipment!$F$2:$F$137,MATCH(E50,Equipment!$A$2:$A$137,0))</f>
        <v>1.5</v>
      </c>
      <c r="AH50" s="32" t="n">
        <f aca="false">INDEX(Equipment!$D$2:$D$137,MATCH(G50,Equipment!$A$2:$A$137,0))</f>
        <v>12</v>
      </c>
      <c r="AI50" s="32" t="n">
        <f aca="false">INDEX(Equipment!$E$2:$E$137,MATCH(G50,Equipment!$A$2:$A$137,0))</f>
        <v>99</v>
      </c>
      <c r="AJ50" s="32" t="n">
        <f aca="false">INDEX(Equipment!$F$2:$F$137,MATCH(G50,Equipment!$A$2:$A$137,0))</f>
        <v>0.5</v>
      </c>
      <c r="AK50" s="32" t="n">
        <f aca="false">IF(INDEX(Raceways!$D$2:$D$18,MATCH(L50,Raceways!$A$2:$A$18,0))="",0,INDEX(Raceways!$D$2:$D$18,MATCH(L50,Raceways!$A$2:$A$18,0)))</f>
        <v>3</v>
      </c>
      <c r="AL50" s="33" t="n">
        <f aca="false">IF(INDEX(Raceways!$I$2:$I$18,MATCH(L50,Raceways!$A$2:$A$18,0))="","",INDEX(Raceways!$I$2:$I$18,MATCH(L50,Raceways!$A$2:$A$18,0)))</f>
        <v>0.8</v>
      </c>
      <c r="AM50" s="26" t="n">
        <f aca="false">INDEX('Cable Types'!$D$2:$D$41,MATCH(I50,'Cable Types'!$A$2:$A$41,0))</f>
        <v>1</v>
      </c>
      <c r="AN50" s="26" t="n">
        <f aca="false">IF(INDEX('Cable Types'!$E$2:$E$41,MATCH(I50,'Cable Types'!$A$2:$A$41,0))="","",INDEX('Cable Types'!$E$2:$E$41,MATCH(I50,'Cable Types'!$A$2:$A$41,0)))</f>
        <v>63</v>
      </c>
      <c r="AO50" s="26" t="n">
        <f aca="false">IF(INDEX('Cable Types'!$F$2:$F$41,MATCH(I50,'Cable Types'!$A$2:$A$41,0))="","",INDEX('Cable Types'!$F$2:$F$41,MATCH(I50,'Cable Types'!$A$2:$A$41,0)))</f>
        <v>250</v>
      </c>
      <c r="AP50" s="33" t="n">
        <f aca="false">IF(INDEX('Cable Types'!$G$2:$G$41,MATCH(I50,'Cable Types'!$A$2:$A$41,0))="","",INDEX('Cable Types'!$G$2:$G$41,MATCH(I50,'Cable Types'!$A$2:$A$41,0)))</f>
        <v>0.6</v>
      </c>
    </row>
    <row r="51" customFormat="false" ht="15" hidden="false" customHeight="false" outlineLevel="0" collapsed="false">
      <c r="A51" s="25" t="s">
        <v>730</v>
      </c>
      <c r="B51" s="25" t="s">
        <v>127</v>
      </c>
      <c r="C51" s="25" t="s">
        <v>65</v>
      </c>
      <c r="D51" s="25" t="s">
        <v>731</v>
      </c>
      <c r="E51" s="25" t="s">
        <v>341</v>
      </c>
      <c r="F51" s="26" t="str">
        <f aca="false">INDEX(Equipment!$B$2:$B$137,MATCH(E51,Equipment!$A$2:$A$137,0))</f>
        <v>RICE 11 kV collector switchgear e-house</v>
      </c>
      <c r="G51" s="25" t="s">
        <v>129</v>
      </c>
      <c r="H51" s="26" t="str">
        <f aca="false">INDEX(Equipment!$B$2:$B$137,MATCH(G51,Equipment!$A$2:$A$137,0))</f>
        <v>RICE step-up transformer 11/230 kV 22 MVA - LV cable box</v>
      </c>
      <c r="I51" s="25" t="s">
        <v>504</v>
      </c>
      <c r="J51" s="26" t="str">
        <f aca="false">INDEX('Cable Types'!$B$2:$B$41,MATCH(I51,'Cable Types'!$A$2:$A$41,0))</f>
        <v>6.35/11 kV 1C 400 mm2 Cu/XLPE/CWS/PVC (trefoil set)</v>
      </c>
      <c r="K51" s="25" t="n">
        <v>3</v>
      </c>
      <c r="L51" s="25" t="s">
        <v>649</v>
      </c>
      <c r="M51" s="25" t="s">
        <v>638</v>
      </c>
      <c r="N51" s="25"/>
      <c r="O51" s="27" t="n">
        <f aca="false">IF(N51&lt;&gt;"",N51,IF(M51="D",ROUNDUP(SQRT((AH51-AE51)^2+(AI51-AF51)^2+(AJ51-AG51)^2)*(1+'Design Basis'!$C$6),0),ROUNDUP((ABS(AH51-AE51)+ABS(AI51-AF51)+ABS(AK51-AG51)+ABS(AK51-AJ51))*(1+'Design Basis'!$C$4)+2*'Design Basis'!$C$5,0)))</f>
        <v>20</v>
      </c>
      <c r="P51" s="27" t="n">
        <f aca="false">O51*K51*AM51</f>
        <v>180</v>
      </c>
      <c r="Q51" s="28" t="n">
        <v>11000</v>
      </c>
      <c r="R51" s="25" t="n">
        <v>3</v>
      </c>
      <c r="S51" s="28" t="n">
        <v>22000</v>
      </c>
      <c r="T51" s="29" t="n">
        <v>1</v>
      </c>
      <c r="U51" s="27" t="n">
        <f aca="false">IF(OR(S51="",Q51=""),"",IF(R51=3,S51*1000/(SQRT(3)*Q51*T51),S51*1000/(Q51*T51)))</f>
        <v>1154.70053837925</v>
      </c>
      <c r="V51" s="27" t="n">
        <f aca="false">IF(OR(AO51="",AL51=""),"",AO51*AL51)</f>
        <v>608</v>
      </c>
      <c r="W51" s="27" t="n">
        <f aca="false">IF(V51="","",V51*K51)</f>
        <v>1824</v>
      </c>
      <c r="X51" s="30" t="n">
        <f aca="false">IF(OR(U51="",W51=""),"",U51/W51)</f>
        <v>0.633059505690379</v>
      </c>
      <c r="Y51" s="30" t="n">
        <f aca="false">IF(OR(U51="",AP51=""),"",AP51*(U51/K51)*O51/1000/Q51)</f>
        <v>0.000104972776216296</v>
      </c>
      <c r="Z51" s="30" t="n">
        <f aca="false">IF(U51="","",IFERROR(IF(INDEX('Design Basis'!$C$13:$C$21,MATCH(C51,'Design Basis'!$A$13:$A$21,0))="","",INDEX('Design Basis'!$C$13:$C$21,MATCH(C51,'Design Basis'!$A$13:$A$21,0))),""))</f>
        <v>0.03</v>
      </c>
      <c r="AA51" s="31" t="str">
        <f aca="false">IF(U51="","n/a",IF(W51="","CHECK",IF(AND(X51&lt;=1,OR(Y51="",Z51="",Y51&lt;=Z51)),"OK","CHECK")))</f>
        <v>OK</v>
      </c>
      <c r="AB51" s="27" t="n">
        <f aca="false">IF(AN51="","",K51*AM51*PI()/4*AN51^2)</f>
        <v>17671.4586764426</v>
      </c>
      <c r="AC51" s="31" t="s">
        <v>660</v>
      </c>
      <c r="AE51" s="32" t="n">
        <f aca="false">INDEX(Equipment!$D$2:$D$137,MATCH(E51,Equipment!$A$2:$A$137,0))</f>
        <v>12</v>
      </c>
      <c r="AF51" s="32" t="n">
        <f aca="false">INDEX(Equipment!$E$2:$E$137,MATCH(E51,Equipment!$A$2:$A$137,0))</f>
        <v>99</v>
      </c>
      <c r="AG51" s="32" t="n">
        <f aca="false">INDEX(Equipment!$F$2:$F$137,MATCH(E51,Equipment!$A$2:$A$137,0))</f>
        <v>0.5</v>
      </c>
      <c r="AH51" s="32" t="n">
        <f aca="false">INDEX(Equipment!$D$2:$D$137,MATCH(G51,Equipment!$A$2:$A$137,0))</f>
        <v>14.5</v>
      </c>
      <c r="AI51" s="32" t="n">
        <f aca="false">INDEX(Equipment!$E$2:$E$137,MATCH(G51,Equipment!$A$2:$A$137,0))</f>
        <v>107.5</v>
      </c>
      <c r="AJ51" s="32" t="n">
        <f aca="false">INDEX(Equipment!$F$2:$F$137,MATCH(G51,Equipment!$A$2:$A$137,0))</f>
        <v>2</v>
      </c>
      <c r="AK51" s="32" t="n">
        <f aca="false">IF(INDEX(Raceways!$D$2:$D$18,MATCH(L51,Raceways!$A$2:$A$18,0))="",0,INDEX(Raceways!$D$2:$D$18,MATCH(L51,Raceways!$A$2:$A$18,0)))</f>
        <v>1</v>
      </c>
      <c r="AL51" s="33" t="n">
        <f aca="false">IF(INDEX(Raceways!$I$2:$I$18,MATCH(L51,Raceways!$A$2:$A$18,0))="","",INDEX(Raceways!$I$2:$I$18,MATCH(L51,Raceways!$A$2:$A$18,0)))</f>
        <v>0.8</v>
      </c>
      <c r="AM51" s="26" t="n">
        <f aca="false">INDEX('Cable Types'!$D$2:$D$41,MATCH(I51,'Cable Types'!$A$2:$A$41,0))</f>
        <v>3</v>
      </c>
      <c r="AN51" s="26" t="n">
        <f aca="false">IF(INDEX('Cable Types'!$E$2:$E$41,MATCH(I51,'Cable Types'!$A$2:$A$41,0))="","",INDEX('Cable Types'!$E$2:$E$41,MATCH(I51,'Cable Types'!$A$2:$A$41,0)))</f>
        <v>50</v>
      </c>
      <c r="AO51" s="26" t="n">
        <f aca="false">IF(INDEX('Cable Types'!$F$2:$F$41,MATCH(I51,'Cable Types'!$A$2:$A$41,0))="","",INDEX('Cable Types'!$F$2:$F$41,MATCH(I51,'Cable Types'!$A$2:$A$41,0)))</f>
        <v>760</v>
      </c>
      <c r="AP51" s="33" t="n">
        <f aca="false">IF(INDEX('Cable Types'!$G$2:$G$41,MATCH(I51,'Cable Types'!$A$2:$A$41,0))="","",INDEX('Cable Types'!$G$2:$G$41,MATCH(I51,'Cable Types'!$A$2:$A$41,0)))</f>
        <v>0.15</v>
      </c>
    </row>
    <row r="52" customFormat="false" ht="15" hidden="false" customHeight="false" outlineLevel="0" collapsed="false">
      <c r="A52" s="25" t="s">
        <v>732</v>
      </c>
      <c r="B52" s="25" t="s">
        <v>127</v>
      </c>
      <c r="C52" s="25" t="s">
        <v>65</v>
      </c>
      <c r="D52" s="25" t="s">
        <v>733</v>
      </c>
      <c r="E52" s="25" t="s">
        <v>341</v>
      </c>
      <c r="F52" s="26" t="str">
        <f aca="false">INDEX(Equipment!$B$2:$B$137,MATCH(E52,Equipment!$A$2:$A$137,0))</f>
        <v>RICE 11 kV collector switchgear e-house</v>
      </c>
      <c r="G52" s="25" t="s">
        <v>344</v>
      </c>
      <c r="H52" s="26" t="str">
        <f aca="false">INDEX(Equipment!$B$2:$B$137,MATCH(G52,Equipment!$A$2:$A$137,0))</f>
        <v>RICE auxiliary transformer 11/0.42 kV 1 MVA</v>
      </c>
      <c r="I52" s="25" t="s">
        <v>508</v>
      </c>
      <c r="J52" s="26" t="str">
        <f aca="false">INDEX('Cable Types'!$B$2:$B$41,MATCH(I52,'Cable Types'!$A$2:$A$41,0))</f>
        <v>6.35/11 kV 3C 70 mm2 Cu/XLPE/SWA/PVC</v>
      </c>
      <c r="K52" s="25" t="n">
        <v>1</v>
      </c>
      <c r="L52" s="25" t="s">
        <v>649</v>
      </c>
      <c r="M52" s="25" t="s">
        <v>638</v>
      </c>
      <c r="N52" s="25"/>
      <c r="O52" s="27" t="n">
        <f aca="false">IF(N52&lt;&gt;"",N52,IF(M52="D",ROUNDUP(SQRT((AH52-AE52)^2+(AI52-AF52)^2+(AJ52-AG52)^2)*(1+'Design Basis'!$C$6),0),ROUNDUP((ABS(AH52-AE52)+ABS(AI52-AF52)+ABS(AK52-AG52)+ABS(AK52-AJ52))*(1+'Design Basis'!$C$4)+2*'Design Basis'!$C$5,0)))</f>
        <v>15</v>
      </c>
      <c r="P52" s="27" t="n">
        <f aca="false">O52*K52*AM52</f>
        <v>15</v>
      </c>
      <c r="Q52" s="28" t="n">
        <v>11000</v>
      </c>
      <c r="R52" s="25" t="n">
        <v>3</v>
      </c>
      <c r="S52" s="28" t="n">
        <v>1000</v>
      </c>
      <c r="T52" s="29" t="n">
        <v>1</v>
      </c>
      <c r="U52" s="27" t="n">
        <f aca="false">IF(OR(S52="",Q52=""),"",IF(R52=3,S52*1000/(SQRT(3)*Q52*T52),S52*1000/(Q52*T52)))</f>
        <v>52.4863881081478</v>
      </c>
      <c r="V52" s="27" t="n">
        <f aca="false">IF(OR(AO52="",AL52=""),"",AO52*AL52)</f>
        <v>200</v>
      </c>
      <c r="W52" s="27" t="n">
        <f aca="false">IF(V52="","",V52*K52)</f>
        <v>200</v>
      </c>
      <c r="X52" s="30" t="n">
        <f aca="false">IF(OR(U52="",W52=""),"",U52/W52)</f>
        <v>0.262431940540739</v>
      </c>
      <c r="Y52" s="30" t="n">
        <f aca="false">IF(OR(U52="",AP52=""),"",AP52*(U52/K52)*O52/1000/Q52)</f>
        <v>4.29434084521209E-005</v>
      </c>
      <c r="Z52" s="30" t="n">
        <f aca="false">IF(U52="","",IFERROR(IF(INDEX('Design Basis'!$C$13:$C$21,MATCH(C52,'Design Basis'!$A$13:$A$21,0))="","",INDEX('Design Basis'!$C$13:$C$21,MATCH(C52,'Design Basis'!$A$13:$A$21,0))),""))</f>
        <v>0.03</v>
      </c>
      <c r="AA52" s="31" t="str">
        <f aca="false">IF(U52="","n/a",IF(W52="","CHECK",IF(AND(X52&lt;=1,OR(Y52="",Z52="",Y52&lt;=Z52)),"OK","CHECK")))</f>
        <v>OK</v>
      </c>
      <c r="AB52" s="27" t="n">
        <f aca="false">IF(AN52="","",K52*AM52*PI()/4*AN52^2)</f>
        <v>3117.24531052447</v>
      </c>
      <c r="AC52" s="31"/>
      <c r="AE52" s="32" t="n">
        <f aca="false">INDEX(Equipment!$D$2:$D$137,MATCH(E52,Equipment!$A$2:$A$137,0))</f>
        <v>12</v>
      </c>
      <c r="AF52" s="32" t="n">
        <f aca="false">INDEX(Equipment!$E$2:$E$137,MATCH(E52,Equipment!$A$2:$A$137,0))</f>
        <v>99</v>
      </c>
      <c r="AG52" s="32" t="n">
        <f aca="false">INDEX(Equipment!$F$2:$F$137,MATCH(E52,Equipment!$A$2:$A$137,0))</f>
        <v>0.5</v>
      </c>
      <c r="AH52" s="32" t="n">
        <f aca="false">INDEX(Equipment!$D$2:$D$137,MATCH(G52,Equipment!$A$2:$A$137,0))</f>
        <v>10</v>
      </c>
      <c r="AI52" s="32" t="n">
        <f aca="false">INDEX(Equipment!$E$2:$E$137,MATCH(G52,Equipment!$A$2:$A$137,0))</f>
        <v>104</v>
      </c>
      <c r="AJ52" s="32" t="n">
        <f aca="false">INDEX(Equipment!$F$2:$F$137,MATCH(G52,Equipment!$A$2:$A$137,0))</f>
        <v>0.5</v>
      </c>
      <c r="AK52" s="32" t="n">
        <f aca="false">IF(INDEX(Raceways!$D$2:$D$18,MATCH(L52,Raceways!$A$2:$A$18,0))="",0,INDEX(Raceways!$D$2:$D$18,MATCH(L52,Raceways!$A$2:$A$18,0)))</f>
        <v>1</v>
      </c>
      <c r="AL52" s="33" t="n">
        <f aca="false">IF(INDEX(Raceways!$I$2:$I$18,MATCH(L52,Raceways!$A$2:$A$18,0))="","",INDEX(Raceways!$I$2:$I$18,MATCH(L52,Raceways!$A$2:$A$18,0)))</f>
        <v>0.8</v>
      </c>
      <c r="AM52" s="26" t="n">
        <f aca="false">INDEX('Cable Types'!$D$2:$D$41,MATCH(I52,'Cable Types'!$A$2:$A$41,0))</f>
        <v>1</v>
      </c>
      <c r="AN52" s="26" t="n">
        <f aca="false">IF(INDEX('Cable Types'!$E$2:$E$41,MATCH(I52,'Cable Types'!$A$2:$A$41,0))="","",INDEX('Cable Types'!$E$2:$E$41,MATCH(I52,'Cable Types'!$A$2:$A$41,0)))</f>
        <v>63</v>
      </c>
      <c r="AO52" s="26" t="n">
        <f aca="false">IF(INDEX('Cable Types'!$F$2:$F$41,MATCH(I52,'Cable Types'!$A$2:$A$41,0))="","",INDEX('Cable Types'!$F$2:$F$41,MATCH(I52,'Cable Types'!$A$2:$A$41,0)))</f>
        <v>250</v>
      </c>
      <c r="AP52" s="33" t="n">
        <f aca="false">IF(INDEX('Cable Types'!$G$2:$G$41,MATCH(I52,'Cable Types'!$A$2:$A$41,0))="","",INDEX('Cable Types'!$G$2:$G$41,MATCH(I52,'Cable Types'!$A$2:$A$41,0)))</f>
        <v>0.6</v>
      </c>
    </row>
    <row r="53" customFormat="false" ht="15" hidden="false" customHeight="false" outlineLevel="0" collapsed="false">
      <c r="A53" s="25" t="s">
        <v>734</v>
      </c>
      <c r="B53" s="25" t="s">
        <v>451</v>
      </c>
      <c r="C53" s="25" t="s">
        <v>62</v>
      </c>
      <c r="D53" s="25" t="s">
        <v>735</v>
      </c>
      <c r="E53" s="25" t="s">
        <v>455</v>
      </c>
      <c r="F53" s="26" t="str">
        <f aca="false">INDEX(Equipment!$B$2:$B$137,MATCH(E53,Equipment!$A$2:$A$137,0))</f>
        <v>Main LV transformer 11/0.42 kV 2.5 MVA</v>
      </c>
      <c r="G53" s="25" t="s">
        <v>453</v>
      </c>
      <c r="H53" s="26" t="str">
        <f aca="false">INDEX(Equipment!$B$2:$B$137,MATCH(G53,Equipment!$A$2:$A$137,0))</f>
        <v>Main power / motor control centre 400 V</v>
      </c>
      <c r="I53" s="25" t="s">
        <v>495</v>
      </c>
      <c r="J53" s="26" t="str">
        <f aca="false">INDEX('Cable Types'!$B$2:$B$41,MATCH(I53,'Cable Types'!$A$2:$A$41,0))</f>
        <v>LV busduct 1 kV, 4000 A, Cu, 4-pole</v>
      </c>
      <c r="K53" s="25" t="n">
        <v>1</v>
      </c>
      <c r="L53" s="25" t="s">
        <v>736</v>
      </c>
      <c r="M53" s="25" t="s">
        <v>638</v>
      </c>
      <c r="N53" s="25"/>
      <c r="O53" s="27" t="n">
        <f aca="false">IF(N53&lt;&gt;"",N53,IF(M53="D",ROUNDUP(SQRT((AH53-AE53)^2+(AI53-AF53)^2+(AJ53-AG53)^2)*(1+'Design Basis'!$C$6),0),ROUNDUP((ABS(AH53-AE53)+ABS(AI53-AF53)+ABS(AK53-AG53)+ABS(AK53-AJ53))*(1+'Design Basis'!$C$4)+2*'Design Basis'!$C$5,0)))</f>
        <v>28</v>
      </c>
      <c r="P53" s="27" t="n">
        <f aca="false">O53*K53*AM53</f>
        <v>28</v>
      </c>
      <c r="Q53" s="28" t="n">
        <v>420</v>
      </c>
      <c r="R53" s="25" t="n">
        <v>3</v>
      </c>
      <c r="S53" s="28" t="n">
        <v>2500</v>
      </c>
      <c r="T53" s="29" t="n">
        <v>1</v>
      </c>
      <c r="U53" s="27" t="n">
        <f aca="false">IF(OR(S53="",Q53=""),"",IF(R53=3,S53*1000/(SQRT(3)*Q53*T53),S53*1000/(Q53*T53)))</f>
        <v>3436.60874517634</v>
      </c>
      <c r="V53" s="27" t="n">
        <f aca="false">IF(OR(AO53="",AL53=""),"",AO53*AL53)</f>
        <v>4000</v>
      </c>
      <c r="W53" s="27" t="n">
        <f aca="false">IF(V53="","",V53*K53)</f>
        <v>4000</v>
      </c>
      <c r="X53" s="30" t="n">
        <f aca="false">IF(OR(U53="",W53=""),"",U53/W53)</f>
        <v>0.859152186294086</v>
      </c>
      <c r="Y53" s="30" t="str">
        <f aca="false">IF(OR(U53="",AP53=""),"",AP53*(U53/K53)*O53/1000/Q53)</f>
        <v/>
      </c>
      <c r="Z53" s="30" t="str">
        <f aca="false">IF(U53="","",IFERROR(IF(INDEX('Design Basis'!$C$13:$C$21,MATCH(C53,'Design Basis'!$A$13:$A$21,0))="","",INDEX('Design Basis'!$C$13:$C$21,MATCH(C53,'Design Basis'!$A$13:$A$21,0))),""))</f>
        <v/>
      </c>
      <c r="AA53" s="31" t="str">
        <f aca="false">IF(U53="","n/a",IF(W53="","CHECK",IF(AND(X53&lt;=1,OR(Y53="",Z53="",Y53&lt;=Z53)),"OK","CHECK")))</f>
        <v>OK</v>
      </c>
      <c r="AB53" s="27" t="str">
        <f aca="false">IF(AN53="","",K53*AM53*PI()/4*AN53^2)</f>
        <v/>
      </c>
      <c r="AC53" s="31"/>
      <c r="AE53" s="32" t="n">
        <f aca="false">INDEX(Equipment!$D$2:$D$137,MATCH(E53,Equipment!$A$2:$A$137,0))</f>
        <v>34</v>
      </c>
      <c r="AF53" s="32" t="n">
        <f aca="false">INDEX(Equipment!$E$2:$E$137,MATCH(E53,Equipment!$A$2:$A$137,0))</f>
        <v>57</v>
      </c>
      <c r="AG53" s="32" t="n">
        <f aca="false">INDEX(Equipment!$F$2:$F$137,MATCH(E53,Equipment!$A$2:$A$137,0))</f>
        <v>0.5</v>
      </c>
      <c r="AH53" s="32" t="n">
        <f aca="false">INDEX(Equipment!$D$2:$D$137,MATCH(G53,Equipment!$A$2:$A$137,0))</f>
        <v>44</v>
      </c>
      <c r="AI53" s="32" t="n">
        <f aca="false">INDEX(Equipment!$E$2:$E$137,MATCH(G53,Equipment!$A$2:$A$137,0))</f>
        <v>52</v>
      </c>
      <c r="AJ53" s="32" t="n">
        <f aca="false">INDEX(Equipment!$F$2:$F$137,MATCH(G53,Equipment!$A$2:$A$137,0))</f>
        <v>0.5</v>
      </c>
      <c r="AK53" s="32" t="n">
        <f aca="false">IF(INDEX(Raceways!$D$2:$D$18,MATCH(L53,Raceways!$A$2:$A$18,0))="",0,INDEX(Raceways!$D$2:$D$18,MATCH(L53,Raceways!$A$2:$A$18,0)))</f>
        <v>3</v>
      </c>
      <c r="AL53" s="33" t="n">
        <f aca="false">IF(INDEX(Raceways!$I$2:$I$18,MATCH(L53,Raceways!$A$2:$A$18,0))="","",INDEX(Raceways!$I$2:$I$18,MATCH(L53,Raceways!$A$2:$A$18,0)))</f>
        <v>1</v>
      </c>
      <c r="AM53" s="26" t="n">
        <f aca="false">INDEX('Cable Types'!$D$2:$D$41,MATCH(I53,'Cable Types'!$A$2:$A$41,0))</f>
        <v>1</v>
      </c>
      <c r="AN53" s="26" t="str">
        <f aca="false">IF(INDEX('Cable Types'!$E$2:$E$41,MATCH(I53,'Cable Types'!$A$2:$A$41,0))="","",INDEX('Cable Types'!$E$2:$E$41,MATCH(I53,'Cable Types'!$A$2:$A$41,0)))</f>
        <v/>
      </c>
      <c r="AO53" s="26" t="n">
        <f aca="false">IF(INDEX('Cable Types'!$F$2:$F$41,MATCH(I53,'Cable Types'!$A$2:$A$41,0))="","",INDEX('Cable Types'!$F$2:$F$41,MATCH(I53,'Cable Types'!$A$2:$A$41,0)))</f>
        <v>4000</v>
      </c>
      <c r="AP53" s="33" t="str">
        <f aca="false">IF(INDEX('Cable Types'!$G$2:$G$41,MATCH(I53,'Cable Types'!$A$2:$A$41,0))="","",INDEX('Cable Types'!$G$2:$G$41,MATCH(I53,'Cable Types'!$A$2:$A$41,0)))</f>
        <v/>
      </c>
    </row>
    <row r="54" customFormat="false" ht="15" hidden="false" customHeight="false" outlineLevel="0" collapsed="false">
      <c r="A54" s="25" t="s">
        <v>737</v>
      </c>
      <c r="B54" s="25" t="s">
        <v>230</v>
      </c>
      <c r="C54" s="25" t="s">
        <v>62</v>
      </c>
      <c r="D54" s="25" t="s">
        <v>738</v>
      </c>
      <c r="E54" s="25" t="s">
        <v>228</v>
      </c>
      <c r="F54" s="26" t="str">
        <f aca="false">INDEX(Equipment!$B$2:$B$137,MATCH(E54,Equipment!$A$2:$A$137,0))</f>
        <v>ACC fan transformer 11/0.69 kV 4 MVA</v>
      </c>
      <c r="G54" s="25" t="s">
        <v>232</v>
      </c>
      <c r="H54" s="26" t="str">
        <f aca="false">INDEX(Equipment!$B$2:$B$137,MATCH(G54,Equipment!$A$2:$A$137,0))</f>
        <v>ACC fan VFD switchroom 690 V</v>
      </c>
      <c r="I54" s="25" t="s">
        <v>495</v>
      </c>
      <c r="J54" s="26" t="str">
        <f aca="false">INDEX('Cable Types'!$B$2:$B$41,MATCH(I54,'Cable Types'!$A$2:$A$41,0))</f>
        <v>LV busduct 1 kV, 4000 A, Cu, 4-pole</v>
      </c>
      <c r="K54" s="25" t="n">
        <v>1</v>
      </c>
      <c r="L54" s="25" t="s">
        <v>736</v>
      </c>
      <c r="M54" s="25" t="s">
        <v>638</v>
      </c>
      <c r="N54" s="25"/>
      <c r="O54" s="27" t="n">
        <f aca="false">IF(N54&lt;&gt;"",N54,IF(M54="D",ROUNDUP(SQRT((AH54-AE54)^2+(AI54-AF54)^2+(AJ54-AG54)^2)*(1+'Design Basis'!$C$6),0),ROUNDUP((ABS(AH54-AE54)+ABS(AI54-AF54)+ABS(AK54-AG54)+ABS(AK54-AJ54))*(1+'Design Basis'!$C$4)+2*'Design Basis'!$C$5,0)))</f>
        <v>19</v>
      </c>
      <c r="P54" s="27" t="n">
        <f aca="false">O54*K54*AM54</f>
        <v>19</v>
      </c>
      <c r="Q54" s="28" t="n">
        <v>690</v>
      </c>
      <c r="R54" s="25" t="n">
        <v>3</v>
      </c>
      <c r="S54" s="28" t="n">
        <v>4000</v>
      </c>
      <c r="T54" s="29" t="n">
        <v>1</v>
      </c>
      <c r="U54" s="27" t="n">
        <f aca="false">IF(OR(S54="",Q54=""),"",IF(R54=3,S54*1000/(SQRT(3)*Q54*T54),S54*1000/(Q54*T54)))</f>
        <v>3346.9580822587</v>
      </c>
      <c r="V54" s="27" t="n">
        <f aca="false">IF(OR(AO54="",AL54=""),"",AO54*AL54)</f>
        <v>4000</v>
      </c>
      <c r="W54" s="27" t="n">
        <f aca="false">IF(V54="","",V54*K54)</f>
        <v>4000</v>
      </c>
      <c r="X54" s="30" t="n">
        <f aca="false">IF(OR(U54="",W54=""),"",U54/W54)</f>
        <v>0.836739520564675</v>
      </c>
      <c r="Y54" s="30" t="str">
        <f aca="false">IF(OR(U54="",AP54=""),"",AP54*(U54/K54)*O54/1000/Q54)</f>
        <v/>
      </c>
      <c r="Z54" s="30" t="str">
        <f aca="false">IF(U54="","",IFERROR(IF(INDEX('Design Basis'!$C$13:$C$21,MATCH(C54,'Design Basis'!$A$13:$A$21,0))="","",INDEX('Design Basis'!$C$13:$C$21,MATCH(C54,'Design Basis'!$A$13:$A$21,0))),""))</f>
        <v/>
      </c>
      <c r="AA54" s="31" t="str">
        <f aca="false">IF(U54="","n/a",IF(W54="","CHECK",IF(AND(X54&lt;=1,OR(Y54="",Z54="",Y54&lt;=Z54)),"OK","CHECK")))</f>
        <v>OK</v>
      </c>
      <c r="AB54" s="27" t="str">
        <f aca="false">IF(AN54="","",K54*AM54*PI()/4*AN54^2)</f>
        <v/>
      </c>
      <c r="AC54" s="31"/>
      <c r="AE54" s="32" t="n">
        <f aca="false">INDEX(Equipment!$D$2:$D$137,MATCH(E54,Equipment!$A$2:$A$137,0))</f>
        <v>146</v>
      </c>
      <c r="AF54" s="32" t="n">
        <f aca="false">INDEX(Equipment!$E$2:$E$137,MATCH(E54,Equipment!$A$2:$A$137,0))</f>
        <v>40</v>
      </c>
      <c r="AG54" s="32" t="n">
        <f aca="false">INDEX(Equipment!$F$2:$F$137,MATCH(E54,Equipment!$A$2:$A$137,0))</f>
        <v>0.5</v>
      </c>
      <c r="AH54" s="32" t="n">
        <f aca="false">INDEX(Equipment!$D$2:$D$137,MATCH(G54,Equipment!$A$2:$A$137,0))</f>
        <v>146</v>
      </c>
      <c r="AI54" s="32" t="n">
        <f aca="false">INDEX(Equipment!$E$2:$E$137,MATCH(G54,Equipment!$A$2:$A$137,0))</f>
        <v>46</v>
      </c>
      <c r="AJ54" s="32" t="n">
        <f aca="false">INDEX(Equipment!$F$2:$F$137,MATCH(G54,Equipment!$A$2:$A$137,0))</f>
        <v>0.5</v>
      </c>
      <c r="AK54" s="32" t="n">
        <f aca="false">IF(INDEX(Raceways!$D$2:$D$18,MATCH(L54,Raceways!$A$2:$A$18,0))="",0,INDEX(Raceways!$D$2:$D$18,MATCH(L54,Raceways!$A$2:$A$18,0)))</f>
        <v>3</v>
      </c>
      <c r="AL54" s="33" t="n">
        <f aca="false">IF(INDEX(Raceways!$I$2:$I$18,MATCH(L54,Raceways!$A$2:$A$18,0))="","",INDEX(Raceways!$I$2:$I$18,MATCH(L54,Raceways!$A$2:$A$18,0)))</f>
        <v>1</v>
      </c>
      <c r="AM54" s="26" t="n">
        <f aca="false">INDEX('Cable Types'!$D$2:$D$41,MATCH(I54,'Cable Types'!$A$2:$A$41,0))</f>
        <v>1</v>
      </c>
      <c r="AN54" s="26" t="str">
        <f aca="false">IF(INDEX('Cable Types'!$E$2:$E$41,MATCH(I54,'Cable Types'!$A$2:$A$41,0))="","",INDEX('Cable Types'!$E$2:$E$41,MATCH(I54,'Cable Types'!$A$2:$A$41,0)))</f>
        <v/>
      </c>
      <c r="AO54" s="26" t="n">
        <f aca="false">IF(INDEX('Cable Types'!$F$2:$F$41,MATCH(I54,'Cable Types'!$A$2:$A$41,0))="","",INDEX('Cable Types'!$F$2:$F$41,MATCH(I54,'Cable Types'!$A$2:$A$41,0)))</f>
        <v>4000</v>
      </c>
      <c r="AP54" s="33" t="str">
        <f aca="false">IF(INDEX('Cable Types'!$G$2:$G$41,MATCH(I54,'Cable Types'!$A$2:$A$41,0))="","",INDEX('Cable Types'!$G$2:$G$41,MATCH(I54,'Cable Types'!$A$2:$A$41,0)))</f>
        <v/>
      </c>
    </row>
    <row r="55" customFormat="false" ht="15" hidden="false" customHeight="false" outlineLevel="0" collapsed="false">
      <c r="A55" s="25" t="s">
        <v>739</v>
      </c>
      <c r="B55" s="25" t="s">
        <v>395</v>
      </c>
      <c r="C55" s="25" t="s">
        <v>62</v>
      </c>
      <c r="D55" s="25" t="s">
        <v>740</v>
      </c>
      <c r="E55" s="25" t="s">
        <v>416</v>
      </c>
      <c r="F55" s="26" t="str">
        <f aca="false">INDEX(Equipment!$B$2:$B$137,MATCH(E55,Equipment!$A$2:$A$137,0))</f>
        <v>Gas station transformer 11/0.42 kV 1.6 MVA</v>
      </c>
      <c r="G55" s="25" t="s">
        <v>419</v>
      </c>
      <c r="H55" s="26" t="str">
        <f aca="false">INDEX(Equipment!$B$2:$B$137,MATCH(G55,Equipment!$A$2:$A$137,0))</f>
        <v>Gas station MCC 400 V (shelter)</v>
      </c>
      <c r="I55" s="25" t="s">
        <v>497</v>
      </c>
      <c r="J55" s="26" t="str">
        <f aca="false">INDEX('Cable Types'!$B$2:$B$41,MATCH(I55,'Cable Types'!$A$2:$A$41,0))</f>
        <v>LV busduct 1 kV, 2500 A, Cu, 4-pole</v>
      </c>
      <c r="K55" s="25" t="n">
        <v>1</v>
      </c>
      <c r="L55" s="25" t="s">
        <v>736</v>
      </c>
      <c r="M55" s="25" t="s">
        <v>638</v>
      </c>
      <c r="N55" s="25"/>
      <c r="O55" s="27" t="n">
        <f aca="false">IF(N55&lt;&gt;"",N55,IF(M55="D",ROUNDUP(SQRT((AH55-AE55)^2+(AI55-AF55)^2+(AJ55-AG55)^2)*(1+'Design Basis'!$C$6),0),ROUNDUP((ABS(AH55-AE55)+ABS(AI55-AF55)+ABS(AK55-AG55)+ABS(AK55-AJ55))*(1+'Design Basis'!$C$4)+2*'Design Basis'!$C$5,0)))</f>
        <v>25</v>
      </c>
      <c r="P55" s="27" t="n">
        <f aca="false">O55*K55*AM55</f>
        <v>25</v>
      </c>
      <c r="Q55" s="28" t="n">
        <v>420</v>
      </c>
      <c r="R55" s="25" t="n">
        <v>3</v>
      </c>
      <c r="S55" s="28" t="n">
        <v>1600</v>
      </c>
      <c r="T55" s="29" t="n">
        <v>1</v>
      </c>
      <c r="U55" s="27" t="n">
        <f aca="false">IF(OR(S55="",Q55=""),"",IF(R55=3,S55*1000/(SQRT(3)*Q55*T55),S55*1000/(Q55*T55)))</f>
        <v>2199.42959691286</v>
      </c>
      <c r="V55" s="27" t="n">
        <f aca="false">IF(OR(AO55="",AL55=""),"",AO55*AL55)</f>
        <v>2500</v>
      </c>
      <c r="W55" s="27" t="n">
        <f aca="false">IF(V55="","",V55*K55)</f>
        <v>2500</v>
      </c>
      <c r="X55" s="30" t="n">
        <f aca="false">IF(OR(U55="",W55=""),"",U55/W55)</f>
        <v>0.879771838765144</v>
      </c>
      <c r="Y55" s="30" t="str">
        <f aca="false">IF(OR(U55="",AP55=""),"",AP55*(U55/K55)*O55/1000/Q55)</f>
        <v/>
      </c>
      <c r="Z55" s="30" t="str">
        <f aca="false">IF(U55="","",IFERROR(IF(INDEX('Design Basis'!$C$13:$C$21,MATCH(C55,'Design Basis'!$A$13:$A$21,0))="","",INDEX('Design Basis'!$C$13:$C$21,MATCH(C55,'Design Basis'!$A$13:$A$21,0))),""))</f>
        <v/>
      </c>
      <c r="AA55" s="31" t="str">
        <f aca="false">IF(U55="","n/a",IF(W55="","CHECK",IF(AND(X55&lt;=1,OR(Y55="",Z55="",Y55&lt;=Z55)),"OK","CHECK")))</f>
        <v>OK</v>
      </c>
      <c r="AB55" s="27" t="str">
        <f aca="false">IF(AN55="","",K55*AM55*PI()/4*AN55^2)</f>
        <v/>
      </c>
      <c r="AC55" s="31"/>
      <c r="AE55" s="32" t="n">
        <f aca="false">INDEX(Equipment!$D$2:$D$137,MATCH(E55,Equipment!$A$2:$A$137,0))</f>
        <v>-12</v>
      </c>
      <c r="AF55" s="32" t="n">
        <f aca="false">INDEX(Equipment!$E$2:$E$137,MATCH(E55,Equipment!$A$2:$A$137,0))</f>
        <v>16</v>
      </c>
      <c r="AG55" s="32" t="n">
        <f aca="false">INDEX(Equipment!$F$2:$F$137,MATCH(E55,Equipment!$A$2:$A$137,0))</f>
        <v>0.5</v>
      </c>
      <c r="AH55" s="32" t="n">
        <f aca="false">INDEX(Equipment!$D$2:$D$137,MATCH(G55,Equipment!$A$2:$A$137,0))</f>
        <v>-20</v>
      </c>
      <c r="AI55" s="32" t="n">
        <f aca="false">INDEX(Equipment!$E$2:$E$137,MATCH(G55,Equipment!$A$2:$A$137,0))</f>
        <v>12</v>
      </c>
      <c r="AJ55" s="32" t="n">
        <f aca="false">INDEX(Equipment!$F$2:$F$137,MATCH(G55,Equipment!$A$2:$A$137,0))</f>
        <v>0.5</v>
      </c>
      <c r="AK55" s="32" t="n">
        <f aca="false">IF(INDEX(Raceways!$D$2:$D$18,MATCH(L55,Raceways!$A$2:$A$18,0))="",0,INDEX(Raceways!$D$2:$D$18,MATCH(L55,Raceways!$A$2:$A$18,0)))</f>
        <v>3</v>
      </c>
      <c r="AL55" s="33" t="n">
        <f aca="false">IF(INDEX(Raceways!$I$2:$I$18,MATCH(L55,Raceways!$A$2:$A$18,0))="","",INDEX(Raceways!$I$2:$I$18,MATCH(L55,Raceways!$A$2:$A$18,0)))</f>
        <v>1</v>
      </c>
      <c r="AM55" s="26" t="n">
        <f aca="false">INDEX('Cable Types'!$D$2:$D$41,MATCH(I55,'Cable Types'!$A$2:$A$41,0))</f>
        <v>1</v>
      </c>
      <c r="AN55" s="26" t="str">
        <f aca="false">IF(INDEX('Cable Types'!$E$2:$E$41,MATCH(I55,'Cable Types'!$A$2:$A$41,0))="","",INDEX('Cable Types'!$E$2:$E$41,MATCH(I55,'Cable Types'!$A$2:$A$41,0)))</f>
        <v/>
      </c>
      <c r="AO55" s="26" t="n">
        <f aca="false">IF(INDEX('Cable Types'!$F$2:$F$41,MATCH(I55,'Cable Types'!$A$2:$A$41,0))="","",INDEX('Cable Types'!$F$2:$F$41,MATCH(I55,'Cable Types'!$A$2:$A$41,0)))</f>
        <v>2500</v>
      </c>
      <c r="AP55" s="33" t="str">
        <f aca="false">IF(INDEX('Cable Types'!$G$2:$G$41,MATCH(I55,'Cable Types'!$A$2:$A$41,0))="","",INDEX('Cable Types'!$G$2:$G$41,MATCH(I55,'Cable Types'!$A$2:$A$41,0)))</f>
        <v/>
      </c>
    </row>
    <row r="56" customFormat="false" ht="15" hidden="false" customHeight="false" outlineLevel="0" collapsed="false">
      <c r="A56" s="25" t="s">
        <v>741</v>
      </c>
      <c r="B56" s="25" t="s">
        <v>285</v>
      </c>
      <c r="C56" s="25" t="s">
        <v>62</v>
      </c>
      <c r="D56" s="25" t="s">
        <v>742</v>
      </c>
      <c r="E56" s="25" t="s">
        <v>287</v>
      </c>
      <c r="F56" s="26" t="str">
        <f aca="false">INDEX(Equipment!$B$2:$B$137,MATCH(E56,Equipment!$A$2:$A$137,0))</f>
        <v>CCS LV transformer 11/0.42 kV 2.5 MVA</v>
      </c>
      <c r="G56" s="25" t="s">
        <v>290</v>
      </c>
      <c r="H56" s="26" t="str">
        <f aca="false">INDEX(Equipment!$B$2:$B$137,MATCH(G56,Equipment!$A$2:$A$137,0))</f>
        <v>CCS power / motor control centre 400 V</v>
      </c>
      <c r="I56" s="25" t="s">
        <v>495</v>
      </c>
      <c r="J56" s="26" t="str">
        <f aca="false">INDEX('Cable Types'!$B$2:$B$41,MATCH(I56,'Cable Types'!$A$2:$A$41,0))</f>
        <v>LV busduct 1 kV, 4000 A, Cu, 4-pole</v>
      </c>
      <c r="K56" s="25" t="n">
        <v>1</v>
      </c>
      <c r="L56" s="25" t="s">
        <v>736</v>
      </c>
      <c r="M56" s="25" t="s">
        <v>638</v>
      </c>
      <c r="N56" s="25"/>
      <c r="O56" s="27" t="n">
        <f aca="false">IF(N56&lt;&gt;"",N56,IF(M56="D",ROUNDUP(SQRT((AH56-AE56)^2+(AI56-AF56)^2+(AJ56-AG56)^2)*(1+'Design Basis'!$C$6),0),ROUNDUP((ABS(AH56-AE56)+ABS(AI56-AF56)+ABS(AK56-AG56)+ABS(AK56-AJ56))*(1+'Design Basis'!$C$4)+2*'Design Basis'!$C$5,0)))</f>
        <v>19</v>
      </c>
      <c r="P56" s="27" t="n">
        <f aca="false">O56*K56*AM56</f>
        <v>19</v>
      </c>
      <c r="Q56" s="28" t="n">
        <v>420</v>
      </c>
      <c r="R56" s="25" t="n">
        <v>3</v>
      </c>
      <c r="S56" s="28" t="n">
        <v>2500</v>
      </c>
      <c r="T56" s="29" t="n">
        <v>1</v>
      </c>
      <c r="U56" s="27" t="n">
        <f aca="false">IF(OR(S56="",Q56=""),"",IF(R56=3,S56*1000/(SQRT(3)*Q56*T56),S56*1000/(Q56*T56)))</f>
        <v>3436.60874517634</v>
      </c>
      <c r="V56" s="27" t="n">
        <f aca="false">IF(OR(AO56="",AL56=""),"",AO56*AL56)</f>
        <v>4000</v>
      </c>
      <c r="W56" s="27" t="n">
        <f aca="false">IF(V56="","",V56*K56)</f>
        <v>4000</v>
      </c>
      <c r="X56" s="30" t="n">
        <f aca="false">IF(OR(U56="",W56=""),"",U56/W56)</f>
        <v>0.859152186294086</v>
      </c>
      <c r="Y56" s="30" t="str">
        <f aca="false">IF(OR(U56="",AP56=""),"",AP56*(U56/K56)*O56/1000/Q56)</f>
        <v/>
      </c>
      <c r="Z56" s="30" t="str">
        <f aca="false">IF(U56="","",IFERROR(IF(INDEX('Design Basis'!$C$13:$C$21,MATCH(C56,'Design Basis'!$A$13:$A$21,0))="","",INDEX('Design Basis'!$C$13:$C$21,MATCH(C56,'Design Basis'!$A$13:$A$21,0))),""))</f>
        <v/>
      </c>
      <c r="AA56" s="31" t="str">
        <f aca="false">IF(U56="","n/a",IF(W56="","CHECK",IF(AND(X56&lt;=1,OR(Y56="",Z56="",Y56&lt;=Z56)),"OK","CHECK")))</f>
        <v>OK</v>
      </c>
      <c r="AB56" s="27" t="str">
        <f aca="false">IF(AN56="","",K56*AM56*PI()/4*AN56^2)</f>
        <v/>
      </c>
      <c r="AC56" s="31"/>
      <c r="AE56" s="32" t="n">
        <f aca="false">INDEX(Equipment!$D$2:$D$137,MATCH(E56,Equipment!$A$2:$A$137,0))</f>
        <v>182</v>
      </c>
      <c r="AF56" s="32" t="n">
        <f aca="false">INDEX(Equipment!$E$2:$E$137,MATCH(E56,Equipment!$A$2:$A$137,0))</f>
        <v>60</v>
      </c>
      <c r="AG56" s="32" t="n">
        <f aca="false">INDEX(Equipment!$F$2:$F$137,MATCH(E56,Equipment!$A$2:$A$137,0))</f>
        <v>0.5</v>
      </c>
      <c r="AH56" s="32" t="n">
        <f aca="false">INDEX(Equipment!$D$2:$D$137,MATCH(G56,Equipment!$A$2:$A$137,0))</f>
        <v>176</v>
      </c>
      <c r="AI56" s="32" t="n">
        <f aca="false">INDEX(Equipment!$E$2:$E$137,MATCH(G56,Equipment!$A$2:$A$137,0))</f>
        <v>60</v>
      </c>
      <c r="AJ56" s="32" t="n">
        <f aca="false">INDEX(Equipment!$F$2:$F$137,MATCH(G56,Equipment!$A$2:$A$137,0))</f>
        <v>0.5</v>
      </c>
      <c r="AK56" s="32" t="n">
        <f aca="false">IF(INDEX(Raceways!$D$2:$D$18,MATCH(L56,Raceways!$A$2:$A$18,0))="",0,INDEX(Raceways!$D$2:$D$18,MATCH(L56,Raceways!$A$2:$A$18,0)))</f>
        <v>3</v>
      </c>
      <c r="AL56" s="33" t="n">
        <f aca="false">IF(INDEX(Raceways!$I$2:$I$18,MATCH(L56,Raceways!$A$2:$A$18,0))="","",INDEX(Raceways!$I$2:$I$18,MATCH(L56,Raceways!$A$2:$A$18,0)))</f>
        <v>1</v>
      </c>
      <c r="AM56" s="26" t="n">
        <f aca="false">INDEX('Cable Types'!$D$2:$D$41,MATCH(I56,'Cable Types'!$A$2:$A$41,0))</f>
        <v>1</v>
      </c>
      <c r="AN56" s="26" t="str">
        <f aca="false">IF(INDEX('Cable Types'!$E$2:$E$41,MATCH(I56,'Cable Types'!$A$2:$A$41,0))="","",INDEX('Cable Types'!$E$2:$E$41,MATCH(I56,'Cable Types'!$A$2:$A$41,0)))</f>
        <v/>
      </c>
      <c r="AO56" s="26" t="n">
        <f aca="false">IF(INDEX('Cable Types'!$F$2:$F$41,MATCH(I56,'Cable Types'!$A$2:$A$41,0))="","",INDEX('Cable Types'!$F$2:$F$41,MATCH(I56,'Cable Types'!$A$2:$A$41,0)))</f>
        <v>4000</v>
      </c>
      <c r="AP56" s="33" t="str">
        <f aca="false">IF(INDEX('Cable Types'!$G$2:$G$41,MATCH(I56,'Cable Types'!$A$2:$A$41,0))="","",INDEX('Cable Types'!$G$2:$G$41,MATCH(I56,'Cable Types'!$A$2:$A$41,0)))</f>
        <v/>
      </c>
    </row>
    <row r="57" customFormat="false" ht="15" hidden="false" customHeight="false" outlineLevel="0" collapsed="false">
      <c r="A57" s="25" t="s">
        <v>743</v>
      </c>
      <c r="B57" s="25" t="s">
        <v>127</v>
      </c>
      <c r="C57" s="25" t="s">
        <v>62</v>
      </c>
      <c r="D57" s="25" t="s">
        <v>744</v>
      </c>
      <c r="E57" s="25" t="s">
        <v>344</v>
      </c>
      <c r="F57" s="26" t="str">
        <f aca="false">INDEX(Equipment!$B$2:$B$137,MATCH(E57,Equipment!$A$2:$A$137,0))</f>
        <v>RICE auxiliary transformer 11/0.42 kV 1 MVA</v>
      </c>
      <c r="G57" s="25" t="s">
        <v>346</v>
      </c>
      <c r="H57" s="26" t="str">
        <f aca="false">INDEX(Equipment!$B$2:$B$137,MATCH(G57,Equipment!$A$2:$A$137,0))</f>
        <v>RICE auxiliary MCC 400 V</v>
      </c>
      <c r="I57" s="25" t="s">
        <v>497</v>
      </c>
      <c r="J57" s="26" t="str">
        <f aca="false">INDEX('Cable Types'!$B$2:$B$41,MATCH(I57,'Cable Types'!$A$2:$A$41,0))</f>
        <v>LV busduct 1 kV, 2500 A, Cu, 4-pole</v>
      </c>
      <c r="K57" s="25" t="n">
        <v>1</v>
      </c>
      <c r="L57" s="25" t="s">
        <v>736</v>
      </c>
      <c r="M57" s="25" t="s">
        <v>638</v>
      </c>
      <c r="N57" s="25"/>
      <c r="O57" s="27" t="n">
        <f aca="false">IF(N57&lt;&gt;"",N57,IF(M57="D",ROUNDUP(SQRT((AH57-AE57)^2+(AI57-AF57)^2+(AJ57-AG57)^2)*(1+'Design Basis'!$C$6),0),ROUNDUP((ABS(AH57-AE57)+ABS(AI57-AF57)+ABS(AK57-AG57)+ABS(AK57-AJ57))*(1+'Design Basis'!$C$4)+2*'Design Basis'!$C$5,0)))</f>
        <v>24</v>
      </c>
      <c r="P57" s="27" t="n">
        <f aca="false">O57*K57*AM57</f>
        <v>24</v>
      </c>
      <c r="Q57" s="28" t="n">
        <v>420</v>
      </c>
      <c r="R57" s="25" t="n">
        <v>3</v>
      </c>
      <c r="S57" s="28" t="n">
        <v>1000</v>
      </c>
      <c r="T57" s="29" t="n">
        <v>1</v>
      </c>
      <c r="U57" s="27" t="n">
        <f aca="false">IF(OR(S57="",Q57=""),"",IF(R57=3,S57*1000/(SQRT(3)*Q57*T57),S57*1000/(Q57*T57)))</f>
        <v>1374.64349807054</v>
      </c>
      <c r="V57" s="27" t="n">
        <f aca="false">IF(OR(AO57="",AL57=""),"",AO57*AL57)</f>
        <v>2500</v>
      </c>
      <c r="W57" s="27" t="n">
        <f aca="false">IF(V57="","",V57*K57)</f>
        <v>2500</v>
      </c>
      <c r="X57" s="30" t="n">
        <f aca="false">IF(OR(U57="",W57=""),"",U57/W57)</f>
        <v>0.549857399228215</v>
      </c>
      <c r="Y57" s="30" t="str">
        <f aca="false">IF(OR(U57="",AP57=""),"",AP57*(U57/K57)*O57/1000/Q57)</f>
        <v/>
      </c>
      <c r="Z57" s="30" t="str">
        <f aca="false">IF(U57="","",IFERROR(IF(INDEX('Design Basis'!$C$13:$C$21,MATCH(C57,'Design Basis'!$A$13:$A$21,0))="","",INDEX('Design Basis'!$C$13:$C$21,MATCH(C57,'Design Basis'!$A$13:$A$21,0))),""))</f>
        <v/>
      </c>
      <c r="AA57" s="31" t="str">
        <f aca="false">IF(U57="","n/a",IF(W57="","CHECK",IF(AND(X57&lt;=1,OR(Y57="",Z57="",Y57&lt;=Z57)),"OK","CHECK")))</f>
        <v>OK</v>
      </c>
      <c r="AB57" s="27" t="str">
        <f aca="false">IF(AN57="","",K57*AM57*PI()/4*AN57^2)</f>
        <v/>
      </c>
      <c r="AC57" s="31"/>
      <c r="AE57" s="32" t="n">
        <f aca="false">INDEX(Equipment!$D$2:$D$137,MATCH(E57,Equipment!$A$2:$A$137,0))</f>
        <v>10</v>
      </c>
      <c r="AF57" s="32" t="n">
        <f aca="false">INDEX(Equipment!$E$2:$E$137,MATCH(E57,Equipment!$A$2:$A$137,0))</f>
        <v>104</v>
      </c>
      <c r="AG57" s="32" t="n">
        <f aca="false">INDEX(Equipment!$F$2:$F$137,MATCH(E57,Equipment!$A$2:$A$137,0))</f>
        <v>0.5</v>
      </c>
      <c r="AH57" s="32" t="n">
        <f aca="false">INDEX(Equipment!$D$2:$D$137,MATCH(G57,Equipment!$A$2:$A$137,0))</f>
        <v>16</v>
      </c>
      <c r="AI57" s="32" t="n">
        <f aca="false">INDEX(Equipment!$E$2:$E$137,MATCH(G57,Equipment!$A$2:$A$137,0))</f>
        <v>99</v>
      </c>
      <c r="AJ57" s="32" t="n">
        <f aca="false">INDEX(Equipment!$F$2:$F$137,MATCH(G57,Equipment!$A$2:$A$137,0))</f>
        <v>0.5</v>
      </c>
      <c r="AK57" s="32" t="n">
        <f aca="false">IF(INDEX(Raceways!$D$2:$D$18,MATCH(L57,Raceways!$A$2:$A$18,0))="",0,INDEX(Raceways!$D$2:$D$18,MATCH(L57,Raceways!$A$2:$A$18,0)))</f>
        <v>3</v>
      </c>
      <c r="AL57" s="33" t="n">
        <f aca="false">IF(INDEX(Raceways!$I$2:$I$18,MATCH(L57,Raceways!$A$2:$A$18,0))="","",INDEX(Raceways!$I$2:$I$18,MATCH(L57,Raceways!$A$2:$A$18,0)))</f>
        <v>1</v>
      </c>
      <c r="AM57" s="26" t="n">
        <f aca="false">INDEX('Cable Types'!$D$2:$D$41,MATCH(I57,'Cable Types'!$A$2:$A$41,0))</f>
        <v>1</v>
      </c>
      <c r="AN57" s="26" t="str">
        <f aca="false">IF(INDEX('Cable Types'!$E$2:$E$41,MATCH(I57,'Cable Types'!$A$2:$A$41,0))="","",INDEX('Cable Types'!$E$2:$E$41,MATCH(I57,'Cable Types'!$A$2:$A$41,0)))</f>
        <v/>
      </c>
      <c r="AO57" s="26" t="n">
        <f aca="false">IF(INDEX('Cable Types'!$F$2:$F$41,MATCH(I57,'Cable Types'!$A$2:$A$41,0))="","",INDEX('Cable Types'!$F$2:$F$41,MATCH(I57,'Cable Types'!$A$2:$A$41,0)))</f>
        <v>2500</v>
      </c>
      <c r="AP57" s="33" t="str">
        <f aca="false">IF(INDEX('Cable Types'!$G$2:$G$41,MATCH(I57,'Cable Types'!$A$2:$A$41,0))="","",INDEX('Cable Types'!$G$2:$G$41,MATCH(I57,'Cable Types'!$A$2:$A$41,0)))</f>
        <v/>
      </c>
    </row>
    <row r="58" customFormat="false" ht="15" hidden="false" customHeight="false" outlineLevel="0" collapsed="false">
      <c r="A58" s="25" t="s">
        <v>745</v>
      </c>
      <c r="B58" s="25" t="s">
        <v>133</v>
      </c>
      <c r="C58" s="25" t="s">
        <v>68</v>
      </c>
      <c r="D58" s="25" t="s">
        <v>746</v>
      </c>
      <c r="E58" s="25" t="s">
        <v>453</v>
      </c>
      <c r="F58" s="26" t="str">
        <f aca="false">INDEX(Equipment!$B$2:$B$137,MATCH(E58,Equipment!$A$2:$A$137,0))</f>
        <v>Main power / motor control centre 400 V</v>
      </c>
      <c r="G58" s="25" t="s">
        <v>166</v>
      </c>
      <c r="H58" s="26" t="str">
        <f aca="false">INDEX(Equipment!$B$2:$B$137,MATCH(G58,Equipment!$A$2:$A$137,0))</f>
        <v>GT auxiliary MCC 400 V (in PEECC)</v>
      </c>
      <c r="I58" s="25" t="s">
        <v>525</v>
      </c>
      <c r="J58" s="26" t="str">
        <f aca="false">INDEX('Cable Types'!$B$2:$B$41,MATCH(I58,'Cable Types'!$A$2:$A$41,0))</f>
        <v>0.6/1 kV 4C 240 mm2 Cu/XLPE/SWA/PVC</v>
      </c>
      <c r="K58" s="25" t="n">
        <v>2</v>
      </c>
      <c r="L58" s="25" t="s">
        <v>665</v>
      </c>
      <c r="M58" s="25" t="s">
        <v>638</v>
      </c>
      <c r="N58" s="25"/>
      <c r="O58" s="27" t="n">
        <f aca="false">IF(N58&lt;&gt;"",N58,IF(M58="D",ROUNDUP(SQRT((AH58-AE58)^2+(AI58-AF58)^2+(AJ58-AG58)^2)*(1+'Design Basis'!$C$6),0),ROUNDUP((ABS(AH58-AE58)+ABS(AI58-AF58)+ABS(AK58-AG58)+ABS(AK58-AJ58))*(1+'Design Basis'!$C$4)+2*'Design Basis'!$C$5,0)))</f>
        <v>85</v>
      </c>
      <c r="P58" s="27" t="n">
        <f aca="false">O58*K58*AM58</f>
        <v>170</v>
      </c>
      <c r="Q58" s="28" t="n">
        <v>400</v>
      </c>
      <c r="R58" s="25" t="n">
        <v>3</v>
      </c>
      <c r="S58" s="28" t="n">
        <v>350</v>
      </c>
      <c r="T58" s="29" t="n">
        <v>1</v>
      </c>
      <c r="U58" s="27" t="n">
        <f aca="false">IF(OR(S58="",Q58=""),"",IF(R58=3,S58*1000/(SQRT(3)*Q58*T58),S58*1000/(Q58*T58)))</f>
        <v>505.181485540923</v>
      </c>
      <c r="V58" s="27" t="n">
        <f aca="false">IF(OR(AO58="",AL58=""),"",AO58*AL58)</f>
        <v>430.4</v>
      </c>
      <c r="W58" s="27" t="n">
        <f aca="false">IF(V58="","",V58*K58)</f>
        <v>860.8</v>
      </c>
      <c r="X58" s="30" t="n">
        <f aca="false">IF(OR(U58="",W58=""),"",U58/W58)</f>
        <v>0.586874402347726</v>
      </c>
      <c r="Y58" s="30" t="n">
        <f aca="false">IF(OR(U58="",AP58=""),"",AP58*(U58/K58)*O58/1000/Q58)</f>
        <v>0.0123453725529063</v>
      </c>
      <c r="Z58" s="30" t="n">
        <f aca="false">IF(U58="","",IFERROR(IF(INDEX('Design Basis'!$C$13:$C$21,MATCH(C58,'Design Basis'!$A$13:$A$21,0))="","",INDEX('Design Basis'!$C$13:$C$21,MATCH(C58,'Design Basis'!$A$13:$A$21,0))),""))</f>
        <v>0.04</v>
      </c>
      <c r="AA58" s="31" t="str">
        <f aca="false">IF(U58="","n/a",IF(W58="","CHECK",IF(AND(X58&lt;=1,OR(Y58="",Z58="",Y58&lt;=Z58)),"OK","CHECK")))</f>
        <v>OK</v>
      </c>
      <c r="AB58" s="27" t="n">
        <f aca="false">IF(AN58="","",K58*AM58*PI()/4*AN58^2)</f>
        <v>6038.14108019958</v>
      </c>
      <c r="AC58" s="31" t="s">
        <v>613</v>
      </c>
      <c r="AE58" s="32" t="n">
        <f aca="false">INDEX(Equipment!$D$2:$D$137,MATCH(E58,Equipment!$A$2:$A$137,0))</f>
        <v>44</v>
      </c>
      <c r="AF58" s="32" t="n">
        <f aca="false">INDEX(Equipment!$E$2:$E$137,MATCH(E58,Equipment!$A$2:$A$137,0))</f>
        <v>52</v>
      </c>
      <c r="AG58" s="32" t="n">
        <f aca="false">INDEX(Equipment!$F$2:$F$137,MATCH(E58,Equipment!$A$2:$A$137,0))</f>
        <v>0.5</v>
      </c>
      <c r="AH58" s="32" t="n">
        <f aca="false">INDEX(Equipment!$D$2:$D$137,MATCH(G58,Equipment!$A$2:$A$137,0))</f>
        <v>48</v>
      </c>
      <c r="AI58" s="32" t="n">
        <f aca="false">INDEX(Equipment!$E$2:$E$137,MATCH(G58,Equipment!$A$2:$A$137,0))</f>
        <v>-6</v>
      </c>
      <c r="AJ58" s="32" t="n">
        <f aca="false">INDEX(Equipment!$F$2:$F$137,MATCH(G58,Equipment!$A$2:$A$137,0))</f>
        <v>0.5</v>
      </c>
      <c r="AK58" s="32" t="n">
        <f aca="false">IF(INDEX(Raceways!$D$2:$D$18,MATCH(L58,Raceways!$A$2:$A$18,0))="",0,INDEX(Raceways!$D$2:$D$18,MATCH(L58,Raceways!$A$2:$A$18,0)))</f>
        <v>5</v>
      </c>
      <c r="AL58" s="33" t="n">
        <f aca="false">IF(INDEX(Raceways!$I$2:$I$18,MATCH(L58,Raceways!$A$2:$A$18,0))="","",INDEX(Raceways!$I$2:$I$18,MATCH(L58,Raceways!$A$2:$A$18,0)))</f>
        <v>0.8</v>
      </c>
      <c r="AM58" s="26" t="n">
        <f aca="false">INDEX('Cable Types'!$D$2:$D$41,MATCH(I58,'Cable Types'!$A$2:$A$41,0))</f>
        <v>1</v>
      </c>
      <c r="AN58" s="26" t="n">
        <f aca="false">IF(INDEX('Cable Types'!$E$2:$E$41,MATCH(I58,'Cable Types'!$A$2:$A$41,0))="","",INDEX('Cable Types'!$E$2:$E$41,MATCH(I58,'Cable Types'!$A$2:$A$41,0)))</f>
        <v>62</v>
      </c>
      <c r="AO58" s="26" t="n">
        <f aca="false">IF(INDEX('Cable Types'!$F$2:$F$41,MATCH(I58,'Cable Types'!$A$2:$A$41,0))="","",INDEX('Cable Types'!$F$2:$F$41,MATCH(I58,'Cable Types'!$A$2:$A$41,0)))</f>
        <v>538</v>
      </c>
      <c r="AP58" s="33" t="n">
        <f aca="false">IF(INDEX('Cable Types'!$G$2:$G$41,MATCH(I58,'Cable Types'!$A$2:$A$41,0))="","",INDEX('Cable Types'!$G$2:$G$41,MATCH(I58,'Cable Types'!$A$2:$A$41,0)))</f>
        <v>0.23</v>
      </c>
    </row>
    <row r="59" customFormat="false" ht="15" hidden="false" customHeight="false" outlineLevel="0" collapsed="false">
      <c r="A59" s="25" t="s">
        <v>747</v>
      </c>
      <c r="B59" s="25" t="s">
        <v>133</v>
      </c>
      <c r="C59" s="25" t="s">
        <v>68</v>
      </c>
      <c r="D59" s="25" t="s">
        <v>748</v>
      </c>
      <c r="E59" s="25" t="s">
        <v>453</v>
      </c>
      <c r="F59" s="26" t="str">
        <f aca="false">INDEX(Equipment!$B$2:$B$137,MATCH(E59,Equipment!$A$2:$A$137,0))</f>
        <v>Main power / motor control centre 400 V</v>
      </c>
      <c r="G59" s="25" t="s">
        <v>185</v>
      </c>
      <c r="H59" s="26" t="str">
        <f aca="false">INDEX(Equipment!$B$2:$B$137,MATCH(G59,Equipment!$A$2:$A$137,0))</f>
        <v>HRSG auxiliary MCC 400 V</v>
      </c>
      <c r="I59" s="25" t="s">
        <v>525</v>
      </c>
      <c r="J59" s="26" t="str">
        <f aca="false">INDEX('Cable Types'!$B$2:$B$41,MATCH(I59,'Cable Types'!$A$2:$A$41,0))</f>
        <v>0.6/1 kV 4C 240 mm2 Cu/XLPE/SWA/PVC</v>
      </c>
      <c r="K59" s="25" t="n">
        <v>2</v>
      </c>
      <c r="L59" s="25" t="s">
        <v>665</v>
      </c>
      <c r="M59" s="25" t="s">
        <v>638</v>
      </c>
      <c r="N59" s="25"/>
      <c r="O59" s="27" t="n">
        <f aca="false">IF(N59&lt;&gt;"",N59,IF(M59="D",ROUNDUP(SQRT((AH59-AE59)^2+(AI59-AF59)^2+(AJ59-AG59)^2)*(1+'Design Basis'!$C$6),0),ROUNDUP((ABS(AH59-AE59)+ABS(AI59-AF59)+ABS(AK59-AG59)+ABS(AK59-AJ59))*(1+'Design Basis'!$C$4)+2*'Design Basis'!$C$5,0)))</f>
        <v>123</v>
      </c>
      <c r="P59" s="27" t="n">
        <f aca="false">O59*K59*AM59</f>
        <v>246</v>
      </c>
      <c r="Q59" s="28" t="n">
        <v>400</v>
      </c>
      <c r="R59" s="25" t="n">
        <v>3</v>
      </c>
      <c r="S59" s="28" t="n">
        <v>250</v>
      </c>
      <c r="T59" s="29" t="n">
        <v>1</v>
      </c>
      <c r="U59" s="27" t="n">
        <f aca="false">IF(OR(S59="",Q59=""),"",IF(R59=3,S59*1000/(SQRT(3)*Q59*T59),S59*1000/(Q59*T59)))</f>
        <v>360.843918243516</v>
      </c>
      <c r="V59" s="27" t="n">
        <f aca="false">IF(OR(AO59="",AL59=""),"",AO59*AL59)</f>
        <v>430.4</v>
      </c>
      <c r="W59" s="27" t="n">
        <f aca="false">IF(V59="","",V59*K59)</f>
        <v>860.8</v>
      </c>
      <c r="X59" s="30" t="n">
        <f aca="false">IF(OR(U59="",W59=""),"",U59/W59)</f>
        <v>0.419196001676947</v>
      </c>
      <c r="Y59" s="30" t="n">
        <f aca="false">IF(OR(U59="",AP59=""),"",AP59*(U59/K59)*O59/1000/Q59)</f>
        <v>0.0127603430588863</v>
      </c>
      <c r="Z59" s="30" t="n">
        <f aca="false">IF(U59="","",IFERROR(IF(INDEX('Design Basis'!$C$13:$C$21,MATCH(C59,'Design Basis'!$A$13:$A$21,0))="","",INDEX('Design Basis'!$C$13:$C$21,MATCH(C59,'Design Basis'!$A$13:$A$21,0))),""))</f>
        <v>0.04</v>
      </c>
      <c r="AA59" s="31" t="str">
        <f aca="false">IF(U59="","n/a",IF(W59="","CHECK",IF(AND(X59&lt;=1,OR(Y59="",Z59="",Y59&lt;=Z59)),"OK","CHECK")))</f>
        <v>OK</v>
      </c>
      <c r="AB59" s="27" t="n">
        <f aca="false">IF(AN59="","",K59*AM59*PI()/4*AN59^2)</f>
        <v>6038.14108019958</v>
      </c>
      <c r="AC59" s="31"/>
      <c r="AE59" s="32" t="n">
        <f aca="false">INDEX(Equipment!$D$2:$D$137,MATCH(E59,Equipment!$A$2:$A$137,0))</f>
        <v>44</v>
      </c>
      <c r="AF59" s="32" t="n">
        <f aca="false">INDEX(Equipment!$E$2:$E$137,MATCH(E59,Equipment!$A$2:$A$137,0))</f>
        <v>52</v>
      </c>
      <c r="AG59" s="32" t="n">
        <f aca="false">INDEX(Equipment!$F$2:$F$137,MATCH(E59,Equipment!$A$2:$A$137,0))</f>
        <v>0.5</v>
      </c>
      <c r="AH59" s="32" t="n">
        <f aca="false">INDEX(Equipment!$D$2:$D$137,MATCH(G59,Equipment!$A$2:$A$137,0))</f>
        <v>80</v>
      </c>
      <c r="AI59" s="32" t="n">
        <f aca="false">INDEX(Equipment!$E$2:$E$137,MATCH(G59,Equipment!$A$2:$A$137,0))</f>
        <v>-9</v>
      </c>
      <c r="AJ59" s="32" t="n">
        <f aca="false">INDEX(Equipment!$F$2:$F$137,MATCH(G59,Equipment!$A$2:$A$137,0))</f>
        <v>0.5</v>
      </c>
      <c r="AK59" s="32" t="n">
        <f aca="false">IF(INDEX(Raceways!$D$2:$D$18,MATCH(L59,Raceways!$A$2:$A$18,0))="",0,INDEX(Raceways!$D$2:$D$18,MATCH(L59,Raceways!$A$2:$A$18,0)))</f>
        <v>5</v>
      </c>
      <c r="AL59" s="33" t="n">
        <f aca="false">IF(INDEX(Raceways!$I$2:$I$18,MATCH(L59,Raceways!$A$2:$A$18,0))="","",INDEX(Raceways!$I$2:$I$18,MATCH(L59,Raceways!$A$2:$A$18,0)))</f>
        <v>0.8</v>
      </c>
      <c r="AM59" s="26" t="n">
        <f aca="false">INDEX('Cable Types'!$D$2:$D$41,MATCH(I59,'Cable Types'!$A$2:$A$41,0))</f>
        <v>1</v>
      </c>
      <c r="AN59" s="26" t="n">
        <f aca="false">IF(INDEX('Cable Types'!$E$2:$E$41,MATCH(I59,'Cable Types'!$A$2:$A$41,0))="","",INDEX('Cable Types'!$E$2:$E$41,MATCH(I59,'Cable Types'!$A$2:$A$41,0)))</f>
        <v>62</v>
      </c>
      <c r="AO59" s="26" t="n">
        <f aca="false">IF(INDEX('Cable Types'!$F$2:$F$41,MATCH(I59,'Cable Types'!$A$2:$A$41,0))="","",INDEX('Cable Types'!$F$2:$F$41,MATCH(I59,'Cable Types'!$A$2:$A$41,0)))</f>
        <v>538</v>
      </c>
      <c r="AP59" s="33" t="n">
        <f aca="false">IF(INDEX('Cable Types'!$G$2:$G$41,MATCH(I59,'Cable Types'!$A$2:$A$41,0))="","",INDEX('Cable Types'!$G$2:$G$41,MATCH(I59,'Cable Types'!$A$2:$A$41,0)))</f>
        <v>0.23</v>
      </c>
    </row>
    <row r="60" customFormat="false" ht="15" hidden="false" customHeight="false" outlineLevel="0" collapsed="false">
      <c r="A60" s="25" t="s">
        <v>749</v>
      </c>
      <c r="B60" s="25" t="s">
        <v>133</v>
      </c>
      <c r="C60" s="25" t="s">
        <v>68</v>
      </c>
      <c r="D60" s="25" t="s">
        <v>750</v>
      </c>
      <c r="E60" s="25" t="s">
        <v>453</v>
      </c>
      <c r="F60" s="26" t="str">
        <f aca="false">INDEX(Equipment!$B$2:$B$137,MATCH(E60,Equipment!$A$2:$A$137,0))</f>
        <v>Main power / motor control centre 400 V</v>
      </c>
      <c r="G60" s="25" t="s">
        <v>209</v>
      </c>
      <c r="H60" s="26" t="str">
        <f aca="false">INDEX(Equipment!$B$2:$B$137,MATCH(G60,Equipment!$A$2:$A$137,0))</f>
        <v>ST auxiliary MCC 400 V</v>
      </c>
      <c r="I60" s="25" t="s">
        <v>525</v>
      </c>
      <c r="J60" s="26" t="str">
        <f aca="false">INDEX('Cable Types'!$B$2:$B$41,MATCH(I60,'Cable Types'!$A$2:$A$41,0))</f>
        <v>0.6/1 kV 4C 240 mm2 Cu/XLPE/SWA/PVC</v>
      </c>
      <c r="K60" s="25" t="n">
        <v>2</v>
      </c>
      <c r="L60" s="25" t="s">
        <v>659</v>
      </c>
      <c r="M60" s="25" t="s">
        <v>638</v>
      </c>
      <c r="N60" s="25"/>
      <c r="O60" s="27" t="n">
        <f aca="false">IF(N60&lt;&gt;"",N60,IF(M60="D",ROUNDUP(SQRT((AH60-AE60)^2+(AI60-AF60)^2+(AJ60-AG60)^2)*(1+'Design Basis'!$C$6),0),ROUNDUP((ABS(AH60-AE60)+ABS(AI60-AF60)+ABS(AK60-AG60)+ABS(AK60-AJ60))*(1+'Design Basis'!$C$4)+2*'Design Basis'!$C$5,0)))</f>
        <v>89</v>
      </c>
      <c r="P60" s="27" t="n">
        <f aca="false">O60*K60*AM60</f>
        <v>178</v>
      </c>
      <c r="Q60" s="28" t="n">
        <v>400</v>
      </c>
      <c r="R60" s="25" t="n">
        <v>3</v>
      </c>
      <c r="S60" s="28" t="n">
        <v>300</v>
      </c>
      <c r="T60" s="29" t="n">
        <v>1</v>
      </c>
      <c r="U60" s="27" t="n">
        <f aca="false">IF(OR(S60="",Q60=""),"",IF(R60=3,S60*1000/(SQRT(3)*Q60*T60),S60*1000/(Q60*T60)))</f>
        <v>433.012701892219</v>
      </c>
      <c r="V60" s="27" t="n">
        <f aca="false">IF(OR(AO60="",AL60=""),"",AO60*AL60)</f>
        <v>430.4</v>
      </c>
      <c r="W60" s="27" t="n">
        <f aca="false">IF(V60="","",V60*K60)</f>
        <v>860.8</v>
      </c>
      <c r="X60" s="30" t="n">
        <f aca="false">IF(OR(U60="",W60=""),"",U60/W60)</f>
        <v>0.503035202012337</v>
      </c>
      <c r="Y60" s="30" t="n">
        <f aca="false">IF(OR(U60="",AP60=""),"",AP60*(U60/K60)*O60/1000/Q60)</f>
        <v>0.0110797125096672</v>
      </c>
      <c r="Z60" s="30" t="n">
        <f aca="false">IF(U60="","",IFERROR(IF(INDEX('Design Basis'!$C$13:$C$21,MATCH(C60,'Design Basis'!$A$13:$A$21,0))="","",INDEX('Design Basis'!$C$13:$C$21,MATCH(C60,'Design Basis'!$A$13:$A$21,0))),""))</f>
        <v>0.04</v>
      </c>
      <c r="AA60" s="31" t="str">
        <f aca="false">IF(U60="","n/a",IF(W60="","CHECK",IF(AND(X60&lt;=1,OR(Y60="",Z60="",Y60&lt;=Z60)),"OK","CHECK")))</f>
        <v>OK</v>
      </c>
      <c r="AB60" s="27" t="n">
        <f aca="false">IF(AN60="","",K60*AM60*PI()/4*AN60^2)</f>
        <v>6038.14108019958</v>
      </c>
      <c r="AC60" s="31"/>
      <c r="AE60" s="32" t="n">
        <f aca="false">INDEX(Equipment!$D$2:$D$137,MATCH(E60,Equipment!$A$2:$A$137,0))</f>
        <v>44</v>
      </c>
      <c r="AF60" s="32" t="n">
        <f aca="false">INDEX(Equipment!$E$2:$E$137,MATCH(E60,Equipment!$A$2:$A$137,0))</f>
        <v>52</v>
      </c>
      <c r="AG60" s="32" t="n">
        <f aca="false">INDEX(Equipment!$F$2:$F$137,MATCH(E60,Equipment!$A$2:$A$137,0))</f>
        <v>0.5</v>
      </c>
      <c r="AH60" s="32" t="n">
        <f aca="false">INDEX(Equipment!$D$2:$D$137,MATCH(G60,Equipment!$A$2:$A$137,0))</f>
        <v>88</v>
      </c>
      <c r="AI60" s="32" t="n">
        <f aca="false">INDEX(Equipment!$E$2:$E$137,MATCH(G60,Equipment!$A$2:$A$137,0))</f>
        <v>30</v>
      </c>
      <c r="AJ60" s="32" t="n">
        <f aca="false">INDEX(Equipment!$F$2:$F$137,MATCH(G60,Equipment!$A$2:$A$137,0))</f>
        <v>0.5</v>
      </c>
      <c r="AK60" s="32" t="n">
        <f aca="false">IF(INDEX(Raceways!$D$2:$D$18,MATCH(L60,Raceways!$A$2:$A$18,0))="",0,INDEX(Raceways!$D$2:$D$18,MATCH(L60,Raceways!$A$2:$A$18,0)))</f>
        <v>5</v>
      </c>
      <c r="AL60" s="33" t="n">
        <f aca="false">IF(INDEX(Raceways!$I$2:$I$18,MATCH(L60,Raceways!$A$2:$A$18,0))="","",INDEX(Raceways!$I$2:$I$18,MATCH(L60,Raceways!$A$2:$A$18,0)))</f>
        <v>0.8</v>
      </c>
      <c r="AM60" s="26" t="n">
        <f aca="false">INDEX('Cable Types'!$D$2:$D$41,MATCH(I60,'Cable Types'!$A$2:$A$41,0))</f>
        <v>1</v>
      </c>
      <c r="AN60" s="26" t="n">
        <f aca="false">IF(INDEX('Cable Types'!$E$2:$E$41,MATCH(I60,'Cable Types'!$A$2:$A$41,0))="","",INDEX('Cable Types'!$E$2:$E$41,MATCH(I60,'Cable Types'!$A$2:$A$41,0)))</f>
        <v>62</v>
      </c>
      <c r="AO60" s="26" t="n">
        <f aca="false">IF(INDEX('Cable Types'!$F$2:$F$41,MATCH(I60,'Cable Types'!$A$2:$A$41,0))="","",INDEX('Cable Types'!$F$2:$F$41,MATCH(I60,'Cable Types'!$A$2:$A$41,0)))</f>
        <v>538</v>
      </c>
      <c r="AP60" s="33" t="n">
        <f aca="false">IF(INDEX('Cable Types'!$G$2:$G$41,MATCH(I60,'Cable Types'!$A$2:$A$41,0))="","",INDEX('Cable Types'!$G$2:$G$41,MATCH(I60,'Cable Types'!$A$2:$A$41,0)))</f>
        <v>0.23</v>
      </c>
    </row>
    <row r="61" customFormat="false" ht="15" hidden="false" customHeight="false" outlineLevel="0" collapsed="false">
      <c r="A61" s="25" t="s">
        <v>751</v>
      </c>
      <c r="B61" s="25" t="s">
        <v>451</v>
      </c>
      <c r="C61" s="25" t="s">
        <v>68</v>
      </c>
      <c r="D61" s="25" t="s">
        <v>752</v>
      </c>
      <c r="E61" s="25" t="s">
        <v>453</v>
      </c>
      <c r="F61" s="26" t="str">
        <f aca="false">INDEX(Equipment!$B$2:$B$137,MATCH(E61,Equipment!$A$2:$A$137,0))</f>
        <v>Main power / motor control centre 400 V</v>
      </c>
      <c r="G61" s="25" t="s">
        <v>464</v>
      </c>
      <c r="H61" s="26" t="str">
        <f aca="false">INDEX(Equipment!$B$2:$B$137,MATCH(G61,Equipment!$A$2:$A$137,0))</f>
        <v>230 V AC UPS</v>
      </c>
      <c r="I61" s="25" t="s">
        <v>521</v>
      </c>
      <c r="J61" s="26" t="str">
        <f aca="false">INDEX('Cable Types'!$B$2:$B$41,MATCH(I61,'Cable Types'!$A$2:$A$41,0))</f>
        <v>0.6/1 kV 4C 70 mm2 Cu/XLPE/SWA/PVC</v>
      </c>
      <c r="K61" s="25" t="n">
        <v>1</v>
      </c>
      <c r="L61" s="25" t="s">
        <v>649</v>
      </c>
      <c r="M61" s="25" t="s">
        <v>638</v>
      </c>
      <c r="N61" s="25"/>
      <c r="O61" s="27" t="n">
        <f aca="false">IF(N61&lt;&gt;"",N61,IF(M61="D",ROUNDUP(SQRT((AH61-AE61)^2+(AI61-AF61)^2+(AJ61-AG61)^2)*(1+'Design Basis'!$C$6),0),ROUNDUP((ABS(AH61-AE61)+ABS(AI61-AF61)+ABS(AK61-AG61)+ABS(AK61-AJ61))*(1+'Design Basis'!$C$4)+2*'Design Basis'!$C$5,0)))</f>
        <v>12</v>
      </c>
      <c r="P61" s="27" t="n">
        <f aca="false">O61*K61*AM61</f>
        <v>12</v>
      </c>
      <c r="Q61" s="28" t="n">
        <v>400</v>
      </c>
      <c r="R61" s="25" t="n">
        <v>3</v>
      </c>
      <c r="S61" s="28" t="n">
        <v>80</v>
      </c>
      <c r="T61" s="29" t="n">
        <v>1</v>
      </c>
      <c r="U61" s="27" t="n">
        <f aca="false">IF(OR(S61="",Q61=""),"",IF(R61=3,S61*1000/(SQRT(3)*Q61*T61),S61*1000/(Q61*T61)))</f>
        <v>115.470053837925</v>
      </c>
      <c r="V61" s="27" t="n">
        <f aca="false">IF(OR(AO61="",AL61=""),"",AO61*AL61)</f>
        <v>196.8</v>
      </c>
      <c r="W61" s="27" t="n">
        <f aca="false">IF(V61="","",V61*K61)</f>
        <v>196.8</v>
      </c>
      <c r="X61" s="30" t="n">
        <f aca="false">IF(OR(U61="",W61=""),"",U61/W61)</f>
        <v>0.586738078444742</v>
      </c>
      <c r="Y61" s="30" t="n">
        <f aca="false">IF(OR(U61="",AP61=""),"",AP61*(U61/K61)*O61/1000/Q61)</f>
        <v>0.00207846096908265</v>
      </c>
      <c r="Z61" s="30" t="n">
        <f aca="false">IF(U61="","",IFERROR(IF(INDEX('Design Basis'!$C$13:$C$21,MATCH(C61,'Design Basis'!$A$13:$A$21,0))="","",INDEX('Design Basis'!$C$13:$C$21,MATCH(C61,'Design Basis'!$A$13:$A$21,0))),""))</f>
        <v>0.04</v>
      </c>
      <c r="AA61" s="31" t="str">
        <f aca="false">IF(U61="","n/a",IF(W61="","CHECK",IF(AND(X61&lt;=1,OR(Y61="",Z61="",Y61&lt;=Z61)),"OK","CHECK")))</f>
        <v>OK</v>
      </c>
      <c r="AB61" s="27" t="n">
        <f aca="false">IF(AN61="","",K61*AM61*PI()/4*AN61^2)</f>
        <v>1075.21008569111</v>
      </c>
      <c r="AC61" s="31"/>
      <c r="AE61" s="32" t="n">
        <f aca="false">INDEX(Equipment!$D$2:$D$137,MATCH(E61,Equipment!$A$2:$A$137,0))</f>
        <v>44</v>
      </c>
      <c r="AF61" s="32" t="n">
        <f aca="false">INDEX(Equipment!$E$2:$E$137,MATCH(E61,Equipment!$A$2:$A$137,0))</f>
        <v>52</v>
      </c>
      <c r="AG61" s="32" t="n">
        <f aca="false">INDEX(Equipment!$F$2:$F$137,MATCH(E61,Equipment!$A$2:$A$137,0))</f>
        <v>0.5</v>
      </c>
      <c r="AH61" s="32" t="n">
        <f aca="false">INDEX(Equipment!$D$2:$D$137,MATCH(G61,Equipment!$A$2:$A$137,0))</f>
        <v>43</v>
      </c>
      <c r="AI61" s="32" t="n">
        <f aca="false">INDEX(Equipment!$E$2:$E$137,MATCH(G61,Equipment!$A$2:$A$137,0))</f>
        <v>55</v>
      </c>
      <c r="AJ61" s="32" t="n">
        <f aca="false">INDEX(Equipment!$F$2:$F$137,MATCH(G61,Equipment!$A$2:$A$137,0))</f>
        <v>0.5</v>
      </c>
      <c r="AK61" s="32" t="n">
        <f aca="false">IF(INDEX(Raceways!$D$2:$D$18,MATCH(L61,Raceways!$A$2:$A$18,0))="",0,INDEX(Raceways!$D$2:$D$18,MATCH(L61,Raceways!$A$2:$A$18,0)))</f>
        <v>1</v>
      </c>
      <c r="AL61" s="33" t="n">
        <f aca="false">IF(INDEX(Raceways!$I$2:$I$18,MATCH(L61,Raceways!$A$2:$A$18,0))="","",INDEX(Raceways!$I$2:$I$18,MATCH(L61,Raceways!$A$2:$A$18,0)))</f>
        <v>0.8</v>
      </c>
      <c r="AM61" s="26" t="n">
        <f aca="false">INDEX('Cable Types'!$D$2:$D$41,MATCH(I61,'Cable Types'!$A$2:$A$41,0))</f>
        <v>1</v>
      </c>
      <c r="AN61" s="26" t="n">
        <f aca="false">IF(INDEX('Cable Types'!$E$2:$E$41,MATCH(I61,'Cable Types'!$A$2:$A$41,0))="","",INDEX('Cable Types'!$E$2:$E$41,MATCH(I61,'Cable Types'!$A$2:$A$41,0)))</f>
        <v>37</v>
      </c>
      <c r="AO61" s="26" t="n">
        <f aca="false">IF(INDEX('Cable Types'!$F$2:$F$41,MATCH(I61,'Cable Types'!$A$2:$A$41,0))="","",INDEX('Cable Types'!$F$2:$F$41,MATCH(I61,'Cable Types'!$A$2:$A$41,0)))</f>
        <v>246</v>
      </c>
      <c r="AP61" s="33" t="n">
        <f aca="false">IF(INDEX('Cable Types'!$G$2:$G$41,MATCH(I61,'Cable Types'!$A$2:$A$41,0))="","",INDEX('Cable Types'!$G$2:$G$41,MATCH(I61,'Cable Types'!$A$2:$A$41,0)))</f>
        <v>0.6</v>
      </c>
    </row>
    <row r="62" customFormat="false" ht="15" hidden="false" customHeight="false" outlineLevel="0" collapsed="false">
      <c r="A62" s="25" t="s">
        <v>753</v>
      </c>
      <c r="B62" s="25" t="s">
        <v>451</v>
      </c>
      <c r="C62" s="25" t="s">
        <v>68</v>
      </c>
      <c r="D62" s="25" t="s">
        <v>754</v>
      </c>
      <c r="E62" s="25" t="s">
        <v>453</v>
      </c>
      <c r="F62" s="26" t="str">
        <f aca="false">INDEX(Equipment!$B$2:$B$137,MATCH(E62,Equipment!$A$2:$A$137,0))</f>
        <v>Main power / motor control centre 400 V</v>
      </c>
      <c r="G62" s="25" t="s">
        <v>462</v>
      </c>
      <c r="H62" s="26" t="str">
        <f aca="false">INDEX(Equipment!$B$2:$B$137,MATCH(G62,Equipment!$A$2:$A$137,0))</f>
        <v>125 V DC battery and chargers</v>
      </c>
      <c r="I62" s="25" t="s">
        <v>519</v>
      </c>
      <c r="J62" s="26" t="str">
        <f aca="false">INDEX('Cable Types'!$B$2:$B$41,MATCH(I62,'Cable Types'!$A$2:$A$41,0))</f>
        <v>0.6/1 kV 4C 35 mm2 Cu/XLPE/SWA/PVC</v>
      </c>
      <c r="K62" s="25" t="n">
        <v>1</v>
      </c>
      <c r="L62" s="25" t="s">
        <v>649</v>
      </c>
      <c r="M62" s="25" t="s">
        <v>638</v>
      </c>
      <c r="N62" s="25"/>
      <c r="O62" s="27" t="n">
        <f aca="false">IF(N62&lt;&gt;"",N62,IF(M62="D",ROUNDUP(SQRT((AH62-AE62)^2+(AI62-AF62)^2+(AJ62-AG62)^2)*(1+'Design Basis'!$C$6),0),ROUNDUP((ABS(AH62-AE62)+ABS(AI62-AF62)+ABS(AK62-AG62)+ABS(AK62-AJ62))*(1+'Design Basis'!$C$4)+2*'Design Basis'!$C$5,0)))</f>
        <v>13</v>
      </c>
      <c r="P62" s="27" t="n">
        <f aca="false">O62*K62*AM62</f>
        <v>13</v>
      </c>
      <c r="Q62" s="28" t="n">
        <v>400</v>
      </c>
      <c r="R62" s="25" t="n">
        <v>3</v>
      </c>
      <c r="S62" s="28" t="n">
        <v>60</v>
      </c>
      <c r="T62" s="29" t="n">
        <v>1</v>
      </c>
      <c r="U62" s="27" t="n">
        <f aca="false">IF(OR(S62="",Q62=""),"",IF(R62=3,S62*1000/(SQRT(3)*Q62*T62),S62*1000/(Q62*T62)))</f>
        <v>86.6025403784439</v>
      </c>
      <c r="V62" s="27" t="n">
        <f aca="false">IF(OR(AO62="",AL62=""),"",AO62*AL62)</f>
        <v>126.4</v>
      </c>
      <c r="W62" s="27" t="n">
        <f aca="false">IF(V62="","",V62*K62)</f>
        <v>126.4</v>
      </c>
      <c r="X62" s="30" t="n">
        <f aca="false">IF(OR(U62="",W62=""),"",U62/W62)</f>
        <v>0.685146680209208</v>
      </c>
      <c r="Y62" s="30" t="n">
        <f aca="false">IF(OR(U62="",AP62=""),"",AP62*(U62/K62)*O62/1000/Q62)</f>
        <v>0.00323676994664434</v>
      </c>
      <c r="Z62" s="30" t="n">
        <f aca="false">IF(U62="","",IFERROR(IF(INDEX('Design Basis'!$C$13:$C$21,MATCH(C62,'Design Basis'!$A$13:$A$21,0))="","",INDEX('Design Basis'!$C$13:$C$21,MATCH(C62,'Design Basis'!$A$13:$A$21,0))),""))</f>
        <v>0.04</v>
      </c>
      <c r="AA62" s="31" t="str">
        <f aca="false">IF(U62="","n/a",IF(W62="","CHECK",IF(AND(X62&lt;=1,OR(Y62="",Z62="",Y62&lt;=Z62)),"OK","CHECK")))</f>
        <v>OK</v>
      </c>
      <c r="AB62" s="27" t="n">
        <f aca="false">IF(AN62="","",K62*AM62*PI()/4*AN62^2)</f>
        <v>660.519855417254</v>
      </c>
      <c r="AC62" s="31"/>
      <c r="AE62" s="32" t="n">
        <f aca="false">INDEX(Equipment!$D$2:$D$137,MATCH(E62,Equipment!$A$2:$A$137,0))</f>
        <v>44</v>
      </c>
      <c r="AF62" s="32" t="n">
        <f aca="false">INDEX(Equipment!$E$2:$E$137,MATCH(E62,Equipment!$A$2:$A$137,0))</f>
        <v>52</v>
      </c>
      <c r="AG62" s="32" t="n">
        <f aca="false">INDEX(Equipment!$F$2:$F$137,MATCH(E62,Equipment!$A$2:$A$137,0))</f>
        <v>0.5</v>
      </c>
      <c r="AH62" s="32" t="n">
        <f aca="false">INDEX(Equipment!$D$2:$D$137,MATCH(G62,Equipment!$A$2:$A$137,0))</f>
        <v>42</v>
      </c>
      <c r="AI62" s="32" t="n">
        <f aca="false">INDEX(Equipment!$E$2:$E$137,MATCH(G62,Equipment!$A$2:$A$137,0))</f>
        <v>55</v>
      </c>
      <c r="AJ62" s="32" t="n">
        <f aca="false">INDEX(Equipment!$F$2:$F$137,MATCH(G62,Equipment!$A$2:$A$137,0))</f>
        <v>0.5</v>
      </c>
      <c r="AK62" s="32" t="n">
        <f aca="false">IF(INDEX(Raceways!$D$2:$D$18,MATCH(L62,Raceways!$A$2:$A$18,0))="",0,INDEX(Raceways!$D$2:$D$18,MATCH(L62,Raceways!$A$2:$A$18,0)))</f>
        <v>1</v>
      </c>
      <c r="AL62" s="33" t="n">
        <f aca="false">IF(INDEX(Raceways!$I$2:$I$18,MATCH(L62,Raceways!$A$2:$A$18,0))="","",INDEX(Raceways!$I$2:$I$18,MATCH(L62,Raceways!$A$2:$A$18,0)))</f>
        <v>0.8</v>
      </c>
      <c r="AM62" s="26" t="n">
        <f aca="false">INDEX('Cable Types'!$D$2:$D$41,MATCH(I62,'Cable Types'!$A$2:$A$41,0))</f>
        <v>1</v>
      </c>
      <c r="AN62" s="26" t="n">
        <f aca="false">IF(INDEX('Cable Types'!$E$2:$E$41,MATCH(I62,'Cable Types'!$A$2:$A$41,0))="","",INDEX('Cable Types'!$E$2:$E$41,MATCH(I62,'Cable Types'!$A$2:$A$41,0)))</f>
        <v>29</v>
      </c>
      <c r="AO62" s="26" t="n">
        <f aca="false">IF(INDEX('Cable Types'!$F$2:$F$41,MATCH(I62,'Cable Types'!$A$2:$A$41,0))="","",INDEX('Cable Types'!$F$2:$F$41,MATCH(I62,'Cable Types'!$A$2:$A$41,0)))</f>
        <v>158</v>
      </c>
      <c r="AP62" s="33" t="n">
        <f aca="false">IF(INDEX('Cable Types'!$G$2:$G$41,MATCH(I62,'Cable Types'!$A$2:$A$41,0))="","",INDEX('Cable Types'!$G$2:$G$41,MATCH(I62,'Cable Types'!$A$2:$A$41,0)))</f>
        <v>1.15</v>
      </c>
    </row>
    <row r="63" customFormat="false" ht="15" hidden="false" customHeight="false" outlineLevel="0" collapsed="false">
      <c r="A63" s="25" t="s">
        <v>755</v>
      </c>
      <c r="B63" s="25" t="s">
        <v>102</v>
      </c>
      <c r="C63" s="25" t="s">
        <v>68</v>
      </c>
      <c r="D63" s="25" t="s">
        <v>756</v>
      </c>
      <c r="E63" s="25" t="s">
        <v>453</v>
      </c>
      <c r="F63" s="26" t="str">
        <f aca="false">INDEX(Equipment!$B$2:$B$137,MATCH(E63,Equipment!$A$2:$A$137,0))</f>
        <v>Main power / motor control centre 400 V</v>
      </c>
      <c r="G63" s="25" t="s">
        <v>122</v>
      </c>
      <c r="H63" s="26" t="str">
        <f aca="false">INDEX(Equipment!$B$2:$B$137,MATCH(G63,Equipment!$A$2:$A$137,0))</f>
        <v>Switchyard relay &amp; control building</v>
      </c>
      <c r="I63" s="25" t="s">
        <v>523</v>
      </c>
      <c r="J63" s="26" t="str">
        <f aca="false">INDEX('Cable Types'!$B$2:$B$41,MATCH(I63,'Cable Types'!$A$2:$A$41,0))</f>
        <v>0.6/1 kV 4C 120 mm2 Cu/XLPE/SWA/PVC</v>
      </c>
      <c r="K63" s="25" t="n">
        <v>1</v>
      </c>
      <c r="L63" s="25" t="s">
        <v>757</v>
      </c>
      <c r="M63" s="25" t="s">
        <v>638</v>
      </c>
      <c r="N63" s="25"/>
      <c r="O63" s="27" t="n">
        <f aca="false">IF(N63&lt;&gt;"",N63,IF(M63="D",ROUNDUP(SQRT((AH63-AE63)^2+(AI63-AF63)^2+(AJ63-AG63)^2)*(1+'Design Basis'!$C$6),0),ROUNDUP((ABS(AH63-AE63)+ABS(AI63-AF63)+ABS(AK63-AG63)+ABS(AK63-AJ63))*(1+'Design Basis'!$C$4)+2*'Design Basis'!$C$5,0)))</f>
        <v>150</v>
      </c>
      <c r="P63" s="27" t="n">
        <f aca="false">O63*K63*AM63</f>
        <v>150</v>
      </c>
      <c r="Q63" s="28" t="n">
        <v>400</v>
      </c>
      <c r="R63" s="25" t="n">
        <v>3</v>
      </c>
      <c r="S63" s="28" t="n">
        <v>100</v>
      </c>
      <c r="T63" s="29" t="n">
        <v>1</v>
      </c>
      <c r="U63" s="27" t="n">
        <f aca="false">IF(OR(S63="",Q63=""),"",IF(R63=3,S63*1000/(SQRT(3)*Q63*T63),S63*1000/(Q63*T63)))</f>
        <v>144.337567297406</v>
      </c>
      <c r="V63" s="27" t="n">
        <f aca="false">IF(OR(AO63="",AL63=""),"",AO63*AL63)</f>
        <v>242.2</v>
      </c>
      <c r="W63" s="27" t="n">
        <f aca="false">IF(V63="","",V63*K63)</f>
        <v>242.2</v>
      </c>
      <c r="X63" s="30" t="n">
        <f aca="false">IF(OR(U63="",W63=""),"",U63/W63)</f>
        <v>0.59594371303636</v>
      </c>
      <c r="Y63" s="30" t="n">
        <f aca="false">IF(OR(U63="",AP63=""),"",AP63*(U63/K63)*O63/1000/Q63)</f>
        <v>0.0200268374625151</v>
      </c>
      <c r="Z63" s="30" t="n">
        <f aca="false">IF(U63="","",IFERROR(IF(INDEX('Design Basis'!$C$13:$C$21,MATCH(C63,'Design Basis'!$A$13:$A$21,0))="","",INDEX('Design Basis'!$C$13:$C$21,MATCH(C63,'Design Basis'!$A$13:$A$21,0))),""))</f>
        <v>0.04</v>
      </c>
      <c r="AA63" s="31" t="str">
        <f aca="false">IF(U63="","n/a",IF(W63="","CHECK",IF(AND(X63&lt;=1,OR(Y63="",Z63="",Y63&lt;=Z63)),"OK","CHECK")))</f>
        <v>OK</v>
      </c>
      <c r="AB63" s="27" t="n">
        <f aca="false">IF(AN63="","",K63*AM63*PI()/4*AN63^2)</f>
        <v>1661.902513749</v>
      </c>
      <c r="AC63" s="31" t="s">
        <v>758</v>
      </c>
      <c r="AE63" s="32" t="n">
        <f aca="false">INDEX(Equipment!$D$2:$D$137,MATCH(E63,Equipment!$A$2:$A$137,0))</f>
        <v>44</v>
      </c>
      <c r="AF63" s="32" t="n">
        <f aca="false">INDEX(Equipment!$E$2:$E$137,MATCH(E63,Equipment!$A$2:$A$137,0))</f>
        <v>52</v>
      </c>
      <c r="AG63" s="32" t="n">
        <f aca="false">INDEX(Equipment!$F$2:$F$137,MATCH(E63,Equipment!$A$2:$A$137,0))</f>
        <v>0.5</v>
      </c>
      <c r="AH63" s="32" t="n">
        <f aca="false">INDEX(Equipment!$D$2:$D$137,MATCH(G63,Equipment!$A$2:$A$137,0))</f>
        <v>95</v>
      </c>
      <c r="AI63" s="32" t="n">
        <f aca="false">INDEX(Equipment!$E$2:$E$137,MATCH(G63,Equipment!$A$2:$A$137,0))</f>
        <v>128</v>
      </c>
      <c r="AJ63" s="32" t="n">
        <f aca="false">INDEX(Equipment!$F$2:$F$137,MATCH(G63,Equipment!$A$2:$A$137,0))</f>
        <v>0.5</v>
      </c>
      <c r="AK63" s="32" t="n">
        <f aca="false">IF(INDEX(Raceways!$D$2:$D$18,MATCH(L63,Raceways!$A$2:$A$18,0))="",0,INDEX(Raceways!$D$2:$D$18,MATCH(L63,Raceways!$A$2:$A$18,0)))</f>
        <v>-1.2</v>
      </c>
      <c r="AL63" s="33" t="n">
        <f aca="false">IF(INDEX(Raceways!$I$2:$I$18,MATCH(L63,Raceways!$A$2:$A$18,0))="","",INDEX(Raceways!$I$2:$I$18,MATCH(L63,Raceways!$A$2:$A$18,0)))</f>
        <v>0.7</v>
      </c>
      <c r="AM63" s="26" t="n">
        <f aca="false">INDEX('Cable Types'!$D$2:$D$41,MATCH(I63,'Cable Types'!$A$2:$A$41,0))</f>
        <v>1</v>
      </c>
      <c r="AN63" s="26" t="n">
        <f aca="false">IF(INDEX('Cable Types'!$E$2:$E$41,MATCH(I63,'Cable Types'!$A$2:$A$41,0))="","",INDEX('Cable Types'!$E$2:$E$41,MATCH(I63,'Cable Types'!$A$2:$A$41,0)))</f>
        <v>46</v>
      </c>
      <c r="AO63" s="26" t="n">
        <f aca="false">IF(INDEX('Cable Types'!$F$2:$F$41,MATCH(I63,'Cable Types'!$A$2:$A$41,0))="","",INDEX('Cable Types'!$F$2:$F$41,MATCH(I63,'Cable Types'!$A$2:$A$41,0)))</f>
        <v>346</v>
      </c>
      <c r="AP63" s="33" t="n">
        <f aca="false">IF(INDEX('Cable Types'!$G$2:$G$41,MATCH(I63,'Cable Types'!$A$2:$A$41,0))="","",INDEX('Cable Types'!$G$2:$G$41,MATCH(I63,'Cable Types'!$A$2:$A$41,0)))</f>
        <v>0.37</v>
      </c>
    </row>
    <row r="64" customFormat="false" ht="15" hidden="false" customHeight="false" outlineLevel="0" collapsed="false">
      <c r="A64" s="25" t="s">
        <v>759</v>
      </c>
      <c r="B64" s="25" t="s">
        <v>133</v>
      </c>
      <c r="C64" s="25" t="s">
        <v>68</v>
      </c>
      <c r="D64" s="25" t="s">
        <v>760</v>
      </c>
      <c r="E64" s="25" t="s">
        <v>453</v>
      </c>
      <c r="F64" s="26" t="str">
        <f aca="false">INDEX(Equipment!$B$2:$B$137,MATCH(E64,Equipment!$A$2:$A$137,0))</f>
        <v>Main power / motor control centre 400 V</v>
      </c>
      <c r="G64" s="25" t="s">
        <v>204</v>
      </c>
      <c r="H64" s="26" t="str">
        <f aca="false">INDEX(Equipment!$B$2:$B$137,MATCH(G64,Equipment!$A$2:$A$137,0))</f>
        <v>CEMS analyser shelter</v>
      </c>
      <c r="I64" s="25" t="s">
        <v>517</v>
      </c>
      <c r="J64" s="26" t="str">
        <f aca="false">INDEX('Cable Types'!$B$2:$B$41,MATCH(I64,'Cable Types'!$A$2:$A$41,0))</f>
        <v>0.6/1 kV 4C 16 mm2 Cu/XLPE/SWA/PVC</v>
      </c>
      <c r="K64" s="25" t="n">
        <v>1</v>
      </c>
      <c r="L64" s="25" t="s">
        <v>659</v>
      </c>
      <c r="M64" s="25" t="s">
        <v>638</v>
      </c>
      <c r="N64" s="25"/>
      <c r="O64" s="27" t="n">
        <f aca="false">IF(N64&lt;&gt;"",N64,IF(M64="D",ROUNDUP(SQRT((AH64-AE64)^2+(AI64-AF64)^2+(AJ64-AG64)^2)*(1+'Design Basis'!$C$6),0),ROUNDUP((ABS(AH64-AE64)+ABS(AI64-AF64)+ABS(AK64-AG64)+ABS(AK64-AJ64))*(1+'Design Basis'!$C$4)+2*'Design Basis'!$C$5,0)))</f>
        <v>168</v>
      </c>
      <c r="P64" s="27" t="n">
        <f aca="false">O64*K64*AM64</f>
        <v>168</v>
      </c>
      <c r="Q64" s="28" t="n">
        <v>400</v>
      </c>
      <c r="R64" s="25" t="n">
        <v>3</v>
      </c>
      <c r="S64" s="28" t="n">
        <v>20</v>
      </c>
      <c r="T64" s="29" t="n">
        <v>1</v>
      </c>
      <c r="U64" s="27" t="n">
        <f aca="false">IF(OR(S64="",Q64=""),"",IF(R64=3,S64*1000/(SQRT(3)*Q64*T64),S64*1000/(Q64*T64)))</f>
        <v>28.8675134594813</v>
      </c>
      <c r="V64" s="27" t="n">
        <f aca="false">IF(OR(AO64="",AL64=""),"",AO64*AL64)</f>
        <v>80</v>
      </c>
      <c r="W64" s="27" t="n">
        <f aca="false">IF(V64="","",V64*K64)</f>
        <v>80</v>
      </c>
      <c r="X64" s="30" t="n">
        <f aca="false">IF(OR(U64="",W64=""),"",U64/W64)</f>
        <v>0.360843918243516</v>
      </c>
      <c r="Y64" s="30" t="n">
        <f aca="false">IF(OR(U64="",AP64=""),"",AP64*(U64/K64)*O64/1000/Q64)</f>
        <v>0.0303108891324554</v>
      </c>
      <c r="Z64" s="30" t="n">
        <f aca="false">IF(U64="","",IFERROR(IF(INDEX('Design Basis'!$C$13:$C$21,MATCH(C64,'Design Basis'!$A$13:$A$21,0))="","",INDEX('Design Basis'!$C$13:$C$21,MATCH(C64,'Design Basis'!$A$13:$A$21,0))),""))</f>
        <v>0.04</v>
      </c>
      <c r="AA64" s="31" t="str">
        <f aca="false">IF(U64="","n/a",IF(W64="","CHECK",IF(AND(X64&lt;=1,OR(Y64="",Z64="",Y64&lt;=Z64)),"OK","CHECK")))</f>
        <v>OK</v>
      </c>
      <c r="AB64" s="27" t="n">
        <f aca="false">IF(AN64="","",K64*AM64*PI()/4*AN64^2)</f>
        <v>415.47562843725</v>
      </c>
      <c r="AC64" s="31"/>
      <c r="AE64" s="32" t="n">
        <f aca="false">INDEX(Equipment!$D$2:$D$137,MATCH(E64,Equipment!$A$2:$A$137,0))</f>
        <v>44</v>
      </c>
      <c r="AF64" s="32" t="n">
        <f aca="false">INDEX(Equipment!$E$2:$E$137,MATCH(E64,Equipment!$A$2:$A$137,0))</f>
        <v>52</v>
      </c>
      <c r="AG64" s="32" t="n">
        <f aca="false">INDEX(Equipment!$F$2:$F$137,MATCH(E64,Equipment!$A$2:$A$137,0))</f>
        <v>0.5</v>
      </c>
      <c r="AH64" s="32" t="n">
        <f aca="false">INDEX(Equipment!$D$2:$D$137,MATCH(G64,Equipment!$A$2:$A$137,0))</f>
        <v>122</v>
      </c>
      <c r="AI64" s="32" t="n">
        <f aca="false">INDEX(Equipment!$E$2:$E$137,MATCH(G64,Equipment!$A$2:$A$137,0))</f>
        <v>-8</v>
      </c>
      <c r="AJ64" s="32" t="n">
        <f aca="false">INDEX(Equipment!$F$2:$F$137,MATCH(G64,Equipment!$A$2:$A$137,0))</f>
        <v>0.5</v>
      </c>
      <c r="AK64" s="32" t="n">
        <f aca="false">IF(INDEX(Raceways!$D$2:$D$18,MATCH(L64,Raceways!$A$2:$A$18,0))="",0,INDEX(Raceways!$D$2:$D$18,MATCH(L64,Raceways!$A$2:$A$18,0)))</f>
        <v>5</v>
      </c>
      <c r="AL64" s="33" t="n">
        <f aca="false">IF(INDEX(Raceways!$I$2:$I$18,MATCH(L64,Raceways!$A$2:$A$18,0))="","",INDEX(Raceways!$I$2:$I$18,MATCH(L64,Raceways!$A$2:$A$18,0)))</f>
        <v>0.8</v>
      </c>
      <c r="AM64" s="26" t="n">
        <f aca="false">INDEX('Cable Types'!$D$2:$D$41,MATCH(I64,'Cable Types'!$A$2:$A$41,0))</f>
        <v>1</v>
      </c>
      <c r="AN64" s="26" t="n">
        <f aca="false">IF(INDEX('Cable Types'!$E$2:$E$41,MATCH(I64,'Cable Types'!$A$2:$A$41,0))="","",INDEX('Cable Types'!$E$2:$E$41,MATCH(I64,'Cable Types'!$A$2:$A$41,0)))</f>
        <v>23</v>
      </c>
      <c r="AO64" s="26" t="n">
        <f aca="false">IF(INDEX('Cable Types'!$F$2:$F$41,MATCH(I64,'Cable Types'!$A$2:$A$41,0))="","",INDEX('Cable Types'!$F$2:$F$41,MATCH(I64,'Cable Types'!$A$2:$A$41,0)))</f>
        <v>100</v>
      </c>
      <c r="AP64" s="33" t="n">
        <f aca="false">IF(INDEX('Cable Types'!$G$2:$G$41,MATCH(I64,'Cable Types'!$A$2:$A$41,0))="","",INDEX('Cable Types'!$G$2:$G$41,MATCH(I64,'Cable Types'!$A$2:$A$41,0)))</f>
        <v>2.5</v>
      </c>
    </row>
    <row r="65" customFormat="false" ht="15" hidden="false" customHeight="false" outlineLevel="0" collapsed="false">
      <c r="A65" s="25" t="s">
        <v>761</v>
      </c>
      <c r="B65" s="25" t="s">
        <v>133</v>
      </c>
      <c r="C65" s="25" t="s">
        <v>68</v>
      </c>
      <c r="D65" s="25" t="s">
        <v>762</v>
      </c>
      <c r="E65" s="25" t="s">
        <v>166</v>
      </c>
      <c r="F65" s="26" t="str">
        <f aca="false">INDEX(Equipment!$B$2:$B$137,MATCH(E65,Equipment!$A$2:$A$137,0))</f>
        <v>GT auxiliary MCC 400 V (in PEECC)</v>
      </c>
      <c r="G65" s="25" t="s">
        <v>168</v>
      </c>
      <c r="H65" s="26" t="str">
        <f aca="false">INDEX(Equipment!$B$2:$B$137,MATCH(G65,Equipment!$A$2:$A$137,0))</f>
        <v>GT AC lube oil pump motor 75 kW</v>
      </c>
      <c r="I65" s="25" t="s">
        <v>521</v>
      </c>
      <c r="J65" s="26" t="str">
        <f aca="false">INDEX('Cable Types'!$B$2:$B$41,MATCH(I65,'Cable Types'!$A$2:$A$41,0))</f>
        <v>0.6/1 kV 4C 70 mm2 Cu/XLPE/SWA/PVC</v>
      </c>
      <c r="K65" s="25" t="n">
        <v>1</v>
      </c>
      <c r="L65" s="25" t="s">
        <v>649</v>
      </c>
      <c r="M65" s="25" t="s">
        <v>638</v>
      </c>
      <c r="N65" s="25"/>
      <c r="O65" s="27" t="n">
        <f aca="false">IF(N65&lt;&gt;"",N65,IF(M65="D",ROUNDUP(SQRT((AH65-AE65)^2+(AI65-AF65)^2+(AJ65-AG65)^2)*(1+'Design Basis'!$C$6),0),ROUNDUP((ABS(AH65-AE65)+ABS(AI65-AF65)+ABS(AK65-AG65)+ABS(AK65-AJ65))*(1+'Design Basis'!$C$4)+2*'Design Basis'!$C$5,0)))</f>
        <v>22</v>
      </c>
      <c r="P65" s="27" t="n">
        <f aca="false">O65*K65*AM65</f>
        <v>22</v>
      </c>
      <c r="Q65" s="28" t="n">
        <v>400</v>
      </c>
      <c r="R65" s="25" t="n">
        <v>3</v>
      </c>
      <c r="S65" s="28" t="n">
        <v>75</v>
      </c>
      <c r="T65" s="29" t="n">
        <v>0.8</v>
      </c>
      <c r="U65" s="27" t="n">
        <f aca="false">IF(OR(S65="",Q65=""),"",IF(R65=3,S65*1000/(SQRT(3)*Q65*T65),S65*1000/(Q65*T65)))</f>
        <v>135.316469341319</v>
      </c>
      <c r="V65" s="27" t="n">
        <f aca="false">IF(OR(AO65="",AL65=""),"",AO65*AL65)</f>
        <v>196.8</v>
      </c>
      <c r="W65" s="27" t="n">
        <f aca="false">IF(V65="","",V65*K65)</f>
        <v>196.8</v>
      </c>
      <c r="X65" s="30" t="n">
        <f aca="false">IF(OR(U65="",W65=""),"",U65/W65)</f>
        <v>0.687583685677432</v>
      </c>
      <c r="Y65" s="30" t="n">
        <f aca="false">IF(OR(U65="",AP65=""),"",AP65*(U65/K65)*O65/1000/Q65)</f>
        <v>0.00446544348826351</v>
      </c>
      <c r="Z65" s="30" t="n">
        <f aca="false">IF(U65="","",IFERROR(IF(INDEX('Design Basis'!$C$13:$C$21,MATCH(C65,'Design Basis'!$A$13:$A$21,0))="","",INDEX('Design Basis'!$C$13:$C$21,MATCH(C65,'Design Basis'!$A$13:$A$21,0))),""))</f>
        <v>0.04</v>
      </c>
      <c r="AA65" s="31" t="str">
        <f aca="false">IF(U65="","n/a",IF(W65="","CHECK",IF(AND(X65&lt;=1,OR(Y65="",Z65="",Y65&lt;=Z65)),"OK","CHECK")))</f>
        <v>OK</v>
      </c>
      <c r="AB65" s="27" t="n">
        <f aca="false">IF(AN65="","",K65*AM65*PI()/4*AN65^2)</f>
        <v>1075.21008569111</v>
      </c>
      <c r="AC65" s="31"/>
      <c r="AE65" s="32" t="n">
        <f aca="false">INDEX(Equipment!$D$2:$D$137,MATCH(E65,Equipment!$A$2:$A$137,0))</f>
        <v>48</v>
      </c>
      <c r="AF65" s="32" t="n">
        <f aca="false">INDEX(Equipment!$E$2:$E$137,MATCH(E65,Equipment!$A$2:$A$137,0))</f>
        <v>-6</v>
      </c>
      <c r="AG65" s="32" t="n">
        <f aca="false">INDEX(Equipment!$F$2:$F$137,MATCH(E65,Equipment!$A$2:$A$137,0))</f>
        <v>0.5</v>
      </c>
      <c r="AH65" s="32" t="n">
        <f aca="false">INDEX(Equipment!$D$2:$D$137,MATCH(G65,Equipment!$A$2:$A$137,0))</f>
        <v>60</v>
      </c>
      <c r="AI65" s="32" t="n">
        <f aca="false">INDEX(Equipment!$E$2:$E$137,MATCH(G65,Equipment!$A$2:$A$137,0))</f>
        <v>-5</v>
      </c>
      <c r="AJ65" s="32" t="n">
        <f aca="false">INDEX(Equipment!$F$2:$F$137,MATCH(G65,Equipment!$A$2:$A$137,0))</f>
        <v>0.5</v>
      </c>
      <c r="AK65" s="32" t="n">
        <f aca="false">IF(INDEX(Raceways!$D$2:$D$18,MATCH(L65,Raceways!$A$2:$A$18,0))="",0,INDEX(Raceways!$D$2:$D$18,MATCH(L65,Raceways!$A$2:$A$18,0)))</f>
        <v>1</v>
      </c>
      <c r="AL65" s="33" t="n">
        <f aca="false">IF(INDEX(Raceways!$I$2:$I$18,MATCH(L65,Raceways!$A$2:$A$18,0))="","",INDEX(Raceways!$I$2:$I$18,MATCH(L65,Raceways!$A$2:$A$18,0)))</f>
        <v>0.8</v>
      </c>
      <c r="AM65" s="26" t="n">
        <f aca="false">INDEX('Cable Types'!$D$2:$D$41,MATCH(I65,'Cable Types'!$A$2:$A$41,0))</f>
        <v>1</v>
      </c>
      <c r="AN65" s="26" t="n">
        <f aca="false">IF(INDEX('Cable Types'!$E$2:$E$41,MATCH(I65,'Cable Types'!$A$2:$A$41,0))="","",INDEX('Cable Types'!$E$2:$E$41,MATCH(I65,'Cable Types'!$A$2:$A$41,0)))</f>
        <v>37</v>
      </c>
      <c r="AO65" s="26" t="n">
        <f aca="false">IF(INDEX('Cable Types'!$F$2:$F$41,MATCH(I65,'Cable Types'!$A$2:$A$41,0))="","",INDEX('Cable Types'!$F$2:$F$41,MATCH(I65,'Cable Types'!$A$2:$A$41,0)))</f>
        <v>246</v>
      </c>
      <c r="AP65" s="33" t="n">
        <f aca="false">IF(INDEX('Cable Types'!$G$2:$G$41,MATCH(I65,'Cable Types'!$A$2:$A$41,0))="","",INDEX('Cable Types'!$G$2:$G$41,MATCH(I65,'Cable Types'!$A$2:$A$41,0)))</f>
        <v>0.6</v>
      </c>
    </row>
    <row r="66" customFormat="false" ht="15" hidden="false" customHeight="false" outlineLevel="0" collapsed="false">
      <c r="A66" s="25" t="s">
        <v>763</v>
      </c>
      <c r="B66" s="25" t="s">
        <v>133</v>
      </c>
      <c r="C66" s="25" t="s">
        <v>68</v>
      </c>
      <c r="D66" s="25" t="s">
        <v>764</v>
      </c>
      <c r="E66" s="25" t="s">
        <v>166</v>
      </c>
      <c r="F66" s="26" t="str">
        <f aca="false">INDEX(Equipment!$B$2:$B$137,MATCH(E66,Equipment!$A$2:$A$137,0))</f>
        <v>GT auxiliary MCC 400 V (in PEECC)</v>
      </c>
      <c r="G66" s="25" t="s">
        <v>174</v>
      </c>
      <c r="H66" s="26" t="str">
        <f aca="false">INDEX(Equipment!$B$2:$B$137,MATCH(G66,Equipment!$A$2:$A$137,0))</f>
        <v>GT enclosure ventilation fan A 45 kW</v>
      </c>
      <c r="I66" s="25" t="s">
        <v>519</v>
      </c>
      <c r="J66" s="26" t="str">
        <f aca="false">INDEX('Cable Types'!$B$2:$B$41,MATCH(I66,'Cable Types'!$A$2:$A$41,0))</f>
        <v>0.6/1 kV 4C 35 mm2 Cu/XLPE/SWA/PVC</v>
      </c>
      <c r="K66" s="25" t="n">
        <v>1</v>
      </c>
      <c r="L66" s="25" t="s">
        <v>649</v>
      </c>
      <c r="M66" s="25" t="s">
        <v>638</v>
      </c>
      <c r="N66" s="25"/>
      <c r="O66" s="27" t="n">
        <f aca="false">IF(N66&lt;&gt;"",N66,IF(M66="D",ROUNDUP(SQRT((AH66-AE66)^2+(AI66-AF66)^2+(AJ66-AG66)^2)*(1+'Design Basis'!$C$6),0),ROUNDUP((ABS(AH66-AE66)+ABS(AI66-AF66)+ABS(AK66-AG66)+ABS(AK66-AJ66))*(1+'Design Basis'!$C$4)+2*'Design Basis'!$C$5,0)))</f>
        <v>36</v>
      </c>
      <c r="P66" s="27" t="n">
        <f aca="false">O66*K66*AM66</f>
        <v>36</v>
      </c>
      <c r="Q66" s="28" t="n">
        <v>400</v>
      </c>
      <c r="R66" s="25" t="n">
        <v>3</v>
      </c>
      <c r="S66" s="28" t="n">
        <v>45</v>
      </c>
      <c r="T66" s="29" t="n">
        <v>0.8</v>
      </c>
      <c r="U66" s="27" t="n">
        <f aca="false">IF(OR(S66="",Q66=""),"",IF(R66=3,S66*1000/(SQRT(3)*Q66*T66),S66*1000/(Q66*T66)))</f>
        <v>81.1898816047911</v>
      </c>
      <c r="V66" s="27" t="n">
        <f aca="false">IF(OR(AO66="",AL66=""),"",AO66*AL66)</f>
        <v>126.4</v>
      </c>
      <c r="W66" s="27" t="n">
        <f aca="false">IF(V66="","",V66*K66)</f>
        <v>126.4</v>
      </c>
      <c r="X66" s="30" t="n">
        <f aca="false">IF(OR(U66="",W66=""),"",U66/W66)</f>
        <v>0.642325012696132</v>
      </c>
      <c r="Y66" s="30" t="n">
        <f aca="false">IF(OR(U66="",AP66=""),"",AP66*(U66/K66)*O66/1000/Q66)</f>
        <v>0.00840315274609588</v>
      </c>
      <c r="Z66" s="30" t="n">
        <f aca="false">IF(U66="","",IFERROR(IF(INDEX('Design Basis'!$C$13:$C$21,MATCH(C66,'Design Basis'!$A$13:$A$21,0))="","",INDEX('Design Basis'!$C$13:$C$21,MATCH(C66,'Design Basis'!$A$13:$A$21,0))),""))</f>
        <v>0.04</v>
      </c>
      <c r="AA66" s="31" t="str">
        <f aca="false">IF(U66="","n/a",IF(W66="","CHECK",IF(AND(X66&lt;=1,OR(Y66="",Z66="",Y66&lt;=Z66)),"OK","CHECK")))</f>
        <v>OK</v>
      </c>
      <c r="AB66" s="27" t="n">
        <f aca="false">IF(AN66="","",K66*AM66*PI()/4*AN66^2)</f>
        <v>660.519855417254</v>
      </c>
      <c r="AC66" s="31"/>
      <c r="AE66" s="32" t="n">
        <f aca="false">INDEX(Equipment!$D$2:$D$137,MATCH(E66,Equipment!$A$2:$A$137,0))</f>
        <v>48</v>
      </c>
      <c r="AF66" s="32" t="n">
        <f aca="false">INDEX(Equipment!$E$2:$E$137,MATCH(E66,Equipment!$A$2:$A$137,0))</f>
        <v>-6</v>
      </c>
      <c r="AG66" s="32" t="n">
        <f aca="false">INDEX(Equipment!$F$2:$F$137,MATCH(E66,Equipment!$A$2:$A$137,0))</f>
        <v>0.5</v>
      </c>
      <c r="AH66" s="32" t="n">
        <f aca="false">INDEX(Equipment!$D$2:$D$137,MATCH(G66,Equipment!$A$2:$A$137,0))</f>
        <v>52</v>
      </c>
      <c r="AI66" s="32" t="n">
        <f aca="false">INDEX(Equipment!$E$2:$E$137,MATCH(G66,Equipment!$A$2:$A$137,0))</f>
        <v>6.5</v>
      </c>
      <c r="AJ66" s="32" t="n">
        <f aca="false">INDEX(Equipment!$F$2:$F$137,MATCH(G66,Equipment!$A$2:$A$137,0))</f>
        <v>11</v>
      </c>
      <c r="AK66" s="32" t="n">
        <f aca="false">IF(INDEX(Raceways!$D$2:$D$18,MATCH(L66,Raceways!$A$2:$A$18,0))="",0,INDEX(Raceways!$D$2:$D$18,MATCH(L66,Raceways!$A$2:$A$18,0)))</f>
        <v>1</v>
      </c>
      <c r="AL66" s="33" t="n">
        <f aca="false">IF(INDEX(Raceways!$I$2:$I$18,MATCH(L66,Raceways!$A$2:$A$18,0))="","",INDEX(Raceways!$I$2:$I$18,MATCH(L66,Raceways!$A$2:$A$18,0)))</f>
        <v>0.8</v>
      </c>
      <c r="AM66" s="26" t="n">
        <f aca="false">INDEX('Cable Types'!$D$2:$D$41,MATCH(I66,'Cable Types'!$A$2:$A$41,0))</f>
        <v>1</v>
      </c>
      <c r="AN66" s="26" t="n">
        <f aca="false">IF(INDEX('Cable Types'!$E$2:$E$41,MATCH(I66,'Cable Types'!$A$2:$A$41,0))="","",INDEX('Cable Types'!$E$2:$E$41,MATCH(I66,'Cable Types'!$A$2:$A$41,0)))</f>
        <v>29</v>
      </c>
      <c r="AO66" s="26" t="n">
        <f aca="false">IF(INDEX('Cable Types'!$F$2:$F$41,MATCH(I66,'Cable Types'!$A$2:$A$41,0))="","",INDEX('Cable Types'!$F$2:$F$41,MATCH(I66,'Cable Types'!$A$2:$A$41,0)))</f>
        <v>158</v>
      </c>
      <c r="AP66" s="33" t="n">
        <f aca="false">IF(INDEX('Cable Types'!$G$2:$G$41,MATCH(I66,'Cable Types'!$A$2:$A$41,0))="","",INDEX('Cable Types'!$G$2:$G$41,MATCH(I66,'Cable Types'!$A$2:$A$41,0)))</f>
        <v>1.15</v>
      </c>
    </row>
    <row r="67" customFormat="false" ht="15" hidden="false" customHeight="false" outlineLevel="0" collapsed="false">
      <c r="A67" s="25" t="s">
        <v>765</v>
      </c>
      <c r="B67" s="25" t="s">
        <v>133</v>
      </c>
      <c r="C67" s="25" t="s">
        <v>68</v>
      </c>
      <c r="D67" s="25" t="s">
        <v>766</v>
      </c>
      <c r="E67" s="25" t="s">
        <v>166</v>
      </c>
      <c r="F67" s="26" t="str">
        <f aca="false">INDEX(Equipment!$B$2:$B$137,MATCH(E67,Equipment!$A$2:$A$137,0))</f>
        <v>GT auxiliary MCC 400 V (in PEECC)</v>
      </c>
      <c r="G67" s="25" t="s">
        <v>177</v>
      </c>
      <c r="H67" s="26" t="str">
        <f aca="false">INDEX(Equipment!$B$2:$B$137,MATCH(G67,Equipment!$A$2:$A$137,0))</f>
        <v>GT enclosure ventilation fan B 45 kW</v>
      </c>
      <c r="I67" s="25" t="s">
        <v>519</v>
      </c>
      <c r="J67" s="26" t="str">
        <f aca="false">INDEX('Cable Types'!$B$2:$B$41,MATCH(I67,'Cable Types'!$A$2:$A$41,0))</f>
        <v>0.6/1 kV 4C 35 mm2 Cu/XLPE/SWA/PVC</v>
      </c>
      <c r="K67" s="25" t="n">
        <v>1</v>
      </c>
      <c r="L67" s="25" t="s">
        <v>649</v>
      </c>
      <c r="M67" s="25" t="s">
        <v>638</v>
      </c>
      <c r="N67" s="25"/>
      <c r="O67" s="27" t="n">
        <f aca="false">IF(N67&lt;&gt;"",N67,IF(M67="D",ROUNDUP(SQRT((AH67-AE67)^2+(AI67-AF67)^2+(AJ67-AG67)^2)*(1+'Design Basis'!$C$6),0),ROUNDUP((ABS(AH67-AE67)+ABS(AI67-AF67)+ABS(AK67-AG67)+ABS(AK67-AJ67))*(1+'Design Basis'!$C$4)+2*'Design Basis'!$C$5,0)))</f>
        <v>45</v>
      </c>
      <c r="P67" s="27" t="n">
        <f aca="false">O67*K67*AM67</f>
        <v>45</v>
      </c>
      <c r="Q67" s="28" t="n">
        <v>400</v>
      </c>
      <c r="R67" s="25" t="n">
        <v>3</v>
      </c>
      <c r="S67" s="28" t="n">
        <v>45</v>
      </c>
      <c r="T67" s="29" t="n">
        <v>0.8</v>
      </c>
      <c r="U67" s="27" t="n">
        <f aca="false">IF(OR(S67="",Q67=""),"",IF(R67=3,S67*1000/(SQRT(3)*Q67*T67),S67*1000/(Q67*T67)))</f>
        <v>81.1898816047911</v>
      </c>
      <c r="V67" s="27" t="n">
        <f aca="false">IF(OR(AO67="",AL67=""),"",AO67*AL67)</f>
        <v>126.4</v>
      </c>
      <c r="W67" s="27" t="n">
        <f aca="false">IF(V67="","",V67*K67)</f>
        <v>126.4</v>
      </c>
      <c r="X67" s="30" t="n">
        <f aca="false">IF(OR(U67="",W67=""),"",U67/W67)</f>
        <v>0.642325012696132</v>
      </c>
      <c r="Y67" s="30" t="n">
        <f aca="false">IF(OR(U67="",AP67=""),"",AP67*(U67/K67)*O67/1000/Q67)</f>
        <v>0.0105039409326199</v>
      </c>
      <c r="Z67" s="30" t="n">
        <f aca="false">IF(U67="","",IFERROR(IF(INDEX('Design Basis'!$C$13:$C$21,MATCH(C67,'Design Basis'!$A$13:$A$21,0))="","",INDEX('Design Basis'!$C$13:$C$21,MATCH(C67,'Design Basis'!$A$13:$A$21,0))),""))</f>
        <v>0.04</v>
      </c>
      <c r="AA67" s="31" t="str">
        <f aca="false">IF(U67="","n/a",IF(W67="","CHECK",IF(AND(X67&lt;=1,OR(Y67="",Z67="",Y67&lt;=Z67)),"OK","CHECK")))</f>
        <v>OK</v>
      </c>
      <c r="AB67" s="27" t="n">
        <f aca="false">IF(AN67="","",K67*AM67*PI()/4*AN67^2)</f>
        <v>660.519855417254</v>
      </c>
      <c r="AC67" s="31"/>
      <c r="AE67" s="32" t="n">
        <f aca="false">INDEX(Equipment!$D$2:$D$137,MATCH(E67,Equipment!$A$2:$A$137,0))</f>
        <v>48</v>
      </c>
      <c r="AF67" s="32" t="n">
        <f aca="false">INDEX(Equipment!$E$2:$E$137,MATCH(E67,Equipment!$A$2:$A$137,0))</f>
        <v>-6</v>
      </c>
      <c r="AG67" s="32" t="n">
        <f aca="false">INDEX(Equipment!$F$2:$F$137,MATCH(E67,Equipment!$A$2:$A$137,0))</f>
        <v>0.5</v>
      </c>
      <c r="AH67" s="32" t="n">
        <f aca="false">INDEX(Equipment!$D$2:$D$137,MATCH(G67,Equipment!$A$2:$A$137,0))</f>
        <v>60</v>
      </c>
      <c r="AI67" s="32" t="n">
        <f aca="false">INDEX(Equipment!$E$2:$E$137,MATCH(G67,Equipment!$A$2:$A$137,0))</f>
        <v>6.5</v>
      </c>
      <c r="AJ67" s="32" t="n">
        <f aca="false">INDEX(Equipment!$F$2:$F$137,MATCH(G67,Equipment!$A$2:$A$137,0))</f>
        <v>11</v>
      </c>
      <c r="AK67" s="32" t="n">
        <f aca="false">IF(INDEX(Raceways!$D$2:$D$18,MATCH(L67,Raceways!$A$2:$A$18,0))="",0,INDEX(Raceways!$D$2:$D$18,MATCH(L67,Raceways!$A$2:$A$18,0)))</f>
        <v>1</v>
      </c>
      <c r="AL67" s="33" t="n">
        <f aca="false">IF(INDEX(Raceways!$I$2:$I$18,MATCH(L67,Raceways!$A$2:$A$18,0))="","",INDEX(Raceways!$I$2:$I$18,MATCH(L67,Raceways!$A$2:$A$18,0)))</f>
        <v>0.8</v>
      </c>
      <c r="AM67" s="26" t="n">
        <f aca="false">INDEX('Cable Types'!$D$2:$D$41,MATCH(I67,'Cable Types'!$A$2:$A$41,0))</f>
        <v>1</v>
      </c>
      <c r="AN67" s="26" t="n">
        <f aca="false">IF(INDEX('Cable Types'!$E$2:$E$41,MATCH(I67,'Cable Types'!$A$2:$A$41,0))="","",INDEX('Cable Types'!$E$2:$E$41,MATCH(I67,'Cable Types'!$A$2:$A$41,0)))</f>
        <v>29</v>
      </c>
      <c r="AO67" s="26" t="n">
        <f aca="false">IF(INDEX('Cable Types'!$F$2:$F$41,MATCH(I67,'Cable Types'!$A$2:$A$41,0))="","",INDEX('Cable Types'!$F$2:$F$41,MATCH(I67,'Cable Types'!$A$2:$A$41,0)))</f>
        <v>158</v>
      </c>
      <c r="AP67" s="33" t="n">
        <f aca="false">IF(INDEX('Cable Types'!$G$2:$G$41,MATCH(I67,'Cable Types'!$A$2:$A$41,0))="","",INDEX('Cable Types'!$G$2:$G$41,MATCH(I67,'Cable Types'!$A$2:$A$41,0)))</f>
        <v>1.15</v>
      </c>
    </row>
    <row r="68" customFormat="false" ht="15" hidden="false" customHeight="false" outlineLevel="0" collapsed="false">
      <c r="A68" s="25" t="s">
        <v>767</v>
      </c>
      <c r="B68" s="25" t="s">
        <v>133</v>
      </c>
      <c r="C68" s="25" t="s">
        <v>68</v>
      </c>
      <c r="D68" s="25" t="s">
        <v>768</v>
      </c>
      <c r="E68" s="25" t="s">
        <v>185</v>
      </c>
      <c r="F68" s="26" t="str">
        <f aca="false">INDEX(Equipment!$B$2:$B$137,MATCH(E68,Equipment!$A$2:$A$137,0))</f>
        <v>HRSG auxiliary MCC 400 V</v>
      </c>
      <c r="G68" s="25" t="s">
        <v>193</v>
      </c>
      <c r="H68" s="26" t="str">
        <f aca="false">INDEX(Equipment!$B$2:$B$137,MATCH(G68,Equipment!$A$2:$A$137,0))</f>
        <v>HRSG preheater recirculation pump motor 55 kW</v>
      </c>
      <c r="I68" s="25" t="s">
        <v>519</v>
      </c>
      <c r="J68" s="26" t="str">
        <f aca="false">INDEX('Cable Types'!$B$2:$B$41,MATCH(I68,'Cable Types'!$A$2:$A$41,0))</f>
        <v>0.6/1 kV 4C 35 mm2 Cu/XLPE/SWA/PVC</v>
      </c>
      <c r="K68" s="25" t="n">
        <v>1</v>
      </c>
      <c r="L68" s="25" t="s">
        <v>649</v>
      </c>
      <c r="M68" s="25" t="s">
        <v>638</v>
      </c>
      <c r="N68" s="25"/>
      <c r="O68" s="27" t="n">
        <f aca="false">IF(N68&lt;&gt;"",N68,IF(M68="D",ROUNDUP(SQRT((AH68-AE68)^2+(AI68-AF68)^2+(AJ68-AG68)^2)*(1+'Design Basis'!$C$6),0),ROUNDUP((ABS(AH68-AE68)+ABS(AI68-AF68)+ABS(AK68-AG68)+ABS(AK68-AJ68))*(1+'Design Basis'!$C$4)+2*'Design Basis'!$C$5,0)))</f>
        <v>31</v>
      </c>
      <c r="P68" s="27" t="n">
        <f aca="false">O68*K68*AM68</f>
        <v>31</v>
      </c>
      <c r="Q68" s="28" t="n">
        <v>400</v>
      </c>
      <c r="R68" s="25" t="n">
        <v>3</v>
      </c>
      <c r="S68" s="28" t="n">
        <v>55</v>
      </c>
      <c r="T68" s="29" t="n">
        <v>0.8</v>
      </c>
      <c r="U68" s="27" t="n">
        <f aca="false">IF(OR(S68="",Q68=""),"",IF(R68=3,S68*1000/(SQRT(3)*Q68*T68),S68*1000/(Q68*T68)))</f>
        <v>99.2320775169669</v>
      </c>
      <c r="V68" s="27" t="n">
        <f aca="false">IF(OR(AO68="",AL68=""),"",AO68*AL68)</f>
        <v>126.4</v>
      </c>
      <c r="W68" s="27" t="n">
        <f aca="false">IF(V68="","",V68*K68)</f>
        <v>126.4</v>
      </c>
      <c r="X68" s="30" t="n">
        <f aca="false">IF(OR(U68="",W68=""),"",U68/W68)</f>
        <v>0.785063904406384</v>
      </c>
      <c r="Y68" s="30" t="n">
        <f aca="false">IF(OR(U68="",AP68=""),"",AP68*(U68/K68)*O68/1000/Q68)</f>
        <v>0.00884405890869968</v>
      </c>
      <c r="Z68" s="30" t="n">
        <f aca="false">IF(U68="","",IFERROR(IF(INDEX('Design Basis'!$C$13:$C$21,MATCH(C68,'Design Basis'!$A$13:$A$21,0))="","",INDEX('Design Basis'!$C$13:$C$21,MATCH(C68,'Design Basis'!$A$13:$A$21,0))),""))</f>
        <v>0.04</v>
      </c>
      <c r="AA68" s="31" t="str">
        <f aca="false">IF(U68="","n/a",IF(W68="","CHECK",IF(AND(X68&lt;=1,OR(Y68="",Z68="",Y68&lt;=Z68)),"OK","CHECK")))</f>
        <v>OK</v>
      </c>
      <c r="AB68" s="27" t="n">
        <f aca="false">IF(AN68="","",K68*AM68*PI()/4*AN68^2)</f>
        <v>660.519855417254</v>
      </c>
      <c r="AC68" s="31"/>
      <c r="AE68" s="32" t="n">
        <f aca="false">INDEX(Equipment!$D$2:$D$137,MATCH(E68,Equipment!$A$2:$A$137,0))</f>
        <v>80</v>
      </c>
      <c r="AF68" s="32" t="n">
        <f aca="false">INDEX(Equipment!$E$2:$E$137,MATCH(E68,Equipment!$A$2:$A$137,0))</f>
        <v>-9</v>
      </c>
      <c r="AG68" s="32" t="n">
        <f aca="false">INDEX(Equipment!$F$2:$F$137,MATCH(E68,Equipment!$A$2:$A$137,0))</f>
        <v>0.5</v>
      </c>
      <c r="AH68" s="32" t="n">
        <f aca="false">INDEX(Equipment!$D$2:$D$137,MATCH(G68,Equipment!$A$2:$A$137,0))</f>
        <v>100</v>
      </c>
      <c r="AI68" s="32" t="n">
        <f aca="false">INDEX(Equipment!$E$2:$E$137,MATCH(G68,Equipment!$A$2:$A$137,0))</f>
        <v>-8</v>
      </c>
      <c r="AJ68" s="32" t="n">
        <f aca="false">INDEX(Equipment!$F$2:$F$137,MATCH(G68,Equipment!$A$2:$A$137,0))</f>
        <v>0.5</v>
      </c>
      <c r="AK68" s="32" t="n">
        <f aca="false">IF(INDEX(Raceways!$D$2:$D$18,MATCH(L68,Raceways!$A$2:$A$18,0))="",0,INDEX(Raceways!$D$2:$D$18,MATCH(L68,Raceways!$A$2:$A$18,0)))</f>
        <v>1</v>
      </c>
      <c r="AL68" s="33" t="n">
        <f aca="false">IF(INDEX(Raceways!$I$2:$I$18,MATCH(L68,Raceways!$A$2:$A$18,0))="","",INDEX(Raceways!$I$2:$I$18,MATCH(L68,Raceways!$A$2:$A$18,0)))</f>
        <v>0.8</v>
      </c>
      <c r="AM68" s="26" t="n">
        <f aca="false">INDEX('Cable Types'!$D$2:$D$41,MATCH(I68,'Cable Types'!$A$2:$A$41,0))</f>
        <v>1</v>
      </c>
      <c r="AN68" s="26" t="n">
        <f aca="false">IF(INDEX('Cable Types'!$E$2:$E$41,MATCH(I68,'Cable Types'!$A$2:$A$41,0))="","",INDEX('Cable Types'!$E$2:$E$41,MATCH(I68,'Cable Types'!$A$2:$A$41,0)))</f>
        <v>29</v>
      </c>
      <c r="AO68" s="26" t="n">
        <f aca="false">IF(INDEX('Cable Types'!$F$2:$F$41,MATCH(I68,'Cable Types'!$A$2:$A$41,0))="","",INDEX('Cable Types'!$F$2:$F$41,MATCH(I68,'Cable Types'!$A$2:$A$41,0)))</f>
        <v>158</v>
      </c>
      <c r="AP68" s="33" t="n">
        <f aca="false">IF(INDEX('Cable Types'!$G$2:$G$41,MATCH(I68,'Cable Types'!$A$2:$A$41,0))="","",INDEX('Cable Types'!$G$2:$G$41,MATCH(I68,'Cable Types'!$A$2:$A$41,0)))</f>
        <v>1.15</v>
      </c>
    </row>
    <row r="69" customFormat="false" ht="15" hidden="false" customHeight="false" outlineLevel="0" collapsed="false">
      <c r="A69" s="25" t="s">
        <v>769</v>
      </c>
      <c r="B69" s="25" t="s">
        <v>133</v>
      </c>
      <c r="C69" s="25" t="s">
        <v>68</v>
      </c>
      <c r="D69" s="25" t="s">
        <v>770</v>
      </c>
      <c r="E69" s="25" t="s">
        <v>209</v>
      </c>
      <c r="F69" s="26" t="str">
        <f aca="false">INDEX(Equipment!$B$2:$B$137,MATCH(E69,Equipment!$A$2:$A$137,0))</f>
        <v>ST auxiliary MCC 400 V</v>
      </c>
      <c r="G69" s="25" t="s">
        <v>212</v>
      </c>
      <c r="H69" s="26" t="str">
        <f aca="false">INDEX(Equipment!$B$2:$B$137,MATCH(G69,Equipment!$A$2:$A$137,0))</f>
        <v>ST turning gear motor 37 kW</v>
      </c>
      <c r="I69" s="25" t="s">
        <v>517</v>
      </c>
      <c r="J69" s="26" t="str">
        <f aca="false">INDEX('Cable Types'!$B$2:$B$41,MATCH(I69,'Cable Types'!$A$2:$A$41,0))</f>
        <v>0.6/1 kV 4C 16 mm2 Cu/XLPE/SWA/PVC</v>
      </c>
      <c r="K69" s="25" t="n">
        <v>1</v>
      </c>
      <c r="L69" s="25" t="s">
        <v>649</v>
      </c>
      <c r="M69" s="25" t="s">
        <v>638</v>
      </c>
      <c r="N69" s="25"/>
      <c r="O69" s="27" t="n">
        <f aca="false">IF(N69&lt;&gt;"",N69,IF(M69="D",ROUNDUP(SQRT((AH69-AE69)^2+(AI69-AF69)^2+(AJ69-AG69)^2)*(1+'Design Basis'!$C$6),0),ROUNDUP((ABS(AH69-AE69)+ABS(AI69-AF69)+ABS(AK69-AG69)+ABS(AK69-AJ69))*(1+'Design Basis'!$C$4)+2*'Design Basis'!$C$5,0)))</f>
        <v>43</v>
      </c>
      <c r="P69" s="27" t="n">
        <f aca="false">O69*K69*AM69</f>
        <v>43</v>
      </c>
      <c r="Q69" s="28" t="n">
        <v>400</v>
      </c>
      <c r="R69" s="25" t="n">
        <v>3</v>
      </c>
      <c r="S69" s="28" t="n">
        <v>37</v>
      </c>
      <c r="T69" s="29" t="n">
        <v>0.78</v>
      </c>
      <c r="U69" s="27" t="n">
        <f aca="false">IF(OR(S69="",Q69=""),"",IF(R69=3,S69*1000/(SQRT(3)*Q69*T69),S69*1000/(Q69*T69)))</f>
        <v>68.4678203846672</v>
      </c>
      <c r="V69" s="27" t="n">
        <f aca="false">IF(OR(AO69="",AL69=""),"",AO69*AL69)</f>
        <v>80</v>
      </c>
      <c r="W69" s="27" t="n">
        <f aca="false">IF(V69="","",V69*K69)</f>
        <v>80</v>
      </c>
      <c r="X69" s="30" t="n">
        <f aca="false">IF(OR(U69="",W69=""),"",U69/W69)</f>
        <v>0.855847754808339</v>
      </c>
      <c r="Y69" s="30" t="n">
        <f aca="false">IF(OR(U69="",AP69=""),"",AP69*(U69/K69)*O69/1000/Q69)</f>
        <v>0.0184007267283793</v>
      </c>
      <c r="Z69" s="30" t="n">
        <f aca="false">IF(U69="","",IFERROR(IF(INDEX('Design Basis'!$C$13:$C$21,MATCH(C69,'Design Basis'!$A$13:$A$21,0))="","",INDEX('Design Basis'!$C$13:$C$21,MATCH(C69,'Design Basis'!$A$13:$A$21,0))),""))</f>
        <v>0.04</v>
      </c>
      <c r="AA69" s="31" t="str">
        <f aca="false">IF(U69="","n/a",IF(W69="","CHECK",IF(AND(X69&lt;=1,OR(Y69="",Z69="",Y69&lt;=Z69)),"OK","CHECK")))</f>
        <v>OK</v>
      </c>
      <c r="AB69" s="27" t="n">
        <f aca="false">IF(AN69="","",K69*AM69*PI()/4*AN69^2)</f>
        <v>415.47562843725</v>
      </c>
      <c r="AC69" s="31"/>
      <c r="AE69" s="32" t="n">
        <f aca="false">INDEX(Equipment!$D$2:$D$137,MATCH(E69,Equipment!$A$2:$A$137,0))</f>
        <v>88</v>
      </c>
      <c r="AF69" s="32" t="n">
        <f aca="false">INDEX(Equipment!$E$2:$E$137,MATCH(E69,Equipment!$A$2:$A$137,0))</f>
        <v>30</v>
      </c>
      <c r="AG69" s="32" t="n">
        <f aca="false">INDEX(Equipment!$F$2:$F$137,MATCH(E69,Equipment!$A$2:$A$137,0))</f>
        <v>0.5</v>
      </c>
      <c r="AH69" s="32" t="n">
        <f aca="false">INDEX(Equipment!$D$2:$D$137,MATCH(G69,Equipment!$A$2:$A$137,0))</f>
        <v>66</v>
      </c>
      <c r="AI69" s="32" t="n">
        <f aca="false">INDEX(Equipment!$E$2:$E$137,MATCH(G69,Equipment!$A$2:$A$137,0))</f>
        <v>36</v>
      </c>
      <c r="AJ69" s="32" t="n">
        <f aca="false">INDEX(Equipment!$F$2:$F$137,MATCH(G69,Equipment!$A$2:$A$137,0))</f>
        <v>6</v>
      </c>
      <c r="AK69" s="32" t="n">
        <f aca="false">IF(INDEX(Raceways!$D$2:$D$18,MATCH(L69,Raceways!$A$2:$A$18,0))="",0,INDEX(Raceways!$D$2:$D$18,MATCH(L69,Raceways!$A$2:$A$18,0)))</f>
        <v>1</v>
      </c>
      <c r="AL69" s="33" t="n">
        <f aca="false">IF(INDEX(Raceways!$I$2:$I$18,MATCH(L69,Raceways!$A$2:$A$18,0))="","",INDEX(Raceways!$I$2:$I$18,MATCH(L69,Raceways!$A$2:$A$18,0)))</f>
        <v>0.8</v>
      </c>
      <c r="AM69" s="26" t="n">
        <f aca="false">INDEX('Cable Types'!$D$2:$D$41,MATCH(I69,'Cable Types'!$A$2:$A$41,0))</f>
        <v>1</v>
      </c>
      <c r="AN69" s="26" t="n">
        <f aca="false">IF(INDEX('Cable Types'!$E$2:$E$41,MATCH(I69,'Cable Types'!$A$2:$A$41,0))="","",INDEX('Cable Types'!$E$2:$E$41,MATCH(I69,'Cable Types'!$A$2:$A$41,0)))</f>
        <v>23</v>
      </c>
      <c r="AO69" s="26" t="n">
        <f aca="false">IF(INDEX('Cable Types'!$F$2:$F$41,MATCH(I69,'Cable Types'!$A$2:$A$41,0))="","",INDEX('Cable Types'!$F$2:$F$41,MATCH(I69,'Cable Types'!$A$2:$A$41,0)))</f>
        <v>100</v>
      </c>
      <c r="AP69" s="33" t="n">
        <f aca="false">IF(INDEX('Cable Types'!$G$2:$G$41,MATCH(I69,'Cable Types'!$A$2:$A$41,0))="","",INDEX('Cable Types'!$G$2:$G$41,MATCH(I69,'Cable Types'!$A$2:$A$41,0)))</f>
        <v>2.5</v>
      </c>
    </row>
    <row r="70" customFormat="false" ht="15" hidden="false" customHeight="false" outlineLevel="0" collapsed="false">
      <c r="A70" s="25" t="s">
        <v>771</v>
      </c>
      <c r="B70" s="25" t="s">
        <v>133</v>
      </c>
      <c r="C70" s="25" t="s">
        <v>68</v>
      </c>
      <c r="D70" s="25" t="s">
        <v>772</v>
      </c>
      <c r="E70" s="25" t="s">
        <v>209</v>
      </c>
      <c r="F70" s="26" t="str">
        <f aca="false">INDEX(Equipment!$B$2:$B$137,MATCH(E70,Equipment!$A$2:$A$137,0))</f>
        <v>ST auxiliary MCC 400 V</v>
      </c>
      <c r="G70" s="25" t="s">
        <v>215</v>
      </c>
      <c r="H70" s="26" t="str">
        <f aca="false">INDEX(Equipment!$B$2:$B$137,MATCH(G70,Equipment!$A$2:$A$137,0))</f>
        <v>ST AC lube oil pump motor 55 kW</v>
      </c>
      <c r="I70" s="25" t="s">
        <v>519</v>
      </c>
      <c r="J70" s="26" t="str">
        <f aca="false">INDEX('Cable Types'!$B$2:$B$41,MATCH(I70,'Cable Types'!$A$2:$A$41,0))</f>
        <v>0.6/1 kV 4C 35 mm2 Cu/XLPE/SWA/PVC</v>
      </c>
      <c r="K70" s="25" t="n">
        <v>1</v>
      </c>
      <c r="L70" s="25" t="s">
        <v>649</v>
      </c>
      <c r="M70" s="25" t="s">
        <v>638</v>
      </c>
      <c r="N70" s="25"/>
      <c r="O70" s="27" t="n">
        <f aca="false">IF(N70&lt;&gt;"",N70,IF(M70="D",ROUNDUP(SQRT((AH70-AE70)^2+(AI70-AF70)^2+(AJ70-AG70)^2)*(1+'Design Basis'!$C$6),0),ROUNDUP((ABS(AH70-AE70)+ABS(AI70-AF70)+ABS(AK70-AG70)+ABS(AK70-AJ70))*(1+'Design Basis'!$C$4)+2*'Design Basis'!$C$5,0)))</f>
        <v>27</v>
      </c>
      <c r="P70" s="27" t="n">
        <f aca="false">O70*K70*AM70</f>
        <v>27</v>
      </c>
      <c r="Q70" s="28" t="n">
        <v>400</v>
      </c>
      <c r="R70" s="25" t="n">
        <v>3</v>
      </c>
      <c r="S70" s="28" t="n">
        <v>55</v>
      </c>
      <c r="T70" s="29" t="n">
        <v>0.8</v>
      </c>
      <c r="U70" s="27" t="n">
        <f aca="false">IF(OR(S70="",Q70=""),"",IF(R70=3,S70*1000/(SQRT(3)*Q70*T70),S70*1000/(Q70*T70)))</f>
        <v>99.2320775169669</v>
      </c>
      <c r="V70" s="27" t="n">
        <f aca="false">IF(OR(AO70="",AL70=""),"",AO70*AL70)</f>
        <v>126.4</v>
      </c>
      <c r="W70" s="27" t="n">
        <f aca="false">IF(V70="","",V70*K70)</f>
        <v>126.4</v>
      </c>
      <c r="X70" s="30" t="n">
        <f aca="false">IF(OR(U70="",W70=""),"",U70/W70)</f>
        <v>0.785063904406384</v>
      </c>
      <c r="Y70" s="30" t="n">
        <f aca="false">IF(OR(U70="",AP70=""),"",AP70*(U70/K70)*O70/1000/Q70)</f>
        <v>0.00770289001725456</v>
      </c>
      <c r="Z70" s="30" t="n">
        <f aca="false">IF(U70="","",IFERROR(IF(INDEX('Design Basis'!$C$13:$C$21,MATCH(C70,'Design Basis'!$A$13:$A$21,0))="","",INDEX('Design Basis'!$C$13:$C$21,MATCH(C70,'Design Basis'!$A$13:$A$21,0))),""))</f>
        <v>0.04</v>
      </c>
      <c r="AA70" s="31" t="str">
        <f aca="false">IF(U70="","n/a",IF(W70="","CHECK",IF(AND(X70&lt;=1,OR(Y70="",Z70="",Y70&lt;=Z70)),"OK","CHECK")))</f>
        <v>OK</v>
      </c>
      <c r="AB70" s="27" t="n">
        <f aca="false">IF(AN70="","",K70*AM70*PI()/4*AN70^2)</f>
        <v>660.519855417254</v>
      </c>
      <c r="AC70" s="31"/>
      <c r="AE70" s="32" t="n">
        <f aca="false">INDEX(Equipment!$D$2:$D$137,MATCH(E70,Equipment!$A$2:$A$137,0))</f>
        <v>88</v>
      </c>
      <c r="AF70" s="32" t="n">
        <f aca="false">INDEX(Equipment!$E$2:$E$137,MATCH(E70,Equipment!$A$2:$A$137,0))</f>
        <v>30</v>
      </c>
      <c r="AG70" s="32" t="n">
        <f aca="false">INDEX(Equipment!$F$2:$F$137,MATCH(E70,Equipment!$A$2:$A$137,0))</f>
        <v>0.5</v>
      </c>
      <c r="AH70" s="32" t="n">
        <f aca="false">INDEX(Equipment!$D$2:$D$137,MATCH(G70,Equipment!$A$2:$A$137,0))</f>
        <v>70</v>
      </c>
      <c r="AI70" s="32" t="n">
        <f aca="false">INDEX(Equipment!$E$2:$E$137,MATCH(G70,Equipment!$A$2:$A$137,0))</f>
        <v>30</v>
      </c>
      <c r="AJ70" s="32" t="n">
        <f aca="false">INDEX(Equipment!$F$2:$F$137,MATCH(G70,Equipment!$A$2:$A$137,0))</f>
        <v>0.5</v>
      </c>
      <c r="AK70" s="32" t="n">
        <f aca="false">IF(INDEX(Raceways!$D$2:$D$18,MATCH(L70,Raceways!$A$2:$A$18,0))="",0,INDEX(Raceways!$D$2:$D$18,MATCH(L70,Raceways!$A$2:$A$18,0)))</f>
        <v>1</v>
      </c>
      <c r="AL70" s="33" t="n">
        <f aca="false">IF(INDEX(Raceways!$I$2:$I$18,MATCH(L70,Raceways!$A$2:$A$18,0))="","",INDEX(Raceways!$I$2:$I$18,MATCH(L70,Raceways!$A$2:$A$18,0)))</f>
        <v>0.8</v>
      </c>
      <c r="AM70" s="26" t="n">
        <f aca="false">INDEX('Cable Types'!$D$2:$D$41,MATCH(I70,'Cable Types'!$A$2:$A$41,0))</f>
        <v>1</v>
      </c>
      <c r="AN70" s="26" t="n">
        <f aca="false">IF(INDEX('Cable Types'!$E$2:$E$41,MATCH(I70,'Cable Types'!$A$2:$A$41,0))="","",INDEX('Cable Types'!$E$2:$E$41,MATCH(I70,'Cable Types'!$A$2:$A$41,0)))</f>
        <v>29</v>
      </c>
      <c r="AO70" s="26" t="n">
        <f aca="false">IF(INDEX('Cable Types'!$F$2:$F$41,MATCH(I70,'Cable Types'!$A$2:$A$41,0))="","",INDEX('Cable Types'!$F$2:$F$41,MATCH(I70,'Cable Types'!$A$2:$A$41,0)))</f>
        <v>158</v>
      </c>
      <c r="AP70" s="33" t="n">
        <f aca="false">IF(INDEX('Cable Types'!$G$2:$G$41,MATCH(I70,'Cable Types'!$A$2:$A$41,0))="","",INDEX('Cable Types'!$G$2:$G$41,MATCH(I70,'Cable Types'!$A$2:$A$41,0)))</f>
        <v>1.15</v>
      </c>
    </row>
    <row r="71" customFormat="false" ht="15" hidden="false" customHeight="false" outlineLevel="0" collapsed="false">
      <c r="A71" s="25" t="s">
        <v>773</v>
      </c>
      <c r="B71" s="25" t="s">
        <v>230</v>
      </c>
      <c r="C71" s="25" t="s">
        <v>68</v>
      </c>
      <c r="D71" s="25" t="s">
        <v>774</v>
      </c>
      <c r="E71" s="25" t="s">
        <v>232</v>
      </c>
      <c r="F71" s="26" t="str">
        <f aca="false">INDEX(Equipment!$B$2:$B$137,MATCH(E71,Equipment!$A$2:$A$137,0))</f>
        <v>ACC fan VFD switchroom 690 V</v>
      </c>
      <c r="G71" s="25" t="s">
        <v>238</v>
      </c>
      <c r="H71" s="26" t="str">
        <f aca="false">INDEX(Equipment!$B$2:$B$137,MATCH(G71,Equipment!$A$2:$A$137,0))</f>
        <v>ACC fan motor 01, 200 kW 690 V (VFD)</v>
      </c>
      <c r="I71" s="25" t="s">
        <v>527</v>
      </c>
      <c r="J71" s="26" t="str">
        <f aca="false">INDEX('Cable Types'!$B$2:$B$41,MATCH(I71,'Cable Types'!$A$2:$A$41,0))</f>
        <v>0.6/1 kV 3C 95+3E Cu/XLPE/screened VFD cable</v>
      </c>
      <c r="K71" s="25" t="n">
        <v>1</v>
      </c>
      <c r="L71" s="25" t="s">
        <v>775</v>
      </c>
      <c r="M71" s="25" t="s">
        <v>638</v>
      </c>
      <c r="N71" s="25"/>
      <c r="O71" s="27" t="n">
        <f aca="false">IF(N71&lt;&gt;"",N71,IF(M71="D",ROUNDUP(SQRT((AH71-AE71)^2+(AI71-AF71)^2+(AJ71-AG71)^2)*(1+'Design Basis'!$C$6),0),ROUNDUP((ABS(AH71-AE71)+ABS(AI71-AF71)+ABS(AK71-AG71)+ABS(AK71-AJ71))*(1+'Design Basis'!$C$4)+2*'Design Basis'!$C$5,0)))</f>
        <v>90</v>
      </c>
      <c r="P71" s="27" t="n">
        <f aca="false">O71*K71*AM71</f>
        <v>90</v>
      </c>
      <c r="Q71" s="28" t="n">
        <v>690</v>
      </c>
      <c r="R71" s="25" t="n">
        <v>3</v>
      </c>
      <c r="S71" s="28" t="n">
        <v>200</v>
      </c>
      <c r="T71" s="29" t="n">
        <v>0.85</v>
      </c>
      <c r="U71" s="27" t="n">
        <f aca="false">IF(OR(S71="",Q71=""),"",IF(R71=3,S71*1000/(SQRT(3)*Q71*T71),S71*1000/(Q71*T71)))</f>
        <v>196.879887191688</v>
      </c>
      <c r="V71" s="27" t="n">
        <f aca="false">IF(OR(AO71="",AL71=""),"",AO71*AL71)</f>
        <v>238.4</v>
      </c>
      <c r="W71" s="27" t="n">
        <f aca="false">IF(V71="","",V71*K71)</f>
        <v>238.4</v>
      </c>
      <c r="X71" s="30" t="n">
        <f aca="false">IF(OR(U71="",W71=""),"",U71/W71)</f>
        <v>0.82583845298527</v>
      </c>
      <c r="Y71" s="30" t="n">
        <f aca="false">IF(OR(U71="",AP71=""),"",AP71*(U71/K71)*O71/1000/Q71)</f>
        <v>0.0115559933786426</v>
      </c>
      <c r="Z71" s="30" t="n">
        <f aca="false">IF(U71="","",IFERROR(IF(INDEX('Design Basis'!$C$13:$C$21,MATCH(C71,'Design Basis'!$A$13:$A$21,0))="","",INDEX('Design Basis'!$C$13:$C$21,MATCH(C71,'Design Basis'!$A$13:$A$21,0))),""))</f>
        <v>0.04</v>
      </c>
      <c r="AA71" s="31" t="str">
        <f aca="false">IF(U71="","n/a",IF(W71="","CHECK",IF(AND(X71&lt;=1,OR(Y71="",Z71="",Y71&lt;=Z71)),"OK","CHECK")))</f>
        <v>OK</v>
      </c>
      <c r="AB71" s="27" t="n">
        <f aca="false">IF(AN71="","",K71*AM71*PI()/4*AN71^2)</f>
        <v>1520.53084433746</v>
      </c>
      <c r="AC71" s="31" t="s">
        <v>776</v>
      </c>
      <c r="AE71" s="32" t="n">
        <f aca="false">INDEX(Equipment!$D$2:$D$137,MATCH(E71,Equipment!$A$2:$A$137,0))</f>
        <v>146</v>
      </c>
      <c r="AF71" s="32" t="n">
        <f aca="false">INDEX(Equipment!$E$2:$E$137,MATCH(E71,Equipment!$A$2:$A$137,0))</f>
        <v>46</v>
      </c>
      <c r="AG71" s="32" t="n">
        <f aca="false">INDEX(Equipment!$F$2:$F$137,MATCH(E71,Equipment!$A$2:$A$137,0))</f>
        <v>0.5</v>
      </c>
      <c r="AH71" s="32" t="n">
        <f aca="false">INDEX(Equipment!$D$2:$D$137,MATCH(G71,Equipment!$A$2:$A$137,0))</f>
        <v>104</v>
      </c>
      <c r="AI71" s="32" t="n">
        <f aca="false">INDEX(Equipment!$E$2:$E$137,MATCH(G71,Equipment!$A$2:$A$137,0))</f>
        <v>32</v>
      </c>
      <c r="AJ71" s="32" t="n">
        <f aca="false">INDEX(Equipment!$F$2:$F$137,MATCH(G71,Equipment!$A$2:$A$137,0))</f>
        <v>20.5</v>
      </c>
      <c r="AK71" s="32" t="n">
        <f aca="false">IF(INDEX(Raceways!$D$2:$D$18,MATCH(L71,Raceways!$A$2:$A$18,0))="",0,INDEX(Raceways!$D$2:$D$18,MATCH(L71,Raceways!$A$2:$A$18,0)))</f>
        <v>20</v>
      </c>
      <c r="AL71" s="33" t="n">
        <f aca="false">IF(INDEX(Raceways!$I$2:$I$18,MATCH(L71,Raceways!$A$2:$A$18,0))="","",INDEX(Raceways!$I$2:$I$18,MATCH(L71,Raceways!$A$2:$A$18,0)))</f>
        <v>0.8</v>
      </c>
      <c r="AM71" s="26" t="n">
        <f aca="false">INDEX('Cable Types'!$D$2:$D$41,MATCH(I71,'Cable Types'!$A$2:$A$41,0))</f>
        <v>1</v>
      </c>
      <c r="AN71" s="26" t="n">
        <f aca="false">IF(INDEX('Cable Types'!$E$2:$E$41,MATCH(I71,'Cable Types'!$A$2:$A$41,0))="","",INDEX('Cable Types'!$E$2:$E$41,MATCH(I71,'Cable Types'!$A$2:$A$41,0)))</f>
        <v>44</v>
      </c>
      <c r="AO71" s="26" t="n">
        <f aca="false">IF(INDEX('Cable Types'!$F$2:$F$41,MATCH(I71,'Cable Types'!$A$2:$A$41,0))="","",INDEX('Cable Types'!$F$2:$F$41,MATCH(I71,'Cable Types'!$A$2:$A$41,0)))</f>
        <v>298</v>
      </c>
      <c r="AP71" s="33" t="n">
        <f aca="false">IF(INDEX('Cable Types'!$G$2:$G$41,MATCH(I71,'Cable Types'!$A$2:$A$41,0))="","",INDEX('Cable Types'!$G$2:$G$41,MATCH(I71,'Cable Types'!$A$2:$A$41,0)))</f>
        <v>0.45</v>
      </c>
    </row>
    <row r="72" customFormat="false" ht="15" hidden="false" customHeight="false" outlineLevel="0" collapsed="false">
      <c r="A72" s="25" t="s">
        <v>777</v>
      </c>
      <c r="B72" s="25" t="s">
        <v>230</v>
      </c>
      <c r="C72" s="25" t="s">
        <v>68</v>
      </c>
      <c r="D72" s="25" t="s">
        <v>778</v>
      </c>
      <c r="E72" s="25" t="s">
        <v>232</v>
      </c>
      <c r="F72" s="26" t="str">
        <f aca="false">INDEX(Equipment!$B$2:$B$137,MATCH(E72,Equipment!$A$2:$A$137,0))</f>
        <v>ACC fan VFD switchroom 690 V</v>
      </c>
      <c r="G72" s="25" t="s">
        <v>241</v>
      </c>
      <c r="H72" s="26" t="str">
        <f aca="false">INDEX(Equipment!$B$2:$B$137,MATCH(G72,Equipment!$A$2:$A$137,0))</f>
        <v>ACC fan motor 02, 200 kW 690 V (VFD)</v>
      </c>
      <c r="I72" s="25" t="s">
        <v>527</v>
      </c>
      <c r="J72" s="26" t="str">
        <f aca="false">INDEX('Cable Types'!$B$2:$B$41,MATCH(I72,'Cable Types'!$A$2:$A$41,0))</f>
        <v>0.6/1 kV 3C 95+3E Cu/XLPE/screened VFD cable</v>
      </c>
      <c r="K72" s="25" t="n">
        <v>1</v>
      </c>
      <c r="L72" s="25" t="s">
        <v>775</v>
      </c>
      <c r="M72" s="25" t="s">
        <v>638</v>
      </c>
      <c r="N72" s="25"/>
      <c r="O72" s="27" t="n">
        <f aca="false">IF(N72&lt;&gt;"",N72,IF(M72="D",ROUNDUP(SQRT((AH72-AE72)^2+(AI72-AF72)^2+(AJ72-AG72)^2)*(1+'Design Basis'!$C$6),0),ROUNDUP((ABS(AH72-AE72)+ABS(AI72-AF72)+ABS(AK72-AG72)+ABS(AK72-AJ72))*(1+'Design Basis'!$C$4)+2*'Design Basis'!$C$5,0)))</f>
        <v>78</v>
      </c>
      <c r="P72" s="27" t="n">
        <f aca="false">O72*K72*AM72</f>
        <v>78</v>
      </c>
      <c r="Q72" s="28" t="n">
        <v>690</v>
      </c>
      <c r="R72" s="25" t="n">
        <v>3</v>
      </c>
      <c r="S72" s="28" t="n">
        <v>200</v>
      </c>
      <c r="T72" s="29" t="n">
        <v>0.85</v>
      </c>
      <c r="U72" s="27" t="n">
        <f aca="false">IF(OR(S72="",Q72=""),"",IF(R72=3,S72*1000/(SQRT(3)*Q72*T72),S72*1000/(Q72*T72)))</f>
        <v>196.879887191688</v>
      </c>
      <c r="V72" s="27" t="n">
        <f aca="false">IF(OR(AO72="",AL72=""),"",AO72*AL72)</f>
        <v>238.4</v>
      </c>
      <c r="W72" s="27" t="n">
        <f aca="false">IF(V72="","",V72*K72)</f>
        <v>238.4</v>
      </c>
      <c r="X72" s="30" t="n">
        <f aca="false">IF(OR(U72="",W72=""),"",U72/W72)</f>
        <v>0.82583845298527</v>
      </c>
      <c r="Y72" s="30" t="n">
        <f aca="false">IF(OR(U72="",AP72=""),"",AP72*(U72/K72)*O72/1000/Q72)</f>
        <v>0.0100151942614902</v>
      </c>
      <c r="Z72" s="30" t="n">
        <f aca="false">IF(U72="","",IFERROR(IF(INDEX('Design Basis'!$C$13:$C$21,MATCH(C72,'Design Basis'!$A$13:$A$21,0))="","",INDEX('Design Basis'!$C$13:$C$21,MATCH(C72,'Design Basis'!$A$13:$A$21,0))),""))</f>
        <v>0.04</v>
      </c>
      <c r="AA72" s="31" t="str">
        <f aca="false">IF(U72="","n/a",IF(W72="","CHECK",IF(AND(X72&lt;=1,OR(Y72="",Z72="",Y72&lt;=Z72)),"OK","CHECK")))</f>
        <v>OK</v>
      </c>
      <c r="AB72" s="27" t="n">
        <f aca="false">IF(AN72="","",K72*AM72*PI()/4*AN72^2)</f>
        <v>1520.53084433746</v>
      </c>
      <c r="AC72" s="31" t="s">
        <v>776</v>
      </c>
      <c r="AE72" s="32" t="n">
        <f aca="false">INDEX(Equipment!$D$2:$D$137,MATCH(E72,Equipment!$A$2:$A$137,0))</f>
        <v>146</v>
      </c>
      <c r="AF72" s="32" t="n">
        <f aca="false">INDEX(Equipment!$E$2:$E$137,MATCH(E72,Equipment!$A$2:$A$137,0))</f>
        <v>46</v>
      </c>
      <c r="AG72" s="32" t="n">
        <f aca="false">INDEX(Equipment!$F$2:$F$137,MATCH(E72,Equipment!$A$2:$A$137,0))</f>
        <v>0.5</v>
      </c>
      <c r="AH72" s="32" t="n">
        <f aca="false">INDEX(Equipment!$D$2:$D$137,MATCH(G72,Equipment!$A$2:$A$137,0))</f>
        <v>104</v>
      </c>
      <c r="AI72" s="32" t="n">
        <f aca="false">INDEX(Equipment!$E$2:$E$137,MATCH(G72,Equipment!$A$2:$A$137,0))</f>
        <v>43</v>
      </c>
      <c r="AJ72" s="32" t="n">
        <f aca="false">INDEX(Equipment!$F$2:$F$137,MATCH(G72,Equipment!$A$2:$A$137,0))</f>
        <v>20.5</v>
      </c>
      <c r="AK72" s="32" t="n">
        <f aca="false">IF(INDEX(Raceways!$D$2:$D$18,MATCH(L72,Raceways!$A$2:$A$18,0))="",0,INDEX(Raceways!$D$2:$D$18,MATCH(L72,Raceways!$A$2:$A$18,0)))</f>
        <v>20</v>
      </c>
      <c r="AL72" s="33" t="n">
        <f aca="false">IF(INDEX(Raceways!$I$2:$I$18,MATCH(L72,Raceways!$A$2:$A$18,0))="","",INDEX(Raceways!$I$2:$I$18,MATCH(L72,Raceways!$A$2:$A$18,0)))</f>
        <v>0.8</v>
      </c>
      <c r="AM72" s="26" t="n">
        <f aca="false">INDEX('Cable Types'!$D$2:$D$41,MATCH(I72,'Cable Types'!$A$2:$A$41,0))</f>
        <v>1</v>
      </c>
      <c r="AN72" s="26" t="n">
        <f aca="false">IF(INDEX('Cable Types'!$E$2:$E$41,MATCH(I72,'Cable Types'!$A$2:$A$41,0))="","",INDEX('Cable Types'!$E$2:$E$41,MATCH(I72,'Cable Types'!$A$2:$A$41,0)))</f>
        <v>44</v>
      </c>
      <c r="AO72" s="26" t="n">
        <f aca="false">IF(INDEX('Cable Types'!$F$2:$F$41,MATCH(I72,'Cable Types'!$A$2:$A$41,0))="","",INDEX('Cable Types'!$F$2:$F$41,MATCH(I72,'Cable Types'!$A$2:$A$41,0)))</f>
        <v>298</v>
      </c>
      <c r="AP72" s="33" t="n">
        <f aca="false">IF(INDEX('Cable Types'!$G$2:$G$41,MATCH(I72,'Cable Types'!$A$2:$A$41,0))="","",INDEX('Cable Types'!$G$2:$G$41,MATCH(I72,'Cable Types'!$A$2:$A$41,0)))</f>
        <v>0.45</v>
      </c>
    </row>
    <row r="73" customFormat="false" ht="15" hidden="false" customHeight="false" outlineLevel="0" collapsed="false">
      <c r="A73" s="25" t="s">
        <v>779</v>
      </c>
      <c r="B73" s="25" t="s">
        <v>230</v>
      </c>
      <c r="C73" s="25" t="s">
        <v>68</v>
      </c>
      <c r="D73" s="25" t="s">
        <v>780</v>
      </c>
      <c r="E73" s="25" t="s">
        <v>232</v>
      </c>
      <c r="F73" s="26" t="str">
        <f aca="false">INDEX(Equipment!$B$2:$B$137,MATCH(E73,Equipment!$A$2:$A$137,0))</f>
        <v>ACC fan VFD switchroom 690 V</v>
      </c>
      <c r="G73" s="25" t="s">
        <v>244</v>
      </c>
      <c r="H73" s="26" t="str">
        <f aca="false">INDEX(Equipment!$B$2:$B$137,MATCH(G73,Equipment!$A$2:$A$137,0))</f>
        <v>ACC fan motor 03, 200 kW 690 V (VFD)</v>
      </c>
      <c r="I73" s="25" t="s">
        <v>527</v>
      </c>
      <c r="J73" s="26" t="str">
        <f aca="false">INDEX('Cable Types'!$B$2:$B$41,MATCH(I73,'Cable Types'!$A$2:$A$41,0))</f>
        <v>0.6/1 kV 3C 95+3E Cu/XLPE/screened VFD cable</v>
      </c>
      <c r="K73" s="25" t="n">
        <v>1</v>
      </c>
      <c r="L73" s="25" t="s">
        <v>775</v>
      </c>
      <c r="M73" s="25" t="s">
        <v>638</v>
      </c>
      <c r="N73" s="25"/>
      <c r="O73" s="27" t="n">
        <f aca="false">IF(N73&lt;&gt;"",N73,IF(M73="D",ROUNDUP(SQRT((AH73-AE73)^2+(AI73-AF73)^2+(AJ73-AG73)^2)*(1+'Design Basis'!$C$6),0),ROUNDUP((ABS(AH73-AE73)+ABS(AI73-AF73)+ABS(AK73-AG73)+ABS(AK73-AJ73))*(1+'Design Basis'!$C$4)+2*'Design Basis'!$C$5,0)))</f>
        <v>83</v>
      </c>
      <c r="P73" s="27" t="n">
        <f aca="false">O73*K73*AM73</f>
        <v>83</v>
      </c>
      <c r="Q73" s="28" t="n">
        <v>690</v>
      </c>
      <c r="R73" s="25" t="n">
        <v>3</v>
      </c>
      <c r="S73" s="28" t="n">
        <v>200</v>
      </c>
      <c r="T73" s="29" t="n">
        <v>0.85</v>
      </c>
      <c r="U73" s="27" t="n">
        <f aca="false">IF(OR(S73="",Q73=""),"",IF(R73=3,S73*1000/(SQRT(3)*Q73*T73),S73*1000/(Q73*T73)))</f>
        <v>196.879887191688</v>
      </c>
      <c r="V73" s="27" t="n">
        <f aca="false">IF(OR(AO73="",AL73=""),"",AO73*AL73)</f>
        <v>238.4</v>
      </c>
      <c r="W73" s="27" t="n">
        <f aca="false">IF(V73="","",V73*K73)</f>
        <v>238.4</v>
      </c>
      <c r="X73" s="30" t="n">
        <f aca="false">IF(OR(U73="",W73=""),"",U73/W73)</f>
        <v>0.82583845298527</v>
      </c>
      <c r="Y73" s="30" t="n">
        <f aca="false">IF(OR(U73="",AP73=""),"",AP73*(U73/K73)*O73/1000/Q73)</f>
        <v>0.010657193893637</v>
      </c>
      <c r="Z73" s="30" t="n">
        <f aca="false">IF(U73="","",IFERROR(IF(INDEX('Design Basis'!$C$13:$C$21,MATCH(C73,'Design Basis'!$A$13:$A$21,0))="","",INDEX('Design Basis'!$C$13:$C$21,MATCH(C73,'Design Basis'!$A$13:$A$21,0))),""))</f>
        <v>0.04</v>
      </c>
      <c r="AA73" s="31" t="str">
        <f aca="false">IF(U73="","n/a",IF(W73="","CHECK",IF(AND(X73&lt;=1,OR(Y73="",Z73="",Y73&lt;=Z73)),"OK","CHECK")))</f>
        <v>OK</v>
      </c>
      <c r="AB73" s="27" t="n">
        <f aca="false">IF(AN73="","",K73*AM73*PI()/4*AN73^2)</f>
        <v>1520.53084433746</v>
      </c>
      <c r="AC73" s="31" t="s">
        <v>776</v>
      </c>
      <c r="AE73" s="32" t="n">
        <f aca="false">INDEX(Equipment!$D$2:$D$137,MATCH(E73,Equipment!$A$2:$A$137,0))</f>
        <v>146</v>
      </c>
      <c r="AF73" s="32" t="n">
        <f aca="false">INDEX(Equipment!$E$2:$E$137,MATCH(E73,Equipment!$A$2:$A$137,0))</f>
        <v>46</v>
      </c>
      <c r="AG73" s="32" t="n">
        <f aca="false">INDEX(Equipment!$F$2:$F$137,MATCH(E73,Equipment!$A$2:$A$137,0))</f>
        <v>0.5</v>
      </c>
      <c r="AH73" s="32" t="n">
        <f aca="false">INDEX(Equipment!$D$2:$D$137,MATCH(G73,Equipment!$A$2:$A$137,0))</f>
        <v>104</v>
      </c>
      <c r="AI73" s="32" t="n">
        <f aca="false">INDEX(Equipment!$E$2:$E$137,MATCH(G73,Equipment!$A$2:$A$137,0))</f>
        <v>54</v>
      </c>
      <c r="AJ73" s="32" t="n">
        <f aca="false">INDEX(Equipment!$F$2:$F$137,MATCH(G73,Equipment!$A$2:$A$137,0))</f>
        <v>20.5</v>
      </c>
      <c r="AK73" s="32" t="n">
        <f aca="false">IF(INDEX(Raceways!$D$2:$D$18,MATCH(L73,Raceways!$A$2:$A$18,0))="",0,INDEX(Raceways!$D$2:$D$18,MATCH(L73,Raceways!$A$2:$A$18,0)))</f>
        <v>20</v>
      </c>
      <c r="AL73" s="33" t="n">
        <f aca="false">IF(INDEX(Raceways!$I$2:$I$18,MATCH(L73,Raceways!$A$2:$A$18,0))="","",INDEX(Raceways!$I$2:$I$18,MATCH(L73,Raceways!$A$2:$A$18,0)))</f>
        <v>0.8</v>
      </c>
      <c r="AM73" s="26" t="n">
        <f aca="false">INDEX('Cable Types'!$D$2:$D$41,MATCH(I73,'Cable Types'!$A$2:$A$41,0))</f>
        <v>1</v>
      </c>
      <c r="AN73" s="26" t="n">
        <f aca="false">IF(INDEX('Cable Types'!$E$2:$E$41,MATCH(I73,'Cable Types'!$A$2:$A$41,0))="","",INDEX('Cable Types'!$E$2:$E$41,MATCH(I73,'Cable Types'!$A$2:$A$41,0)))</f>
        <v>44</v>
      </c>
      <c r="AO73" s="26" t="n">
        <f aca="false">IF(INDEX('Cable Types'!$F$2:$F$41,MATCH(I73,'Cable Types'!$A$2:$A$41,0))="","",INDEX('Cable Types'!$F$2:$F$41,MATCH(I73,'Cable Types'!$A$2:$A$41,0)))</f>
        <v>298</v>
      </c>
      <c r="AP73" s="33" t="n">
        <f aca="false">IF(INDEX('Cable Types'!$G$2:$G$41,MATCH(I73,'Cable Types'!$A$2:$A$41,0))="","",INDEX('Cable Types'!$G$2:$G$41,MATCH(I73,'Cable Types'!$A$2:$A$41,0)))</f>
        <v>0.45</v>
      </c>
    </row>
    <row r="74" customFormat="false" ht="15" hidden="false" customHeight="false" outlineLevel="0" collapsed="false">
      <c r="A74" s="25" t="s">
        <v>781</v>
      </c>
      <c r="B74" s="25" t="s">
        <v>230</v>
      </c>
      <c r="C74" s="25" t="s">
        <v>68</v>
      </c>
      <c r="D74" s="25" t="s">
        <v>782</v>
      </c>
      <c r="E74" s="25" t="s">
        <v>232</v>
      </c>
      <c r="F74" s="26" t="str">
        <f aca="false">INDEX(Equipment!$B$2:$B$137,MATCH(E74,Equipment!$A$2:$A$137,0))</f>
        <v>ACC fan VFD switchroom 690 V</v>
      </c>
      <c r="G74" s="25" t="s">
        <v>247</v>
      </c>
      <c r="H74" s="26" t="str">
        <f aca="false">INDEX(Equipment!$B$2:$B$137,MATCH(G74,Equipment!$A$2:$A$137,0))</f>
        <v>ACC fan motor 04, 200 kW 690 V (VFD)</v>
      </c>
      <c r="I74" s="25" t="s">
        <v>527</v>
      </c>
      <c r="J74" s="26" t="str">
        <f aca="false">INDEX('Cable Types'!$B$2:$B$41,MATCH(I74,'Cable Types'!$A$2:$A$41,0))</f>
        <v>0.6/1 kV 3C 95+3E Cu/XLPE/screened VFD cable</v>
      </c>
      <c r="K74" s="25" t="n">
        <v>1</v>
      </c>
      <c r="L74" s="25" t="s">
        <v>775</v>
      </c>
      <c r="M74" s="25" t="s">
        <v>638</v>
      </c>
      <c r="N74" s="25"/>
      <c r="O74" s="27" t="n">
        <f aca="false">IF(N74&lt;&gt;"",N74,IF(M74="D",ROUNDUP(SQRT((AH74-AE74)^2+(AI74-AF74)^2+(AJ74-AG74)^2)*(1+'Design Basis'!$C$6),0),ROUNDUP((ABS(AH74-AE74)+ABS(AI74-AF74)+ABS(AK74-AG74)+ABS(AK74-AJ74))*(1+'Design Basis'!$C$4)+2*'Design Basis'!$C$5,0)))</f>
        <v>81</v>
      </c>
      <c r="P74" s="27" t="n">
        <f aca="false">O74*K74*AM74</f>
        <v>81</v>
      </c>
      <c r="Q74" s="28" t="n">
        <v>690</v>
      </c>
      <c r="R74" s="25" t="n">
        <v>3</v>
      </c>
      <c r="S74" s="28" t="n">
        <v>200</v>
      </c>
      <c r="T74" s="29" t="n">
        <v>0.85</v>
      </c>
      <c r="U74" s="27" t="n">
        <f aca="false">IF(OR(S74="",Q74=""),"",IF(R74=3,S74*1000/(SQRT(3)*Q74*T74),S74*1000/(Q74*T74)))</f>
        <v>196.879887191688</v>
      </c>
      <c r="V74" s="27" t="n">
        <f aca="false">IF(OR(AO74="",AL74=""),"",AO74*AL74)</f>
        <v>238.4</v>
      </c>
      <c r="W74" s="27" t="n">
        <f aca="false">IF(V74="","",V74*K74)</f>
        <v>238.4</v>
      </c>
      <c r="X74" s="30" t="n">
        <f aca="false">IF(OR(U74="",W74=""),"",U74/W74)</f>
        <v>0.82583845298527</v>
      </c>
      <c r="Y74" s="30" t="n">
        <f aca="false">IF(OR(U74="",AP74=""),"",AP74*(U74/K74)*O74/1000/Q74)</f>
        <v>0.0104003940407783</v>
      </c>
      <c r="Z74" s="30" t="n">
        <f aca="false">IF(U74="","",IFERROR(IF(INDEX('Design Basis'!$C$13:$C$21,MATCH(C74,'Design Basis'!$A$13:$A$21,0))="","",INDEX('Design Basis'!$C$13:$C$21,MATCH(C74,'Design Basis'!$A$13:$A$21,0))),""))</f>
        <v>0.04</v>
      </c>
      <c r="AA74" s="31" t="str">
        <f aca="false">IF(U74="","n/a",IF(W74="","CHECK",IF(AND(X74&lt;=1,OR(Y74="",Z74="",Y74&lt;=Z74)),"OK","CHECK")))</f>
        <v>OK</v>
      </c>
      <c r="AB74" s="27" t="n">
        <f aca="false">IF(AN74="","",K74*AM74*PI()/4*AN74^2)</f>
        <v>1520.53084433746</v>
      </c>
      <c r="AC74" s="31" t="s">
        <v>776</v>
      </c>
      <c r="AE74" s="32" t="n">
        <f aca="false">INDEX(Equipment!$D$2:$D$137,MATCH(E74,Equipment!$A$2:$A$137,0))</f>
        <v>146</v>
      </c>
      <c r="AF74" s="32" t="n">
        <f aca="false">INDEX(Equipment!$E$2:$E$137,MATCH(E74,Equipment!$A$2:$A$137,0))</f>
        <v>46</v>
      </c>
      <c r="AG74" s="32" t="n">
        <f aca="false">INDEX(Equipment!$F$2:$F$137,MATCH(E74,Equipment!$A$2:$A$137,0))</f>
        <v>0.5</v>
      </c>
      <c r="AH74" s="32" t="n">
        <f aca="false">INDEX(Equipment!$D$2:$D$137,MATCH(G74,Equipment!$A$2:$A$137,0))</f>
        <v>112</v>
      </c>
      <c r="AI74" s="32" t="n">
        <f aca="false">INDEX(Equipment!$E$2:$E$137,MATCH(G74,Equipment!$A$2:$A$137,0))</f>
        <v>32</v>
      </c>
      <c r="AJ74" s="32" t="n">
        <f aca="false">INDEX(Equipment!$F$2:$F$137,MATCH(G74,Equipment!$A$2:$A$137,0))</f>
        <v>20.5</v>
      </c>
      <c r="AK74" s="32" t="n">
        <f aca="false">IF(INDEX(Raceways!$D$2:$D$18,MATCH(L74,Raceways!$A$2:$A$18,0))="",0,INDEX(Raceways!$D$2:$D$18,MATCH(L74,Raceways!$A$2:$A$18,0)))</f>
        <v>20</v>
      </c>
      <c r="AL74" s="33" t="n">
        <f aca="false">IF(INDEX(Raceways!$I$2:$I$18,MATCH(L74,Raceways!$A$2:$A$18,0))="","",INDEX(Raceways!$I$2:$I$18,MATCH(L74,Raceways!$A$2:$A$18,0)))</f>
        <v>0.8</v>
      </c>
      <c r="AM74" s="26" t="n">
        <f aca="false">INDEX('Cable Types'!$D$2:$D$41,MATCH(I74,'Cable Types'!$A$2:$A$41,0))</f>
        <v>1</v>
      </c>
      <c r="AN74" s="26" t="n">
        <f aca="false">IF(INDEX('Cable Types'!$E$2:$E$41,MATCH(I74,'Cable Types'!$A$2:$A$41,0))="","",INDEX('Cable Types'!$E$2:$E$41,MATCH(I74,'Cable Types'!$A$2:$A$41,0)))</f>
        <v>44</v>
      </c>
      <c r="AO74" s="26" t="n">
        <f aca="false">IF(INDEX('Cable Types'!$F$2:$F$41,MATCH(I74,'Cable Types'!$A$2:$A$41,0))="","",INDEX('Cable Types'!$F$2:$F$41,MATCH(I74,'Cable Types'!$A$2:$A$41,0)))</f>
        <v>298</v>
      </c>
      <c r="AP74" s="33" t="n">
        <f aca="false">IF(INDEX('Cable Types'!$G$2:$G$41,MATCH(I74,'Cable Types'!$A$2:$A$41,0))="","",INDEX('Cable Types'!$G$2:$G$41,MATCH(I74,'Cable Types'!$A$2:$A$41,0)))</f>
        <v>0.45</v>
      </c>
    </row>
    <row r="75" customFormat="false" ht="15" hidden="false" customHeight="false" outlineLevel="0" collapsed="false">
      <c r="A75" s="25" t="s">
        <v>783</v>
      </c>
      <c r="B75" s="25" t="s">
        <v>230</v>
      </c>
      <c r="C75" s="25" t="s">
        <v>68</v>
      </c>
      <c r="D75" s="25" t="s">
        <v>784</v>
      </c>
      <c r="E75" s="25" t="s">
        <v>232</v>
      </c>
      <c r="F75" s="26" t="str">
        <f aca="false">INDEX(Equipment!$B$2:$B$137,MATCH(E75,Equipment!$A$2:$A$137,0))</f>
        <v>ACC fan VFD switchroom 690 V</v>
      </c>
      <c r="G75" s="25" t="s">
        <v>250</v>
      </c>
      <c r="H75" s="26" t="str">
        <f aca="false">INDEX(Equipment!$B$2:$B$137,MATCH(G75,Equipment!$A$2:$A$137,0))</f>
        <v>ACC fan motor 05, 200 kW 690 V (VFD)</v>
      </c>
      <c r="I75" s="25" t="s">
        <v>527</v>
      </c>
      <c r="J75" s="26" t="str">
        <f aca="false">INDEX('Cable Types'!$B$2:$B$41,MATCH(I75,'Cable Types'!$A$2:$A$41,0))</f>
        <v>0.6/1 kV 3C 95+3E Cu/XLPE/screened VFD cable</v>
      </c>
      <c r="K75" s="25" t="n">
        <v>1</v>
      </c>
      <c r="L75" s="25" t="s">
        <v>775</v>
      </c>
      <c r="M75" s="25" t="s">
        <v>638</v>
      </c>
      <c r="N75" s="25"/>
      <c r="O75" s="27" t="n">
        <f aca="false">IF(N75&lt;&gt;"",N75,IF(M75="D",ROUNDUP(SQRT((AH75-AE75)^2+(AI75-AF75)^2+(AJ75-AG75)^2)*(1+'Design Basis'!$C$6),0),ROUNDUP((ABS(AH75-AE75)+ABS(AI75-AF75)+ABS(AK75-AG75)+ABS(AK75-AJ75))*(1+'Design Basis'!$C$4)+2*'Design Basis'!$C$5,0)))</f>
        <v>69</v>
      </c>
      <c r="P75" s="27" t="n">
        <f aca="false">O75*K75*AM75</f>
        <v>69</v>
      </c>
      <c r="Q75" s="28" t="n">
        <v>690</v>
      </c>
      <c r="R75" s="25" t="n">
        <v>3</v>
      </c>
      <c r="S75" s="28" t="n">
        <v>200</v>
      </c>
      <c r="T75" s="29" t="n">
        <v>0.85</v>
      </c>
      <c r="U75" s="27" t="n">
        <f aca="false">IF(OR(S75="",Q75=""),"",IF(R75=3,S75*1000/(SQRT(3)*Q75*T75),S75*1000/(Q75*T75)))</f>
        <v>196.879887191688</v>
      </c>
      <c r="V75" s="27" t="n">
        <f aca="false">IF(OR(AO75="",AL75=""),"",AO75*AL75)</f>
        <v>238.4</v>
      </c>
      <c r="W75" s="27" t="n">
        <f aca="false">IF(V75="","",V75*K75)</f>
        <v>238.4</v>
      </c>
      <c r="X75" s="30" t="n">
        <f aca="false">IF(OR(U75="",W75=""),"",U75/W75)</f>
        <v>0.82583845298527</v>
      </c>
      <c r="Y75" s="30" t="n">
        <f aca="false">IF(OR(U75="",AP75=""),"",AP75*(U75/K75)*O75/1000/Q75)</f>
        <v>0.00885959492362597</v>
      </c>
      <c r="Z75" s="30" t="n">
        <f aca="false">IF(U75="","",IFERROR(IF(INDEX('Design Basis'!$C$13:$C$21,MATCH(C75,'Design Basis'!$A$13:$A$21,0))="","",INDEX('Design Basis'!$C$13:$C$21,MATCH(C75,'Design Basis'!$A$13:$A$21,0))),""))</f>
        <v>0.04</v>
      </c>
      <c r="AA75" s="31" t="str">
        <f aca="false">IF(U75="","n/a",IF(W75="","CHECK",IF(AND(X75&lt;=1,OR(Y75="",Z75="",Y75&lt;=Z75)),"OK","CHECK")))</f>
        <v>OK</v>
      </c>
      <c r="AB75" s="27" t="n">
        <f aca="false">IF(AN75="","",K75*AM75*PI()/4*AN75^2)</f>
        <v>1520.53084433746</v>
      </c>
      <c r="AC75" s="31" t="s">
        <v>776</v>
      </c>
      <c r="AE75" s="32" t="n">
        <f aca="false">INDEX(Equipment!$D$2:$D$137,MATCH(E75,Equipment!$A$2:$A$137,0))</f>
        <v>146</v>
      </c>
      <c r="AF75" s="32" t="n">
        <f aca="false">INDEX(Equipment!$E$2:$E$137,MATCH(E75,Equipment!$A$2:$A$137,0))</f>
        <v>46</v>
      </c>
      <c r="AG75" s="32" t="n">
        <f aca="false">INDEX(Equipment!$F$2:$F$137,MATCH(E75,Equipment!$A$2:$A$137,0))</f>
        <v>0.5</v>
      </c>
      <c r="AH75" s="32" t="n">
        <f aca="false">INDEX(Equipment!$D$2:$D$137,MATCH(G75,Equipment!$A$2:$A$137,0))</f>
        <v>112</v>
      </c>
      <c r="AI75" s="32" t="n">
        <f aca="false">INDEX(Equipment!$E$2:$E$137,MATCH(G75,Equipment!$A$2:$A$137,0))</f>
        <v>43</v>
      </c>
      <c r="AJ75" s="32" t="n">
        <f aca="false">INDEX(Equipment!$F$2:$F$137,MATCH(G75,Equipment!$A$2:$A$137,0))</f>
        <v>20.5</v>
      </c>
      <c r="AK75" s="32" t="n">
        <f aca="false">IF(INDEX(Raceways!$D$2:$D$18,MATCH(L75,Raceways!$A$2:$A$18,0))="",0,INDEX(Raceways!$D$2:$D$18,MATCH(L75,Raceways!$A$2:$A$18,0)))</f>
        <v>20</v>
      </c>
      <c r="AL75" s="33" t="n">
        <f aca="false">IF(INDEX(Raceways!$I$2:$I$18,MATCH(L75,Raceways!$A$2:$A$18,0))="","",INDEX(Raceways!$I$2:$I$18,MATCH(L75,Raceways!$A$2:$A$18,0)))</f>
        <v>0.8</v>
      </c>
      <c r="AM75" s="26" t="n">
        <f aca="false">INDEX('Cable Types'!$D$2:$D$41,MATCH(I75,'Cable Types'!$A$2:$A$41,0))</f>
        <v>1</v>
      </c>
      <c r="AN75" s="26" t="n">
        <f aca="false">IF(INDEX('Cable Types'!$E$2:$E$41,MATCH(I75,'Cable Types'!$A$2:$A$41,0))="","",INDEX('Cable Types'!$E$2:$E$41,MATCH(I75,'Cable Types'!$A$2:$A$41,0)))</f>
        <v>44</v>
      </c>
      <c r="AO75" s="26" t="n">
        <f aca="false">IF(INDEX('Cable Types'!$F$2:$F$41,MATCH(I75,'Cable Types'!$A$2:$A$41,0))="","",INDEX('Cable Types'!$F$2:$F$41,MATCH(I75,'Cable Types'!$A$2:$A$41,0)))</f>
        <v>298</v>
      </c>
      <c r="AP75" s="33" t="n">
        <f aca="false">IF(INDEX('Cable Types'!$G$2:$G$41,MATCH(I75,'Cable Types'!$A$2:$A$41,0))="","",INDEX('Cable Types'!$G$2:$G$41,MATCH(I75,'Cable Types'!$A$2:$A$41,0)))</f>
        <v>0.45</v>
      </c>
    </row>
    <row r="76" customFormat="false" ht="15" hidden="false" customHeight="false" outlineLevel="0" collapsed="false">
      <c r="A76" s="25" t="s">
        <v>785</v>
      </c>
      <c r="B76" s="25" t="s">
        <v>230</v>
      </c>
      <c r="C76" s="25" t="s">
        <v>68</v>
      </c>
      <c r="D76" s="25" t="s">
        <v>786</v>
      </c>
      <c r="E76" s="25" t="s">
        <v>232</v>
      </c>
      <c r="F76" s="26" t="str">
        <f aca="false">INDEX(Equipment!$B$2:$B$137,MATCH(E76,Equipment!$A$2:$A$137,0))</f>
        <v>ACC fan VFD switchroom 690 V</v>
      </c>
      <c r="G76" s="25" t="s">
        <v>253</v>
      </c>
      <c r="H76" s="26" t="str">
        <f aca="false">INDEX(Equipment!$B$2:$B$137,MATCH(G76,Equipment!$A$2:$A$137,0))</f>
        <v>ACC fan motor 06, 200 kW 690 V (VFD)</v>
      </c>
      <c r="I76" s="25" t="s">
        <v>527</v>
      </c>
      <c r="J76" s="26" t="str">
        <f aca="false">INDEX('Cable Types'!$B$2:$B$41,MATCH(I76,'Cable Types'!$A$2:$A$41,0))</f>
        <v>0.6/1 kV 3C 95+3E Cu/XLPE/screened VFD cable</v>
      </c>
      <c r="K76" s="25" t="n">
        <v>1</v>
      </c>
      <c r="L76" s="25" t="s">
        <v>775</v>
      </c>
      <c r="M76" s="25" t="s">
        <v>638</v>
      </c>
      <c r="N76" s="25"/>
      <c r="O76" s="27" t="n">
        <f aca="false">IF(N76&lt;&gt;"",N76,IF(M76="D",ROUNDUP(SQRT((AH76-AE76)^2+(AI76-AF76)^2+(AJ76-AG76)^2)*(1+'Design Basis'!$C$6),0),ROUNDUP((ABS(AH76-AE76)+ABS(AI76-AF76)+ABS(AK76-AG76)+ABS(AK76-AJ76))*(1+'Design Basis'!$C$4)+2*'Design Basis'!$C$5,0)))</f>
        <v>75</v>
      </c>
      <c r="P76" s="27" t="n">
        <f aca="false">O76*K76*AM76</f>
        <v>75</v>
      </c>
      <c r="Q76" s="28" t="n">
        <v>690</v>
      </c>
      <c r="R76" s="25" t="n">
        <v>3</v>
      </c>
      <c r="S76" s="28" t="n">
        <v>200</v>
      </c>
      <c r="T76" s="29" t="n">
        <v>0.85</v>
      </c>
      <c r="U76" s="27" t="n">
        <f aca="false">IF(OR(S76="",Q76=""),"",IF(R76=3,S76*1000/(SQRT(3)*Q76*T76),S76*1000/(Q76*T76)))</f>
        <v>196.879887191688</v>
      </c>
      <c r="V76" s="27" t="n">
        <f aca="false">IF(OR(AO76="",AL76=""),"",AO76*AL76)</f>
        <v>238.4</v>
      </c>
      <c r="W76" s="27" t="n">
        <f aca="false">IF(V76="","",V76*K76)</f>
        <v>238.4</v>
      </c>
      <c r="X76" s="30" t="n">
        <f aca="false">IF(OR(U76="",W76=""),"",U76/W76)</f>
        <v>0.82583845298527</v>
      </c>
      <c r="Y76" s="30" t="n">
        <f aca="false">IF(OR(U76="",AP76=""),"",AP76*(U76/K76)*O76/1000/Q76)</f>
        <v>0.00962999448220214</v>
      </c>
      <c r="Z76" s="30" t="n">
        <f aca="false">IF(U76="","",IFERROR(IF(INDEX('Design Basis'!$C$13:$C$21,MATCH(C76,'Design Basis'!$A$13:$A$21,0))="","",INDEX('Design Basis'!$C$13:$C$21,MATCH(C76,'Design Basis'!$A$13:$A$21,0))),""))</f>
        <v>0.04</v>
      </c>
      <c r="AA76" s="31" t="str">
        <f aca="false">IF(U76="","n/a",IF(W76="","CHECK",IF(AND(X76&lt;=1,OR(Y76="",Z76="",Y76&lt;=Z76)),"OK","CHECK")))</f>
        <v>OK</v>
      </c>
      <c r="AB76" s="27" t="n">
        <f aca="false">IF(AN76="","",K76*AM76*PI()/4*AN76^2)</f>
        <v>1520.53084433746</v>
      </c>
      <c r="AC76" s="31" t="s">
        <v>776</v>
      </c>
      <c r="AE76" s="32" t="n">
        <f aca="false">INDEX(Equipment!$D$2:$D$137,MATCH(E76,Equipment!$A$2:$A$137,0))</f>
        <v>146</v>
      </c>
      <c r="AF76" s="32" t="n">
        <f aca="false">INDEX(Equipment!$E$2:$E$137,MATCH(E76,Equipment!$A$2:$A$137,0))</f>
        <v>46</v>
      </c>
      <c r="AG76" s="32" t="n">
        <f aca="false">INDEX(Equipment!$F$2:$F$137,MATCH(E76,Equipment!$A$2:$A$137,0))</f>
        <v>0.5</v>
      </c>
      <c r="AH76" s="32" t="n">
        <f aca="false">INDEX(Equipment!$D$2:$D$137,MATCH(G76,Equipment!$A$2:$A$137,0))</f>
        <v>112</v>
      </c>
      <c r="AI76" s="32" t="n">
        <f aca="false">INDEX(Equipment!$E$2:$E$137,MATCH(G76,Equipment!$A$2:$A$137,0))</f>
        <v>54</v>
      </c>
      <c r="AJ76" s="32" t="n">
        <f aca="false">INDEX(Equipment!$F$2:$F$137,MATCH(G76,Equipment!$A$2:$A$137,0))</f>
        <v>20.5</v>
      </c>
      <c r="AK76" s="32" t="n">
        <f aca="false">IF(INDEX(Raceways!$D$2:$D$18,MATCH(L76,Raceways!$A$2:$A$18,0))="",0,INDEX(Raceways!$D$2:$D$18,MATCH(L76,Raceways!$A$2:$A$18,0)))</f>
        <v>20</v>
      </c>
      <c r="AL76" s="33" t="n">
        <f aca="false">IF(INDEX(Raceways!$I$2:$I$18,MATCH(L76,Raceways!$A$2:$A$18,0))="","",INDEX(Raceways!$I$2:$I$18,MATCH(L76,Raceways!$A$2:$A$18,0)))</f>
        <v>0.8</v>
      </c>
      <c r="AM76" s="26" t="n">
        <f aca="false">INDEX('Cable Types'!$D$2:$D$41,MATCH(I76,'Cable Types'!$A$2:$A$41,0))</f>
        <v>1</v>
      </c>
      <c r="AN76" s="26" t="n">
        <f aca="false">IF(INDEX('Cable Types'!$E$2:$E$41,MATCH(I76,'Cable Types'!$A$2:$A$41,0))="","",INDEX('Cable Types'!$E$2:$E$41,MATCH(I76,'Cable Types'!$A$2:$A$41,0)))</f>
        <v>44</v>
      </c>
      <c r="AO76" s="26" t="n">
        <f aca="false">IF(INDEX('Cable Types'!$F$2:$F$41,MATCH(I76,'Cable Types'!$A$2:$A$41,0))="","",INDEX('Cable Types'!$F$2:$F$41,MATCH(I76,'Cable Types'!$A$2:$A$41,0)))</f>
        <v>298</v>
      </c>
      <c r="AP76" s="33" t="n">
        <f aca="false">IF(INDEX('Cable Types'!$G$2:$G$41,MATCH(I76,'Cable Types'!$A$2:$A$41,0))="","",INDEX('Cable Types'!$G$2:$G$41,MATCH(I76,'Cable Types'!$A$2:$A$41,0)))</f>
        <v>0.45</v>
      </c>
    </row>
    <row r="77" customFormat="false" ht="15" hidden="false" customHeight="false" outlineLevel="0" collapsed="false">
      <c r="A77" s="25" t="s">
        <v>787</v>
      </c>
      <c r="B77" s="25" t="s">
        <v>230</v>
      </c>
      <c r="C77" s="25" t="s">
        <v>68</v>
      </c>
      <c r="D77" s="25" t="s">
        <v>788</v>
      </c>
      <c r="E77" s="25" t="s">
        <v>232</v>
      </c>
      <c r="F77" s="26" t="str">
        <f aca="false">INDEX(Equipment!$B$2:$B$137,MATCH(E77,Equipment!$A$2:$A$137,0))</f>
        <v>ACC fan VFD switchroom 690 V</v>
      </c>
      <c r="G77" s="25" t="s">
        <v>256</v>
      </c>
      <c r="H77" s="26" t="str">
        <f aca="false">INDEX(Equipment!$B$2:$B$137,MATCH(G77,Equipment!$A$2:$A$137,0))</f>
        <v>ACC fan motor 07, 200 kW 690 V (VFD)</v>
      </c>
      <c r="I77" s="25" t="s">
        <v>527</v>
      </c>
      <c r="J77" s="26" t="str">
        <f aca="false">INDEX('Cable Types'!$B$2:$B$41,MATCH(I77,'Cable Types'!$A$2:$A$41,0))</f>
        <v>0.6/1 kV 3C 95+3E Cu/XLPE/screened VFD cable</v>
      </c>
      <c r="K77" s="25" t="n">
        <v>1</v>
      </c>
      <c r="L77" s="25" t="s">
        <v>775</v>
      </c>
      <c r="M77" s="25" t="s">
        <v>638</v>
      </c>
      <c r="N77" s="25"/>
      <c r="O77" s="27" t="n">
        <f aca="false">IF(N77&lt;&gt;"",N77,IF(M77="D",ROUNDUP(SQRT((AH77-AE77)^2+(AI77-AF77)^2+(AJ77-AG77)^2)*(1+'Design Basis'!$C$6),0),ROUNDUP((ABS(AH77-AE77)+ABS(AI77-AF77)+ABS(AK77-AG77)+ABS(AK77-AJ77))*(1+'Design Basis'!$C$4)+2*'Design Basis'!$C$5,0)))</f>
        <v>72</v>
      </c>
      <c r="P77" s="27" t="n">
        <f aca="false">O77*K77*AM77</f>
        <v>72</v>
      </c>
      <c r="Q77" s="28" t="n">
        <v>690</v>
      </c>
      <c r="R77" s="25" t="n">
        <v>3</v>
      </c>
      <c r="S77" s="28" t="n">
        <v>200</v>
      </c>
      <c r="T77" s="29" t="n">
        <v>0.85</v>
      </c>
      <c r="U77" s="27" t="n">
        <f aca="false">IF(OR(S77="",Q77=""),"",IF(R77=3,S77*1000/(SQRT(3)*Q77*T77),S77*1000/(Q77*T77)))</f>
        <v>196.879887191688</v>
      </c>
      <c r="V77" s="27" t="n">
        <f aca="false">IF(OR(AO77="",AL77=""),"",AO77*AL77)</f>
        <v>238.4</v>
      </c>
      <c r="W77" s="27" t="n">
        <f aca="false">IF(V77="","",V77*K77)</f>
        <v>238.4</v>
      </c>
      <c r="X77" s="30" t="n">
        <f aca="false">IF(OR(U77="",W77=""),"",U77/W77)</f>
        <v>0.82583845298527</v>
      </c>
      <c r="Y77" s="30" t="n">
        <f aca="false">IF(OR(U77="",AP77=""),"",AP77*(U77/K77)*O77/1000/Q77)</f>
        <v>0.00924479470291406</v>
      </c>
      <c r="Z77" s="30" t="n">
        <f aca="false">IF(U77="","",IFERROR(IF(INDEX('Design Basis'!$C$13:$C$21,MATCH(C77,'Design Basis'!$A$13:$A$21,0))="","",INDEX('Design Basis'!$C$13:$C$21,MATCH(C77,'Design Basis'!$A$13:$A$21,0))),""))</f>
        <v>0.04</v>
      </c>
      <c r="AA77" s="31" t="str">
        <f aca="false">IF(U77="","n/a",IF(W77="","CHECK",IF(AND(X77&lt;=1,OR(Y77="",Z77="",Y77&lt;=Z77)),"OK","CHECK")))</f>
        <v>OK</v>
      </c>
      <c r="AB77" s="27" t="n">
        <f aca="false">IF(AN77="","",K77*AM77*PI()/4*AN77^2)</f>
        <v>1520.53084433746</v>
      </c>
      <c r="AC77" s="31" t="s">
        <v>776</v>
      </c>
      <c r="AE77" s="32" t="n">
        <f aca="false">INDEX(Equipment!$D$2:$D$137,MATCH(E77,Equipment!$A$2:$A$137,0))</f>
        <v>146</v>
      </c>
      <c r="AF77" s="32" t="n">
        <f aca="false">INDEX(Equipment!$E$2:$E$137,MATCH(E77,Equipment!$A$2:$A$137,0))</f>
        <v>46</v>
      </c>
      <c r="AG77" s="32" t="n">
        <f aca="false">INDEX(Equipment!$F$2:$F$137,MATCH(E77,Equipment!$A$2:$A$137,0))</f>
        <v>0.5</v>
      </c>
      <c r="AH77" s="32" t="n">
        <f aca="false">INDEX(Equipment!$D$2:$D$137,MATCH(G77,Equipment!$A$2:$A$137,0))</f>
        <v>120</v>
      </c>
      <c r="AI77" s="32" t="n">
        <f aca="false">INDEX(Equipment!$E$2:$E$137,MATCH(G77,Equipment!$A$2:$A$137,0))</f>
        <v>32</v>
      </c>
      <c r="AJ77" s="32" t="n">
        <f aca="false">INDEX(Equipment!$F$2:$F$137,MATCH(G77,Equipment!$A$2:$A$137,0))</f>
        <v>20.5</v>
      </c>
      <c r="AK77" s="32" t="n">
        <f aca="false">IF(INDEX(Raceways!$D$2:$D$18,MATCH(L77,Raceways!$A$2:$A$18,0))="",0,INDEX(Raceways!$D$2:$D$18,MATCH(L77,Raceways!$A$2:$A$18,0)))</f>
        <v>20</v>
      </c>
      <c r="AL77" s="33" t="n">
        <f aca="false">IF(INDEX(Raceways!$I$2:$I$18,MATCH(L77,Raceways!$A$2:$A$18,0))="","",INDEX(Raceways!$I$2:$I$18,MATCH(L77,Raceways!$A$2:$A$18,0)))</f>
        <v>0.8</v>
      </c>
      <c r="AM77" s="26" t="n">
        <f aca="false">INDEX('Cable Types'!$D$2:$D$41,MATCH(I77,'Cable Types'!$A$2:$A$41,0))</f>
        <v>1</v>
      </c>
      <c r="AN77" s="26" t="n">
        <f aca="false">IF(INDEX('Cable Types'!$E$2:$E$41,MATCH(I77,'Cable Types'!$A$2:$A$41,0))="","",INDEX('Cable Types'!$E$2:$E$41,MATCH(I77,'Cable Types'!$A$2:$A$41,0)))</f>
        <v>44</v>
      </c>
      <c r="AO77" s="26" t="n">
        <f aca="false">IF(INDEX('Cable Types'!$F$2:$F$41,MATCH(I77,'Cable Types'!$A$2:$A$41,0))="","",INDEX('Cable Types'!$F$2:$F$41,MATCH(I77,'Cable Types'!$A$2:$A$41,0)))</f>
        <v>298</v>
      </c>
      <c r="AP77" s="33" t="n">
        <f aca="false">IF(INDEX('Cable Types'!$G$2:$G$41,MATCH(I77,'Cable Types'!$A$2:$A$41,0))="","",INDEX('Cable Types'!$G$2:$G$41,MATCH(I77,'Cable Types'!$A$2:$A$41,0)))</f>
        <v>0.45</v>
      </c>
    </row>
    <row r="78" customFormat="false" ht="15" hidden="false" customHeight="false" outlineLevel="0" collapsed="false">
      <c r="A78" s="25" t="s">
        <v>789</v>
      </c>
      <c r="B78" s="25" t="s">
        <v>230</v>
      </c>
      <c r="C78" s="25" t="s">
        <v>68</v>
      </c>
      <c r="D78" s="25" t="s">
        <v>790</v>
      </c>
      <c r="E78" s="25" t="s">
        <v>232</v>
      </c>
      <c r="F78" s="26" t="str">
        <f aca="false">INDEX(Equipment!$B$2:$B$137,MATCH(E78,Equipment!$A$2:$A$137,0))</f>
        <v>ACC fan VFD switchroom 690 V</v>
      </c>
      <c r="G78" s="25" t="s">
        <v>259</v>
      </c>
      <c r="H78" s="26" t="str">
        <f aca="false">INDEX(Equipment!$B$2:$B$137,MATCH(G78,Equipment!$A$2:$A$137,0))</f>
        <v>ACC fan motor 08, 200 kW 690 V (VFD)</v>
      </c>
      <c r="I78" s="25" t="s">
        <v>527</v>
      </c>
      <c r="J78" s="26" t="str">
        <f aca="false">INDEX('Cable Types'!$B$2:$B$41,MATCH(I78,'Cable Types'!$A$2:$A$41,0))</f>
        <v>0.6/1 kV 3C 95+3E Cu/XLPE/screened VFD cable</v>
      </c>
      <c r="K78" s="25" t="n">
        <v>1</v>
      </c>
      <c r="L78" s="25" t="s">
        <v>775</v>
      </c>
      <c r="M78" s="25" t="s">
        <v>638</v>
      </c>
      <c r="N78" s="25"/>
      <c r="O78" s="27" t="n">
        <f aca="false">IF(N78&lt;&gt;"",N78,IF(M78="D",ROUNDUP(SQRT((AH78-AE78)^2+(AI78-AF78)^2+(AJ78-AG78)^2)*(1+'Design Basis'!$C$6),0),ROUNDUP((ABS(AH78-AE78)+ABS(AI78-AF78)+ABS(AK78-AG78)+ABS(AK78-AJ78))*(1+'Design Basis'!$C$4)+2*'Design Basis'!$C$5,0)))</f>
        <v>60</v>
      </c>
      <c r="P78" s="27" t="n">
        <f aca="false">O78*K78*AM78</f>
        <v>60</v>
      </c>
      <c r="Q78" s="28" t="n">
        <v>690</v>
      </c>
      <c r="R78" s="25" t="n">
        <v>3</v>
      </c>
      <c r="S78" s="28" t="n">
        <v>200</v>
      </c>
      <c r="T78" s="29" t="n">
        <v>0.85</v>
      </c>
      <c r="U78" s="27" t="n">
        <f aca="false">IF(OR(S78="",Q78=""),"",IF(R78=3,S78*1000/(SQRT(3)*Q78*T78),S78*1000/(Q78*T78)))</f>
        <v>196.879887191688</v>
      </c>
      <c r="V78" s="27" t="n">
        <f aca="false">IF(OR(AO78="",AL78=""),"",AO78*AL78)</f>
        <v>238.4</v>
      </c>
      <c r="W78" s="27" t="n">
        <f aca="false">IF(V78="","",V78*K78)</f>
        <v>238.4</v>
      </c>
      <c r="X78" s="30" t="n">
        <f aca="false">IF(OR(U78="",W78=""),"",U78/W78)</f>
        <v>0.82583845298527</v>
      </c>
      <c r="Y78" s="30" t="n">
        <f aca="false">IF(OR(U78="",AP78=""),"",AP78*(U78/K78)*O78/1000/Q78)</f>
        <v>0.00770399558576171</v>
      </c>
      <c r="Z78" s="30" t="n">
        <f aca="false">IF(U78="","",IFERROR(IF(INDEX('Design Basis'!$C$13:$C$21,MATCH(C78,'Design Basis'!$A$13:$A$21,0))="","",INDEX('Design Basis'!$C$13:$C$21,MATCH(C78,'Design Basis'!$A$13:$A$21,0))),""))</f>
        <v>0.04</v>
      </c>
      <c r="AA78" s="31" t="str">
        <f aca="false">IF(U78="","n/a",IF(W78="","CHECK",IF(AND(X78&lt;=1,OR(Y78="",Z78="",Y78&lt;=Z78)),"OK","CHECK")))</f>
        <v>OK</v>
      </c>
      <c r="AB78" s="27" t="n">
        <f aca="false">IF(AN78="","",K78*AM78*PI()/4*AN78^2)</f>
        <v>1520.53084433746</v>
      </c>
      <c r="AC78" s="31" t="s">
        <v>776</v>
      </c>
      <c r="AE78" s="32" t="n">
        <f aca="false">INDEX(Equipment!$D$2:$D$137,MATCH(E78,Equipment!$A$2:$A$137,0))</f>
        <v>146</v>
      </c>
      <c r="AF78" s="32" t="n">
        <f aca="false">INDEX(Equipment!$E$2:$E$137,MATCH(E78,Equipment!$A$2:$A$137,0))</f>
        <v>46</v>
      </c>
      <c r="AG78" s="32" t="n">
        <f aca="false">INDEX(Equipment!$F$2:$F$137,MATCH(E78,Equipment!$A$2:$A$137,0))</f>
        <v>0.5</v>
      </c>
      <c r="AH78" s="32" t="n">
        <f aca="false">INDEX(Equipment!$D$2:$D$137,MATCH(G78,Equipment!$A$2:$A$137,0))</f>
        <v>120</v>
      </c>
      <c r="AI78" s="32" t="n">
        <f aca="false">INDEX(Equipment!$E$2:$E$137,MATCH(G78,Equipment!$A$2:$A$137,0))</f>
        <v>43</v>
      </c>
      <c r="AJ78" s="32" t="n">
        <f aca="false">INDEX(Equipment!$F$2:$F$137,MATCH(G78,Equipment!$A$2:$A$137,0))</f>
        <v>20.5</v>
      </c>
      <c r="AK78" s="32" t="n">
        <f aca="false">IF(INDEX(Raceways!$D$2:$D$18,MATCH(L78,Raceways!$A$2:$A$18,0))="",0,INDEX(Raceways!$D$2:$D$18,MATCH(L78,Raceways!$A$2:$A$18,0)))</f>
        <v>20</v>
      </c>
      <c r="AL78" s="33" t="n">
        <f aca="false">IF(INDEX(Raceways!$I$2:$I$18,MATCH(L78,Raceways!$A$2:$A$18,0))="","",INDEX(Raceways!$I$2:$I$18,MATCH(L78,Raceways!$A$2:$A$18,0)))</f>
        <v>0.8</v>
      </c>
      <c r="AM78" s="26" t="n">
        <f aca="false">INDEX('Cable Types'!$D$2:$D$41,MATCH(I78,'Cable Types'!$A$2:$A$41,0))</f>
        <v>1</v>
      </c>
      <c r="AN78" s="26" t="n">
        <f aca="false">IF(INDEX('Cable Types'!$E$2:$E$41,MATCH(I78,'Cable Types'!$A$2:$A$41,0))="","",INDEX('Cable Types'!$E$2:$E$41,MATCH(I78,'Cable Types'!$A$2:$A$41,0)))</f>
        <v>44</v>
      </c>
      <c r="AO78" s="26" t="n">
        <f aca="false">IF(INDEX('Cable Types'!$F$2:$F$41,MATCH(I78,'Cable Types'!$A$2:$A$41,0))="","",INDEX('Cable Types'!$F$2:$F$41,MATCH(I78,'Cable Types'!$A$2:$A$41,0)))</f>
        <v>298</v>
      </c>
      <c r="AP78" s="33" t="n">
        <f aca="false">IF(INDEX('Cable Types'!$G$2:$G$41,MATCH(I78,'Cable Types'!$A$2:$A$41,0))="","",INDEX('Cable Types'!$G$2:$G$41,MATCH(I78,'Cable Types'!$A$2:$A$41,0)))</f>
        <v>0.45</v>
      </c>
    </row>
    <row r="79" customFormat="false" ht="15" hidden="false" customHeight="false" outlineLevel="0" collapsed="false">
      <c r="A79" s="25" t="s">
        <v>791</v>
      </c>
      <c r="B79" s="25" t="s">
        <v>230</v>
      </c>
      <c r="C79" s="25" t="s">
        <v>68</v>
      </c>
      <c r="D79" s="25" t="s">
        <v>792</v>
      </c>
      <c r="E79" s="25" t="s">
        <v>232</v>
      </c>
      <c r="F79" s="26" t="str">
        <f aca="false">INDEX(Equipment!$B$2:$B$137,MATCH(E79,Equipment!$A$2:$A$137,0))</f>
        <v>ACC fan VFD switchroom 690 V</v>
      </c>
      <c r="G79" s="25" t="s">
        <v>262</v>
      </c>
      <c r="H79" s="26" t="str">
        <f aca="false">INDEX(Equipment!$B$2:$B$137,MATCH(G79,Equipment!$A$2:$A$137,0))</f>
        <v>ACC fan motor 09, 200 kW 690 V (VFD)</v>
      </c>
      <c r="I79" s="25" t="s">
        <v>527</v>
      </c>
      <c r="J79" s="26" t="str">
        <f aca="false">INDEX('Cable Types'!$B$2:$B$41,MATCH(I79,'Cable Types'!$A$2:$A$41,0))</f>
        <v>0.6/1 kV 3C 95+3E Cu/XLPE/screened VFD cable</v>
      </c>
      <c r="K79" s="25" t="n">
        <v>1</v>
      </c>
      <c r="L79" s="25" t="s">
        <v>775</v>
      </c>
      <c r="M79" s="25" t="s">
        <v>638</v>
      </c>
      <c r="N79" s="25"/>
      <c r="O79" s="27" t="n">
        <f aca="false">IF(N79&lt;&gt;"",N79,IF(M79="D",ROUNDUP(SQRT((AH79-AE79)^2+(AI79-AF79)^2+(AJ79-AG79)^2)*(1+'Design Basis'!$C$6),0),ROUNDUP((ABS(AH79-AE79)+ABS(AI79-AF79)+ABS(AK79-AG79)+ABS(AK79-AJ79))*(1+'Design Basis'!$C$4)+2*'Design Basis'!$C$5,0)))</f>
        <v>66</v>
      </c>
      <c r="P79" s="27" t="n">
        <f aca="false">O79*K79*AM79</f>
        <v>66</v>
      </c>
      <c r="Q79" s="28" t="n">
        <v>690</v>
      </c>
      <c r="R79" s="25" t="n">
        <v>3</v>
      </c>
      <c r="S79" s="28" t="n">
        <v>200</v>
      </c>
      <c r="T79" s="29" t="n">
        <v>0.85</v>
      </c>
      <c r="U79" s="27" t="n">
        <f aca="false">IF(OR(S79="",Q79=""),"",IF(R79=3,S79*1000/(SQRT(3)*Q79*T79),S79*1000/(Q79*T79)))</f>
        <v>196.879887191688</v>
      </c>
      <c r="V79" s="27" t="n">
        <f aca="false">IF(OR(AO79="",AL79=""),"",AO79*AL79)</f>
        <v>238.4</v>
      </c>
      <c r="W79" s="27" t="n">
        <f aca="false">IF(V79="","",V79*K79)</f>
        <v>238.4</v>
      </c>
      <c r="X79" s="30" t="n">
        <f aca="false">IF(OR(U79="",W79=""),"",U79/W79)</f>
        <v>0.82583845298527</v>
      </c>
      <c r="Y79" s="30" t="n">
        <f aca="false">IF(OR(U79="",AP79=""),"",AP79*(U79/K79)*O79/1000/Q79)</f>
        <v>0.00847439514433789</v>
      </c>
      <c r="Z79" s="30" t="n">
        <f aca="false">IF(U79="","",IFERROR(IF(INDEX('Design Basis'!$C$13:$C$21,MATCH(C79,'Design Basis'!$A$13:$A$21,0))="","",INDEX('Design Basis'!$C$13:$C$21,MATCH(C79,'Design Basis'!$A$13:$A$21,0))),""))</f>
        <v>0.04</v>
      </c>
      <c r="AA79" s="31" t="str">
        <f aca="false">IF(U79="","n/a",IF(W79="","CHECK",IF(AND(X79&lt;=1,OR(Y79="",Z79="",Y79&lt;=Z79)),"OK","CHECK")))</f>
        <v>OK</v>
      </c>
      <c r="AB79" s="27" t="n">
        <f aca="false">IF(AN79="","",K79*AM79*PI()/4*AN79^2)</f>
        <v>1520.53084433746</v>
      </c>
      <c r="AC79" s="31" t="s">
        <v>776</v>
      </c>
      <c r="AE79" s="32" t="n">
        <f aca="false">INDEX(Equipment!$D$2:$D$137,MATCH(E79,Equipment!$A$2:$A$137,0))</f>
        <v>146</v>
      </c>
      <c r="AF79" s="32" t="n">
        <f aca="false">INDEX(Equipment!$E$2:$E$137,MATCH(E79,Equipment!$A$2:$A$137,0))</f>
        <v>46</v>
      </c>
      <c r="AG79" s="32" t="n">
        <f aca="false">INDEX(Equipment!$F$2:$F$137,MATCH(E79,Equipment!$A$2:$A$137,0))</f>
        <v>0.5</v>
      </c>
      <c r="AH79" s="32" t="n">
        <f aca="false">INDEX(Equipment!$D$2:$D$137,MATCH(G79,Equipment!$A$2:$A$137,0))</f>
        <v>120</v>
      </c>
      <c r="AI79" s="32" t="n">
        <f aca="false">INDEX(Equipment!$E$2:$E$137,MATCH(G79,Equipment!$A$2:$A$137,0))</f>
        <v>54</v>
      </c>
      <c r="AJ79" s="32" t="n">
        <f aca="false">INDEX(Equipment!$F$2:$F$137,MATCH(G79,Equipment!$A$2:$A$137,0))</f>
        <v>20.5</v>
      </c>
      <c r="AK79" s="32" t="n">
        <f aca="false">IF(INDEX(Raceways!$D$2:$D$18,MATCH(L79,Raceways!$A$2:$A$18,0))="",0,INDEX(Raceways!$D$2:$D$18,MATCH(L79,Raceways!$A$2:$A$18,0)))</f>
        <v>20</v>
      </c>
      <c r="AL79" s="33" t="n">
        <f aca="false">IF(INDEX(Raceways!$I$2:$I$18,MATCH(L79,Raceways!$A$2:$A$18,0))="","",INDEX(Raceways!$I$2:$I$18,MATCH(L79,Raceways!$A$2:$A$18,0)))</f>
        <v>0.8</v>
      </c>
      <c r="AM79" s="26" t="n">
        <f aca="false">INDEX('Cable Types'!$D$2:$D$41,MATCH(I79,'Cable Types'!$A$2:$A$41,0))</f>
        <v>1</v>
      </c>
      <c r="AN79" s="26" t="n">
        <f aca="false">IF(INDEX('Cable Types'!$E$2:$E$41,MATCH(I79,'Cable Types'!$A$2:$A$41,0))="","",INDEX('Cable Types'!$E$2:$E$41,MATCH(I79,'Cable Types'!$A$2:$A$41,0)))</f>
        <v>44</v>
      </c>
      <c r="AO79" s="26" t="n">
        <f aca="false">IF(INDEX('Cable Types'!$F$2:$F$41,MATCH(I79,'Cable Types'!$A$2:$A$41,0))="","",INDEX('Cable Types'!$F$2:$F$41,MATCH(I79,'Cable Types'!$A$2:$A$41,0)))</f>
        <v>298</v>
      </c>
      <c r="AP79" s="33" t="n">
        <f aca="false">IF(INDEX('Cable Types'!$G$2:$G$41,MATCH(I79,'Cable Types'!$A$2:$A$41,0))="","",INDEX('Cable Types'!$G$2:$G$41,MATCH(I79,'Cable Types'!$A$2:$A$41,0)))</f>
        <v>0.45</v>
      </c>
    </row>
    <row r="80" customFormat="false" ht="15" hidden="false" customHeight="false" outlineLevel="0" collapsed="false">
      <c r="A80" s="25" t="s">
        <v>793</v>
      </c>
      <c r="B80" s="25" t="s">
        <v>230</v>
      </c>
      <c r="C80" s="25" t="s">
        <v>68</v>
      </c>
      <c r="D80" s="25" t="s">
        <v>794</v>
      </c>
      <c r="E80" s="25" t="s">
        <v>232</v>
      </c>
      <c r="F80" s="26" t="str">
        <f aca="false">INDEX(Equipment!$B$2:$B$137,MATCH(E80,Equipment!$A$2:$A$137,0))</f>
        <v>ACC fan VFD switchroom 690 V</v>
      </c>
      <c r="G80" s="25" t="s">
        <v>265</v>
      </c>
      <c r="H80" s="26" t="str">
        <f aca="false">INDEX(Equipment!$B$2:$B$137,MATCH(G80,Equipment!$A$2:$A$137,0))</f>
        <v>ACC fan motor 10, 200 kW 690 V (VFD)</v>
      </c>
      <c r="I80" s="25" t="s">
        <v>527</v>
      </c>
      <c r="J80" s="26" t="str">
        <f aca="false">INDEX('Cable Types'!$B$2:$B$41,MATCH(I80,'Cable Types'!$A$2:$A$41,0))</f>
        <v>0.6/1 kV 3C 95+3E Cu/XLPE/screened VFD cable</v>
      </c>
      <c r="K80" s="25" t="n">
        <v>1</v>
      </c>
      <c r="L80" s="25" t="s">
        <v>775</v>
      </c>
      <c r="M80" s="25" t="s">
        <v>638</v>
      </c>
      <c r="N80" s="25"/>
      <c r="O80" s="27" t="n">
        <f aca="false">IF(N80&lt;&gt;"",N80,IF(M80="D",ROUNDUP(SQRT((AH80-AE80)^2+(AI80-AF80)^2+(AJ80-AG80)^2)*(1+'Design Basis'!$C$6),0),ROUNDUP((ABS(AH80-AE80)+ABS(AI80-AF80)+ABS(AK80-AG80)+ABS(AK80-AJ80))*(1+'Design Basis'!$C$4)+2*'Design Basis'!$C$5,0)))</f>
        <v>64</v>
      </c>
      <c r="P80" s="27" t="n">
        <f aca="false">O80*K80*AM80</f>
        <v>64</v>
      </c>
      <c r="Q80" s="28" t="n">
        <v>690</v>
      </c>
      <c r="R80" s="25" t="n">
        <v>3</v>
      </c>
      <c r="S80" s="28" t="n">
        <v>200</v>
      </c>
      <c r="T80" s="29" t="n">
        <v>0.85</v>
      </c>
      <c r="U80" s="27" t="n">
        <f aca="false">IF(OR(S80="",Q80=""),"",IF(R80=3,S80*1000/(SQRT(3)*Q80*T80),S80*1000/(Q80*T80)))</f>
        <v>196.879887191688</v>
      </c>
      <c r="V80" s="27" t="n">
        <f aca="false">IF(OR(AO80="",AL80=""),"",AO80*AL80)</f>
        <v>238.4</v>
      </c>
      <c r="W80" s="27" t="n">
        <f aca="false">IF(V80="","",V80*K80)</f>
        <v>238.4</v>
      </c>
      <c r="X80" s="30" t="n">
        <f aca="false">IF(OR(U80="",W80=""),"",U80/W80)</f>
        <v>0.82583845298527</v>
      </c>
      <c r="Y80" s="30" t="n">
        <f aca="false">IF(OR(U80="",AP80=""),"",AP80*(U80/K80)*O80/1000/Q80)</f>
        <v>0.00821759529147916</v>
      </c>
      <c r="Z80" s="30" t="n">
        <f aca="false">IF(U80="","",IFERROR(IF(INDEX('Design Basis'!$C$13:$C$21,MATCH(C80,'Design Basis'!$A$13:$A$21,0))="","",INDEX('Design Basis'!$C$13:$C$21,MATCH(C80,'Design Basis'!$A$13:$A$21,0))),""))</f>
        <v>0.04</v>
      </c>
      <c r="AA80" s="31" t="str">
        <f aca="false">IF(U80="","n/a",IF(W80="","CHECK",IF(AND(X80&lt;=1,OR(Y80="",Z80="",Y80&lt;=Z80)),"OK","CHECK")))</f>
        <v>OK</v>
      </c>
      <c r="AB80" s="27" t="n">
        <f aca="false">IF(AN80="","",K80*AM80*PI()/4*AN80^2)</f>
        <v>1520.53084433746</v>
      </c>
      <c r="AC80" s="31" t="s">
        <v>776</v>
      </c>
      <c r="AE80" s="32" t="n">
        <f aca="false">INDEX(Equipment!$D$2:$D$137,MATCH(E80,Equipment!$A$2:$A$137,0))</f>
        <v>146</v>
      </c>
      <c r="AF80" s="32" t="n">
        <f aca="false">INDEX(Equipment!$E$2:$E$137,MATCH(E80,Equipment!$A$2:$A$137,0))</f>
        <v>46</v>
      </c>
      <c r="AG80" s="32" t="n">
        <f aca="false">INDEX(Equipment!$F$2:$F$137,MATCH(E80,Equipment!$A$2:$A$137,0))</f>
        <v>0.5</v>
      </c>
      <c r="AH80" s="32" t="n">
        <f aca="false">INDEX(Equipment!$D$2:$D$137,MATCH(G80,Equipment!$A$2:$A$137,0))</f>
        <v>128</v>
      </c>
      <c r="AI80" s="32" t="n">
        <f aca="false">INDEX(Equipment!$E$2:$E$137,MATCH(G80,Equipment!$A$2:$A$137,0))</f>
        <v>32</v>
      </c>
      <c r="AJ80" s="32" t="n">
        <f aca="false">INDEX(Equipment!$F$2:$F$137,MATCH(G80,Equipment!$A$2:$A$137,0))</f>
        <v>20.5</v>
      </c>
      <c r="AK80" s="32" t="n">
        <f aca="false">IF(INDEX(Raceways!$D$2:$D$18,MATCH(L80,Raceways!$A$2:$A$18,0))="",0,INDEX(Raceways!$D$2:$D$18,MATCH(L80,Raceways!$A$2:$A$18,0)))</f>
        <v>20</v>
      </c>
      <c r="AL80" s="33" t="n">
        <f aca="false">IF(INDEX(Raceways!$I$2:$I$18,MATCH(L80,Raceways!$A$2:$A$18,0))="","",INDEX(Raceways!$I$2:$I$18,MATCH(L80,Raceways!$A$2:$A$18,0)))</f>
        <v>0.8</v>
      </c>
      <c r="AM80" s="26" t="n">
        <f aca="false">INDEX('Cable Types'!$D$2:$D$41,MATCH(I80,'Cable Types'!$A$2:$A$41,0))</f>
        <v>1</v>
      </c>
      <c r="AN80" s="26" t="n">
        <f aca="false">IF(INDEX('Cable Types'!$E$2:$E$41,MATCH(I80,'Cable Types'!$A$2:$A$41,0))="","",INDEX('Cable Types'!$E$2:$E$41,MATCH(I80,'Cable Types'!$A$2:$A$41,0)))</f>
        <v>44</v>
      </c>
      <c r="AO80" s="26" t="n">
        <f aca="false">IF(INDEX('Cable Types'!$F$2:$F$41,MATCH(I80,'Cable Types'!$A$2:$A$41,0))="","",INDEX('Cable Types'!$F$2:$F$41,MATCH(I80,'Cable Types'!$A$2:$A$41,0)))</f>
        <v>298</v>
      </c>
      <c r="AP80" s="33" t="n">
        <f aca="false">IF(INDEX('Cable Types'!$G$2:$G$41,MATCH(I80,'Cable Types'!$A$2:$A$41,0))="","",INDEX('Cable Types'!$G$2:$G$41,MATCH(I80,'Cable Types'!$A$2:$A$41,0)))</f>
        <v>0.45</v>
      </c>
    </row>
    <row r="81" customFormat="false" ht="15" hidden="false" customHeight="false" outlineLevel="0" collapsed="false">
      <c r="A81" s="25" t="s">
        <v>795</v>
      </c>
      <c r="B81" s="25" t="s">
        <v>230</v>
      </c>
      <c r="C81" s="25" t="s">
        <v>68</v>
      </c>
      <c r="D81" s="25" t="s">
        <v>796</v>
      </c>
      <c r="E81" s="25" t="s">
        <v>232</v>
      </c>
      <c r="F81" s="26" t="str">
        <f aca="false">INDEX(Equipment!$B$2:$B$137,MATCH(E81,Equipment!$A$2:$A$137,0))</f>
        <v>ACC fan VFD switchroom 690 V</v>
      </c>
      <c r="G81" s="25" t="s">
        <v>268</v>
      </c>
      <c r="H81" s="26" t="str">
        <f aca="false">INDEX(Equipment!$B$2:$B$137,MATCH(G81,Equipment!$A$2:$A$137,0))</f>
        <v>ACC fan motor 11, 200 kW 690 V (VFD)</v>
      </c>
      <c r="I81" s="25" t="s">
        <v>527</v>
      </c>
      <c r="J81" s="26" t="str">
        <f aca="false">INDEX('Cable Types'!$B$2:$B$41,MATCH(I81,'Cable Types'!$A$2:$A$41,0))</f>
        <v>0.6/1 kV 3C 95+3E Cu/XLPE/screened VFD cable</v>
      </c>
      <c r="K81" s="25" t="n">
        <v>1</v>
      </c>
      <c r="L81" s="25" t="s">
        <v>775</v>
      </c>
      <c r="M81" s="25" t="s">
        <v>638</v>
      </c>
      <c r="N81" s="25"/>
      <c r="O81" s="27" t="n">
        <f aca="false">IF(N81&lt;&gt;"",N81,IF(M81="D",ROUNDUP(SQRT((AH81-AE81)^2+(AI81-AF81)^2+(AJ81-AG81)^2)*(1+'Design Basis'!$C$6),0),ROUNDUP((ABS(AH81-AE81)+ABS(AI81-AF81)+ABS(AK81-AG81)+ABS(AK81-AJ81))*(1+'Design Basis'!$C$4)+2*'Design Basis'!$C$5,0)))</f>
        <v>52</v>
      </c>
      <c r="P81" s="27" t="n">
        <f aca="false">O81*K81*AM81</f>
        <v>52</v>
      </c>
      <c r="Q81" s="28" t="n">
        <v>690</v>
      </c>
      <c r="R81" s="25" t="n">
        <v>3</v>
      </c>
      <c r="S81" s="28" t="n">
        <v>200</v>
      </c>
      <c r="T81" s="29" t="n">
        <v>0.85</v>
      </c>
      <c r="U81" s="27" t="n">
        <f aca="false">IF(OR(S81="",Q81=""),"",IF(R81=3,S81*1000/(SQRT(3)*Q81*T81),S81*1000/(Q81*T81)))</f>
        <v>196.879887191688</v>
      </c>
      <c r="V81" s="27" t="n">
        <f aca="false">IF(OR(AO81="",AL81=""),"",AO81*AL81)</f>
        <v>238.4</v>
      </c>
      <c r="W81" s="27" t="n">
        <f aca="false">IF(V81="","",V81*K81)</f>
        <v>238.4</v>
      </c>
      <c r="X81" s="30" t="n">
        <f aca="false">IF(OR(U81="",W81=""),"",U81/W81)</f>
        <v>0.82583845298527</v>
      </c>
      <c r="Y81" s="30" t="n">
        <f aca="false">IF(OR(U81="",AP81=""),"",AP81*(U81/K81)*O81/1000/Q81)</f>
        <v>0.00667679617432682</v>
      </c>
      <c r="Z81" s="30" t="n">
        <f aca="false">IF(U81="","",IFERROR(IF(INDEX('Design Basis'!$C$13:$C$21,MATCH(C81,'Design Basis'!$A$13:$A$21,0))="","",INDEX('Design Basis'!$C$13:$C$21,MATCH(C81,'Design Basis'!$A$13:$A$21,0))),""))</f>
        <v>0.04</v>
      </c>
      <c r="AA81" s="31" t="str">
        <f aca="false">IF(U81="","n/a",IF(W81="","CHECK",IF(AND(X81&lt;=1,OR(Y81="",Z81="",Y81&lt;=Z81)),"OK","CHECK")))</f>
        <v>OK</v>
      </c>
      <c r="AB81" s="27" t="n">
        <f aca="false">IF(AN81="","",K81*AM81*PI()/4*AN81^2)</f>
        <v>1520.53084433746</v>
      </c>
      <c r="AC81" s="31" t="s">
        <v>776</v>
      </c>
      <c r="AE81" s="32" t="n">
        <f aca="false">INDEX(Equipment!$D$2:$D$137,MATCH(E81,Equipment!$A$2:$A$137,0))</f>
        <v>146</v>
      </c>
      <c r="AF81" s="32" t="n">
        <f aca="false">INDEX(Equipment!$E$2:$E$137,MATCH(E81,Equipment!$A$2:$A$137,0))</f>
        <v>46</v>
      </c>
      <c r="AG81" s="32" t="n">
        <f aca="false">INDEX(Equipment!$F$2:$F$137,MATCH(E81,Equipment!$A$2:$A$137,0))</f>
        <v>0.5</v>
      </c>
      <c r="AH81" s="32" t="n">
        <f aca="false">INDEX(Equipment!$D$2:$D$137,MATCH(G81,Equipment!$A$2:$A$137,0))</f>
        <v>128</v>
      </c>
      <c r="AI81" s="32" t="n">
        <f aca="false">INDEX(Equipment!$E$2:$E$137,MATCH(G81,Equipment!$A$2:$A$137,0))</f>
        <v>43</v>
      </c>
      <c r="AJ81" s="32" t="n">
        <f aca="false">INDEX(Equipment!$F$2:$F$137,MATCH(G81,Equipment!$A$2:$A$137,0))</f>
        <v>20.5</v>
      </c>
      <c r="AK81" s="32" t="n">
        <f aca="false">IF(INDEX(Raceways!$D$2:$D$18,MATCH(L81,Raceways!$A$2:$A$18,0))="",0,INDEX(Raceways!$D$2:$D$18,MATCH(L81,Raceways!$A$2:$A$18,0)))</f>
        <v>20</v>
      </c>
      <c r="AL81" s="33" t="n">
        <f aca="false">IF(INDEX(Raceways!$I$2:$I$18,MATCH(L81,Raceways!$A$2:$A$18,0))="","",INDEX(Raceways!$I$2:$I$18,MATCH(L81,Raceways!$A$2:$A$18,0)))</f>
        <v>0.8</v>
      </c>
      <c r="AM81" s="26" t="n">
        <f aca="false">INDEX('Cable Types'!$D$2:$D$41,MATCH(I81,'Cable Types'!$A$2:$A$41,0))</f>
        <v>1</v>
      </c>
      <c r="AN81" s="26" t="n">
        <f aca="false">IF(INDEX('Cable Types'!$E$2:$E$41,MATCH(I81,'Cable Types'!$A$2:$A$41,0))="","",INDEX('Cable Types'!$E$2:$E$41,MATCH(I81,'Cable Types'!$A$2:$A$41,0)))</f>
        <v>44</v>
      </c>
      <c r="AO81" s="26" t="n">
        <f aca="false">IF(INDEX('Cable Types'!$F$2:$F$41,MATCH(I81,'Cable Types'!$A$2:$A$41,0))="","",INDEX('Cable Types'!$F$2:$F$41,MATCH(I81,'Cable Types'!$A$2:$A$41,0)))</f>
        <v>298</v>
      </c>
      <c r="AP81" s="33" t="n">
        <f aca="false">IF(INDEX('Cable Types'!$G$2:$G$41,MATCH(I81,'Cable Types'!$A$2:$A$41,0))="","",INDEX('Cable Types'!$G$2:$G$41,MATCH(I81,'Cable Types'!$A$2:$A$41,0)))</f>
        <v>0.45</v>
      </c>
    </row>
    <row r="82" customFormat="false" ht="15" hidden="false" customHeight="false" outlineLevel="0" collapsed="false">
      <c r="A82" s="25" t="s">
        <v>797</v>
      </c>
      <c r="B82" s="25" t="s">
        <v>230</v>
      </c>
      <c r="C82" s="25" t="s">
        <v>68</v>
      </c>
      <c r="D82" s="25" t="s">
        <v>798</v>
      </c>
      <c r="E82" s="25" t="s">
        <v>232</v>
      </c>
      <c r="F82" s="26" t="str">
        <f aca="false">INDEX(Equipment!$B$2:$B$137,MATCH(E82,Equipment!$A$2:$A$137,0))</f>
        <v>ACC fan VFD switchroom 690 V</v>
      </c>
      <c r="G82" s="25" t="s">
        <v>271</v>
      </c>
      <c r="H82" s="26" t="str">
        <f aca="false">INDEX(Equipment!$B$2:$B$137,MATCH(G82,Equipment!$A$2:$A$137,0))</f>
        <v>ACC fan motor 12, 200 kW 690 V (VFD)</v>
      </c>
      <c r="I82" s="25" t="s">
        <v>527</v>
      </c>
      <c r="J82" s="26" t="str">
        <f aca="false">INDEX('Cable Types'!$B$2:$B$41,MATCH(I82,'Cable Types'!$A$2:$A$41,0))</f>
        <v>0.6/1 kV 3C 95+3E Cu/XLPE/screened VFD cable</v>
      </c>
      <c r="K82" s="25" t="n">
        <v>1</v>
      </c>
      <c r="L82" s="25" t="s">
        <v>775</v>
      </c>
      <c r="M82" s="25" t="s">
        <v>638</v>
      </c>
      <c r="N82" s="25"/>
      <c r="O82" s="27" t="n">
        <f aca="false">IF(N82&lt;&gt;"",N82,IF(M82="D",ROUNDUP(SQRT((AH82-AE82)^2+(AI82-AF82)^2+(AJ82-AG82)^2)*(1+'Design Basis'!$C$6),0),ROUNDUP((ABS(AH82-AE82)+ABS(AI82-AF82)+ABS(AK82-AG82)+ABS(AK82-AJ82))*(1+'Design Basis'!$C$4)+2*'Design Basis'!$C$5,0)))</f>
        <v>57</v>
      </c>
      <c r="P82" s="27" t="n">
        <f aca="false">O82*K82*AM82</f>
        <v>57</v>
      </c>
      <c r="Q82" s="28" t="n">
        <v>690</v>
      </c>
      <c r="R82" s="25" t="n">
        <v>3</v>
      </c>
      <c r="S82" s="28" t="n">
        <v>200</v>
      </c>
      <c r="T82" s="29" t="n">
        <v>0.85</v>
      </c>
      <c r="U82" s="27" t="n">
        <f aca="false">IF(OR(S82="",Q82=""),"",IF(R82=3,S82*1000/(SQRT(3)*Q82*T82),S82*1000/(Q82*T82)))</f>
        <v>196.879887191688</v>
      </c>
      <c r="V82" s="27" t="n">
        <f aca="false">IF(OR(AO82="",AL82=""),"",AO82*AL82)</f>
        <v>238.4</v>
      </c>
      <c r="W82" s="27" t="n">
        <f aca="false">IF(V82="","",V82*K82)</f>
        <v>238.4</v>
      </c>
      <c r="X82" s="30" t="n">
        <f aca="false">IF(OR(U82="",W82=""),"",U82/W82)</f>
        <v>0.82583845298527</v>
      </c>
      <c r="Y82" s="30" t="n">
        <f aca="false">IF(OR(U82="",AP82=""),"",AP82*(U82/K82)*O82/1000/Q82)</f>
        <v>0.00731879580647363</v>
      </c>
      <c r="Z82" s="30" t="n">
        <f aca="false">IF(U82="","",IFERROR(IF(INDEX('Design Basis'!$C$13:$C$21,MATCH(C82,'Design Basis'!$A$13:$A$21,0))="","",INDEX('Design Basis'!$C$13:$C$21,MATCH(C82,'Design Basis'!$A$13:$A$21,0))),""))</f>
        <v>0.04</v>
      </c>
      <c r="AA82" s="31" t="str">
        <f aca="false">IF(U82="","n/a",IF(W82="","CHECK",IF(AND(X82&lt;=1,OR(Y82="",Z82="",Y82&lt;=Z82)),"OK","CHECK")))</f>
        <v>OK</v>
      </c>
      <c r="AB82" s="27" t="n">
        <f aca="false">IF(AN82="","",K82*AM82*PI()/4*AN82^2)</f>
        <v>1520.53084433746</v>
      </c>
      <c r="AC82" s="31" t="s">
        <v>776</v>
      </c>
      <c r="AE82" s="32" t="n">
        <f aca="false">INDEX(Equipment!$D$2:$D$137,MATCH(E82,Equipment!$A$2:$A$137,0))</f>
        <v>146</v>
      </c>
      <c r="AF82" s="32" t="n">
        <f aca="false">INDEX(Equipment!$E$2:$E$137,MATCH(E82,Equipment!$A$2:$A$137,0))</f>
        <v>46</v>
      </c>
      <c r="AG82" s="32" t="n">
        <f aca="false">INDEX(Equipment!$F$2:$F$137,MATCH(E82,Equipment!$A$2:$A$137,0))</f>
        <v>0.5</v>
      </c>
      <c r="AH82" s="32" t="n">
        <f aca="false">INDEX(Equipment!$D$2:$D$137,MATCH(G82,Equipment!$A$2:$A$137,0))</f>
        <v>128</v>
      </c>
      <c r="AI82" s="32" t="n">
        <f aca="false">INDEX(Equipment!$E$2:$E$137,MATCH(G82,Equipment!$A$2:$A$137,0))</f>
        <v>54</v>
      </c>
      <c r="AJ82" s="32" t="n">
        <f aca="false">INDEX(Equipment!$F$2:$F$137,MATCH(G82,Equipment!$A$2:$A$137,0))</f>
        <v>20.5</v>
      </c>
      <c r="AK82" s="32" t="n">
        <f aca="false">IF(INDEX(Raceways!$D$2:$D$18,MATCH(L82,Raceways!$A$2:$A$18,0))="",0,INDEX(Raceways!$D$2:$D$18,MATCH(L82,Raceways!$A$2:$A$18,0)))</f>
        <v>20</v>
      </c>
      <c r="AL82" s="33" t="n">
        <f aca="false">IF(INDEX(Raceways!$I$2:$I$18,MATCH(L82,Raceways!$A$2:$A$18,0))="","",INDEX(Raceways!$I$2:$I$18,MATCH(L82,Raceways!$A$2:$A$18,0)))</f>
        <v>0.8</v>
      </c>
      <c r="AM82" s="26" t="n">
        <f aca="false">INDEX('Cable Types'!$D$2:$D$41,MATCH(I82,'Cable Types'!$A$2:$A$41,0))</f>
        <v>1</v>
      </c>
      <c r="AN82" s="26" t="n">
        <f aca="false">IF(INDEX('Cable Types'!$E$2:$E$41,MATCH(I82,'Cable Types'!$A$2:$A$41,0))="","",INDEX('Cable Types'!$E$2:$E$41,MATCH(I82,'Cable Types'!$A$2:$A$41,0)))</f>
        <v>44</v>
      </c>
      <c r="AO82" s="26" t="n">
        <f aca="false">IF(INDEX('Cable Types'!$F$2:$F$41,MATCH(I82,'Cable Types'!$A$2:$A$41,0))="","",INDEX('Cable Types'!$F$2:$F$41,MATCH(I82,'Cable Types'!$A$2:$A$41,0)))</f>
        <v>298</v>
      </c>
      <c r="AP82" s="33" t="n">
        <f aca="false">IF(INDEX('Cable Types'!$G$2:$G$41,MATCH(I82,'Cable Types'!$A$2:$A$41,0))="","",INDEX('Cable Types'!$G$2:$G$41,MATCH(I82,'Cable Types'!$A$2:$A$41,0)))</f>
        <v>0.45</v>
      </c>
    </row>
    <row r="83" customFormat="false" ht="15" hidden="false" customHeight="false" outlineLevel="0" collapsed="false">
      <c r="A83" s="25" t="s">
        <v>799</v>
      </c>
      <c r="B83" s="25" t="s">
        <v>230</v>
      </c>
      <c r="C83" s="25" t="s">
        <v>68</v>
      </c>
      <c r="D83" s="25" t="s">
        <v>800</v>
      </c>
      <c r="E83" s="25" t="s">
        <v>232</v>
      </c>
      <c r="F83" s="26" t="str">
        <f aca="false">INDEX(Equipment!$B$2:$B$137,MATCH(E83,Equipment!$A$2:$A$137,0))</f>
        <v>ACC fan VFD switchroom 690 V</v>
      </c>
      <c r="G83" s="25" t="s">
        <v>274</v>
      </c>
      <c r="H83" s="26" t="str">
        <f aca="false">INDEX(Equipment!$B$2:$B$137,MATCH(G83,Equipment!$A$2:$A$137,0))</f>
        <v>ACC fan motor 13, 200 kW 690 V (VFD)</v>
      </c>
      <c r="I83" s="25" t="s">
        <v>527</v>
      </c>
      <c r="J83" s="26" t="str">
        <f aca="false">INDEX('Cable Types'!$B$2:$B$41,MATCH(I83,'Cable Types'!$A$2:$A$41,0))</f>
        <v>0.6/1 kV 3C 95+3E Cu/XLPE/screened VFD cable</v>
      </c>
      <c r="K83" s="25" t="n">
        <v>1</v>
      </c>
      <c r="L83" s="25" t="s">
        <v>775</v>
      </c>
      <c r="M83" s="25" t="s">
        <v>638</v>
      </c>
      <c r="N83" s="25"/>
      <c r="O83" s="27" t="n">
        <f aca="false">IF(N83&lt;&gt;"",N83,IF(M83="D",ROUNDUP(SQRT((AH83-AE83)^2+(AI83-AF83)^2+(AJ83-AG83)^2)*(1+'Design Basis'!$C$6),0),ROUNDUP((ABS(AH83-AE83)+ABS(AI83-AF83)+ABS(AK83-AG83)+ABS(AK83-AJ83))*(1+'Design Basis'!$C$4)+2*'Design Basis'!$C$5,0)))</f>
        <v>55</v>
      </c>
      <c r="P83" s="27" t="n">
        <f aca="false">O83*K83*AM83</f>
        <v>55</v>
      </c>
      <c r="Q83" s="28" t="n">
        <v>690</v>
      </c>
      <c r="R83" s="25" t="n">
        <v>3</v>
      </c>
      <c r="S83" s="28" t="n">
        <v>200</v>
      </c>
      <c r="T83" s="29" t="n">
        <v>0.85</v>
      </c>
      <c r="U83" s="27" t="n">
        <f aca="false">IF(OR(S83="",Q83=""),"",IF(R83=3,S83*1000/(SQRT(3)*Q83*T83),S83*1000/(Q83*T83)))</f>
        <v>196.879887191688</v>
      </c>
      <c r="V83" s="27" t="n">
        <f aca="false">IF(OR(AO83="",AL83=""),"",AO83*AL83)</f>
        <v>238.4</v>
      </c>
      <c r="W83" s="27" t="n">
        <f aca="false">IF(V83="","",V83*K83)</f>
        <v>238.4</v>
      </c>
      <c r="X83" s="30" t="n">
        <f aca="false">IF(OR(U83="",W83=""),"",U83/W83)</f>
        <v>0.82583845298527</v>
      </c>
      <c r="Y83" s="30" t="n">
        <f aca="false">IF(OR(U83="",AP83=""),"",AP83*(U83/K83)*O83/1000/Q83)</f>
        <v>0.00706199595361491</v>
      </c>
      <c r="Z83" s="30" t="n">
        <f aca="false">IF(U83="","",IFERROR(IF(INDEX('Design Basis'!$C$13:$C$21,MATCH(C83,'Design Basis'!$A$13:$A$21,0))="","",INDEX('Design Basis'!$C$13:$C$21,MATCH(C83,'Design Basis'!$A$13:$A$21,0))),""))</f>
        <v>0.04</v>
      </c>
      <c r="AA83" s="31" t="str">
        <f aca="false">IF(U83="","n/a",IF(W83="","CHECK",IF(AND(X83&lt;=1,OR(Y83="",Z83="",Y83&lt;=Z83)),"OK","CHECK")))</f>
        <v>OK</v>
      </c>
      <c r="AB83" s="27" t="n">
        <f aca="false">IF(AN83="","",K83*AM83*PI()/4*AN83^2)</f>
        <v>1520.53084433746</v>
      </c>
      <c r="AC83" s="31" t="s">
        <v>776</v>
      </c>
      <c r="AE83" s="32" t="n">
        <f aca="false">INDEX(Equipment!$D$2:$D$137,MATCH(E83,Equipment!$A$2:$A$137,0))</f>
        <v>146</v>
      </c>
      <c r="AF83" s="32" t="n">
        <f aca="false">INDEX(Equipment!$E$2:$E$137,MATCH(E83,Equipment!$A$2:$A$137,0))</f>
        <v>46</v>
      </c>
      <c r="AG83" s="32" t="n">
        <f aca="false">INDEX(Equipment!$F$2:$F$137,MATCH(E83,Equipment!$A$2:$A$137,0))</f>
        <v>0.5</v>
      </c>
      <c r="AH83" s="32" t="n">
        <f aca="false">INDEX(Equipment!$D$2:$D$137,MATCH(G83,Equipment!$A$2:$A$137,0))</f>
        <v>136</v>
      </c>
      <c r="AI83" s="32" t="n">
        <f aca="false">INDEX(Equipment!$E$2:$E$137,MATCH(G83,Equipment!$A$2:$A$137,0))</f>
        <v>32</v>
      </c>
      <c r="AJ83" s="32" t="n">
        <f aca="false">INDEX(Equipment!$F$2:$F$137,MATCH(G83,Equipment!$A$2:$A$137,0))</f>
        <v>20.5</v>
      </c>
      <c r="AK83" s="32" t="n">
        <f aca="false">IF(INDEX(Raceways!$D$2:$D$18,MATCH(L83,Raceways!$A$2:$A$18,0))="",0,INDEX(Raceways!$D$2:$D$18,MATCH(L83,Raceways!$A$2:$A$18,0)))</f>
        <v>20</v>
      </c>
      <c r="AL83" s="33" t="n">
        <f aca="false">IF(INDEX(Raceways!$I$2:$I$18,MATCH(L83,Raceways!$A$2:$A$18,0))="","",INDEX(Raceways!$I$2:$I$18,MATCH(L83,Raceways!$A$2:$A$18,0)))</f>
        <v>0.8</v>
      </c>
      <c r="AM83" s="26" t="n">
        <f aca="false">INDEX('Cable Types'!$D$2:$D$41,MATCH(I83,'Cable Types'!$A$2:$A$41,0))</f>
        <v>1</v>
      </c>
      <c r="AN83" s="26" t="n">
        <f aca="false">IF(INDEX('Cable Types'!$E$2:$E$41,MATCH(I83,'Cable Types'!$A$2:$A$41,0))="","",INDEX('Cable Types'!$E$2:$E$41,MATCH(I83,'Cable Types'!$A$2:$A$41,0)))</f>
        <v>44</v>
      </c>
      <c r="AO83" s="26" t="n">
        <f aca="false">IF(INDEX('Cable Types'!$F$2:$F$41,MATCH(I83,'Cable Types'!$A$2:$A$41,0))="","",INDEX('Cable Types'!$F$2:$F$41,MATCH(I83,'Cable Types'!$A$2:$A$41,0)))</f>
        <v>298</v>
      </c>
      <c r="AP83" s="33" t="n">
        <f aca="false">IF(INDEX('Cable Types'!$G$2:$G$41,MATCH(I83,'Cable Types'!$A$2:$A$41,0))="","",INDEX('Cable Types'!$G$2:$G$41,MATCH(I83,'Cable Types'!$A$2:$A$41,0)))</f>
        <v>0.45</v>
      </c>
    </row>
    <row r="84" customFormat="false" ht="15" hidden="false" customHeight="false" outlineLevel="0" collapsed="false">
      <c r="A84" s="25" t="s">
        <v>801</v>
      </c>
      <c r="B84" s="25" t="s">
        <v>230</v>
      </c>
      <c r="C84" s="25" t="s">
        <v>68</v>
      </c>
      <c r="D84" s="25" t="s">
        <v>802</v>
      </c>
      <c r="E84" s="25" t="s">
        <v>232</v>
      </c>
      <c r="F84" s="26" t="str">
        <f aca="false">INDEX(Equipment!$B$2:$B$137,MATCH(E84,Equipment!$A$2:$A$137,0))</f>
        <v>ACC fan VFD switchroom 690 V</v>
      </c>
      <c r="G84" s="25" t="s">
        <v>277</v>
      </c>
      <c r="H84" s="26" t="str">
        <f aca="false">INDEX(Equipment!$B$2:$B$137,MATCH(G84,Equipment!$A$2:$A$137,0))</f>
        <v>ACC fan motor 14, 200 kW 690 V (VFD)</v>
      </c>
      <c r="I84" s="25" t="s">
        <v>527</v>
      </c>
      <c r="J84" s="26" t="str">
        <f aca="false">INDEX('Cable Types'!$B$2:$B$41,MATCH(I84,'Cable Types'!$A$2:$A$41,0))</f>
        <v>0.6/1 kV 3C 95+3E Cu/XLPE/screened VFD cable</v>
      </c>
      <c r="K84" s="25" t="n">
        <v>1</v>
      </c>
      <c r="L84" s="25" t="s">
        <v>775</v>
      </c>
      <c r="M84" s="25" t="s">
        <v>638</v>
      </c>
      <c r="N84" s="25"/>
      <c r="O84" s="27" t="n">
        <f aca="false">IF(N84&lt;&gt;"",N84,IF(M84="D",ROUNDUP(SQRT((AH84-AE84)^2+(AI84-AF84)^2+(AJ84-AG84)^2)*(1+'Design Basis'!$C$6),0),ROUNDUP((ABS(AH84-AE84)+ABS(AI84-AF84)+ABS(AK84-AG84)+ABS(AK84-AJ84))*(1+'Design Basis'!$C$4)+2*'Design Basis'!$C$5,0)))</f>
        <v>43</v>
      </c>
      <c r="P84" s="27" t="n">
        <f aca="false">O84*K84*AM84</f>
        <v>43</v>
      </c>
      <c r="Q84" s="28" t="n">
        <v>690</v>
      </c>
      <c r="R84" s="25" t="n">
        <v>3</v>
      </c>
      <c r="S84" s="28" t="n">
        <v>200</v>
      </c>
      <c r="T84" s="29" t="n">
        <v>0.85</v>
      </c>
      <c r="U84" s="27" t="n">
        <f aca="false">IF(OR(S84="",Q84=""),"",IF(R84=3,S84*1000/(SQRT(3)*Q84*T84),S84*1000/(Q84*T84)))</f>
        <v>196.879887191688</v>
      </c>
      <c r="V84" s="27" t="n">
        <f aca="false">IF(OR(AO84="",AL84=""),"",AO84*AL84)</f>
        <v>238.4</v>
      </c>
      <c r="W84" s="27" t="n">
        <f aca="false">IF(V84="","",V84*K84)</f>
        <v>238.4</v>
      </c>
      <c r="X84" s="30" t="n">
        <f aca="false">IF(OR(U84="",W84=""),"",U84/W84)</f>
        <v>0.82583845298527</v>
      </c>
      <c r="Y84" s="30" t="n">
        <f aca="false">IF(OR(U84="",AP84=""),"",AP84*(U84/K84)*O84/1000/Q84)</f>
        <v>0.00552119683646256</v>
      </c>
      <c r="Z84" s="30" t="n">
        <f aca="false">IF(U84="","",IFERROR(IF(INDEX('Design Basis'!$C$13:$C$21,MATCH(C84,'Design Basis'!$A$13:$A$21,0))="","",INDEX('Design Basis'!$C$13:$C$21,MATCH(C84,'Design Basis'!$A$13:$A$21,0))),""))</f>
        <v>0.04</v>
      </c>
      <c r="AA84" s="31" t="str">
        <f aca="false">IF(U84="","n/a",IF(W84="","CHECK",IF(AND(X84&lt;=1,OR(Y84="",Z84="",Y84&lt;=Z84)),"OK","CHECK")))</f>
        <v>OK</v>
      </c>
      <c r="AB84" s="27" t="n">
        <f aca="false">IF(AN84="","",K84*AM84*PI()/4*AN84^2)</f>
        <v>1520.53084433746</v>
      </c>
      <c r="AC84" s="31" t="s">
        <v>776</v>
      </c>
      <c r="AE84" s="32" t="n">
        <f aca="false">INDEX(Equipment!$D$2:$D$137,MATCH(E84,Equipment!$A$2:$A$137,0))</f>
        <v>146</v>
      </c>
      <c r="AF84" s="32" t="n">
        <f aca="false">INDEX(Equipment!$E$2:$E$137,MATCH(E84,Equipment!$A$2:$A$137,0))</f>
        <v>46</v>
      </c>
      <c r="AG84" s="32" t="n">
        <f aca="false">INDEX(Equipment!$F$2:$F$137,MATCH(E84,Equipment!$A$2:$A$137,0))</f>
        <v>0.5</v>
      </c>
      <c r="AH84" s="32" t="n">
        <f aca="false">INDEX(Equipment!$D$2:$D$137,MATCH(G84,Equipment!$A$2:$A$137,0))</f>
        <v>136</v>
      </c>
      <c r="AI84" s="32" t="n">
        <f aca="false">INDEX(Equipment!$E$2:$E$137,MATCH(G84,Equipment!$A$2:$A$137,0))</f>
        <v>43</v>
      </c>
      <c r="AJ84" s="32" t="n">
        <f aca="false">INDEX(Equipment!$F$2:$F$137,MATCH(G84,Equipment!$A$2:$A$137,0))</f>
        <v>20.5</v>
      </c>
      <c r="AK84" s="32" t="n">
        <f aca="false">IF(INDEX(Raceways!$D$2:$D$18,MATCH(L84,Raceways!$A$2:$A$18,0))="",0,INDEX(Raceways!$D$2:$D$18,MATCH(L84,Raceways!$A$2:$A$18,0)))</f>
        <v>20</v>
      </c>
      <c r="AL84" s="33" t="n">
        <f aca="false">IF(INDEX(Raceways!$I$2:$I$18,MATCH(L84,Raceways!$A$2:$A$18,0))="","",INDEX(Raceways!$I$2:$I$18,MATCH(L84,Raceways!$A$2:$A$18,0)))</f>
        <v>0.8</v>
      </c>
      <c r="AM84" s="26" t="n">
        <f aca="false">INDEX('Cable Types'!$D$2:$D$41,MATCH(I84,'Cable Types'!$A$2:$A$41,0))</f>
        <v>1</v>
      </c>
      <c r="AN84" s="26" t="n">
        <f aca="false">IF(INDEX('Cable Types'!$E$2:$E$41,MATCH(I84,'Cable Types'!$A$2:$A$41,0))="","",INDEX('Cable Types'!$E$2:$E$41,MATCH(I84,'Cable Types'!$A$2:$A$41,0)))</f>
        <v>44</v>
      </c>
      <c r="AO84" s="26" t="n">
        <f aca="false">IF(INDEX('Cable Types'!$F$2:$F$41,MATCH(I84,'Cable Types'!$A$2:$A$41,0))="","",INDEX('Cable Types'!$F$2:$F$41,MATCH(I84,'Cable Types'!$A$2:$A$41,0)))</f>
        <v>298</v>
      </c>
      <c r="AP84" s="33" t="n">
        <f aca="false">IF(INDEX('Cable Types'!$G$2:$G$41,MATCH(I84,'Cable Types'!$A$2:$A$41,0))="","",INDEX('Cable Types'!$G$2:$G$41,MATCH(I84,'Cable Types'!$A$2:$A$41,0)))</f>
        <v>0.45</v>
      </c>
    </row>
    <row r="85" customFormat="false" ht="15" hidden="false" customHeight="false" outlineLevel="0" collapsed="false">
      <c r="A85" s="25" t="s">
        <v>803</v>
      </c>
      <c r="B85" s="25" t="s">
        <v>230</v>
      </c>
      <c r="C85" s="25" t="s">
        <v>68</v>
      </c>
      <c r="D85" s="25" t="s">
        <v>804</v>
      </c>
      <c r="E85" s="25" t="s">
        <v>232</v>
      </c>
      <c r="F85" s="26" t="str">
        <f aca="false">INDEX(Equipment!$B$2:$B$137,MATCH(E85,Equipment!$A$2:$A$137,0))</f>
        <v>ACC fan VFD switchroom 690 V</v>
      </c>
      <c r="G85" s="25" t="s">
        <v>280</v>
      </c>
      <c r="H85" s="26" t="str">
        <f aca="false">INDEX(Equipment!$B$2:$B$137,MATCH(G85,Equipment!$A$2:$A$137,0))</f>
        <v>ACC fan motor 15, 200 kW 690 V (VFD)</v>
      </c>
      <c r="I85" s="25" t="s">
        <v>527</v>
      </c>
      <c r="J85" s="26" t="str">
        <f aca="false">INDEX('Cable Types'!$B$2:$B$41,MATCH(I85,'Cable Types'!$A$2:$A$41,0))</f>
        <v>0.6/1 kV 3C 95+3E Cu/XLPE/screened VFD cable</v>
      </c>
      <c r="K85" s="25" t="n">
        <v>1</v>
      </c>
      <c r="L85" s="25" t="s">
        <v>775</v>
      </c>
      <c r="M85" s="25" t="s">
        <v>638</v>
      </c>
      <c r="N85" s="25"/>
      <c r="O85" s="27" t="n">
        <f aca="false">IF(N85&lt;&gt;"",N85,IF(M85="D",ROUNDUP(SQRT((AH85-AE85)^2+(AI85-AF85)^2+(AJ85-AG85)^2)*(1+'Design Basis'!$C$6),0),ROUNDUP((ABS(AH85-AE85)+ABS(AI85-AF85)+ABS(AK85-AG85)+ABS(AK85-AJ85))*(1+'Design Basis'!$C$4)+2*'Design Basis'!$C$5,0)))</f>
        <v>48</v>
      </c>
      <c r="P85" s="27" t="n">
        <f aca="false">O85*K85*AM85</f>
        <v>48</v>
      </c>
      <c r="Q85" s="28" t="n">
        <v>690</v>
      </c>
      <c r="R85" s="25" t="n">
        <v>3</v>
      </c>
      <c r="S85" s="28" t="n">
        <v>200</v>
      </c>
      <c r="T85" s="29" t="n">
        <v>0.85</v>
      </c>
      <c r="U85" s="27" t="n">
        <f aca="false">IF(OR(S85="",Q85=""),"",IF(R85=3,S85*1000/(SQRT(3)*Q85*T85),S85*1000/(Q85*T85)))</f>
        <v>196.879887191688</v>
      </c>
      <c r="V85" s="27" t="n">
        <f aca="false">IF(OR(AO85="",AL85=""),"",AO85*AL85)</f>
        <v>238.4</v>
      </c>
      <c r="W85" s="27" t="n">
        <f aca="false">IF(V85="","",V85*K85)</f>
        <v>238.4</v>
      </c>
      <c r="X85" s="30" t="n">
        <f aca="false">IF(OR(U85="",W85=""),"",U85/W85)</f>
        <v>0.82583845298527</v>
      </c>
      <c r="Y85" s="30" t="n">
        <f aca="false">IF(OR(U85="",AP85=""),"",AP85*(U85/K85)*O85/1000/Q85)</f>
        <v>0.00616319646860937</v>
      </c>
      <c r="Z85" s="30" t="n">
        <f aca="false">IF(U85="","",IFERROR(IF(INDEX('Design Basis'!$C$13:$C$21,MATCH(C85,'Design Basis'!$A$13:$A$21,0))="","",INDEX('Design Basis'!$C$13:$C$21,MATCH(C85,'Design Basis'!$A$13:$A$21,0))),""))</f>
        <v>0.04</v>
      </c>
      <c r="AA85" s="31" t="str">
        <f aca="false">IF(U85="","n/a",IF(W85="","CHECK",IF(AND(X85&lt;=1,OR(Y85="",Z85="",Y85&lt;=Z85)),"OK","CHECK")))</f>
        <v>OK</v>
      </c>
      <c r="AB85" s="27" t="n">
        <f aca="false">IF(AN85="","",K85*AM85*PI()/4*AN85^2)</f>
        <v>1520.53084433746</v>
      </c>
      <c r="AC85" s="31" t="s">
        <v>776</v>
      </c>
      <c r="AE85" s="32" t="n">
        <f aca="false">INDEX(Equipment!$D$2:$D$137,MATCH(E85,Equipment!$A$2:$A$137,0))</f>
        <v>146</v>
      </c>
      <c r="AF85" s="32" t="n">
        <f aca="false">INDEX(Equipment!$E$2:$E$137,MATCH(E85,Equipment!$A$2:$A$137,0))</f>
        <v>46</v>
      </c>
      <c r="AG85" s="32" t="n">
        <f aca="false">INDEX(Equipment!$F$2:$F$137,MATCH(E85,Equipment!$A$2:$A$137,0))</f>
        <v>0.5</v>
      </c>
      <c r="AH85" s="32" t="n">
        <f aca="false">INDEX(Equipment!$D$2:$D$137,MATCH(G85,Equipment!$A$2:$A$137,0))</f>
        <v>136</v>
      </c>
      <c r="AI85" s="32" t="n">
        <f aca="false">INDEX(Equipment!$E$2:$E$137,MATCH(G85,Equipment!$A$2:$A$137,0))</f>
        <v>54</v>
      </c>
      <c r="AJ85" s="32" t="n">
        <f aca="false">INDEX(Equipment!$F$2:$F$137,MATCH(G85,Equipment!$A$2:$A$137,0))</f>
        <v>20.5</v>
      </c>
      <c r="AK85" s="32" t="n">
        <f aca="false">IF(INDEX(Raceways!$D$2:$D$18,MATCH(L85,Raceways!$A$2:$A$18,0))="",0,INDEX(Raceways!$D$2:$D$18,MATCH(L85,Raceways!$A$2:$A$18,0)))</f>
        <v>20</v>
      </c>
      <c r="AL85" s="33" t="n">
        <f aca="false">IF(INDEX(Raceways!$I$2:$I$18,MATCH(L85,Raceways!$A$2:$A$18,0))="","",INDEX(Raceways!$I$2:$I$18,MATCH(L85,Raceways!$A$2:$A$18,0)))</f>
        <v>0.8</v>
      </c>
      <c r="AM85" s="26" t="n">
        <f aca="false">INDEX('Cable Types'!$D$2:$D$41,MATCH(I85,'Cable Types'!$A$2:$A$41,0))</f>
        <v>1</v>
      </c>
      <c r="AN85" s="26" t="n">
        <f aca="false">IF(INDEX('Cable Types'!$E$2:$E$41,MATCH(I85,'Cable Types'!$A$2:$A$41,0))="","",INDEX('Cable Types'!$E$2:$E$41,MATCH(I85,'Cable Types'!$A$2:$A$41,0)))</f>
        <v>44</v>
      </c>
      <c r="AO85" s="26" t="n">
        <f aca="false">IF(INDEX('Cable Types'!$F$2:$F$41,MATCH(I85,'Cable Types'!$A$2:$A$41,0))="","",INDEX('Cable Types'!$F$2:$F$41,MATCH(I85,'Cable Types'!$A$2:$A$41,0)))</f>
        <v>298</v>
      </c>
      <c r="AP85" s="33" t="n">
        <f aca="false">IF(INDEX('Cable Types'!$G$2:$G$41,MATCH(I85,'Cable Types'!$A$2:$A$41,0))="","",INDEX('Cable Types'!$G$2:$G$41,MATCH(I85,'Cable Types'!$A$2:$A$41,0)))</f>
        <v>0.45</v>
      </c>
    </row>
    <row r="86" customFormat="false" ht="15" hidden="false" customHeight="false" outlineLevel="0" collapsed="false">
      <c r="A86" s="25" t="s">
        <v>805</v>
      </c>
      <c r="B86" s="25" t="s">
        <v>285</v>
      </c>
      <c r="C86" s="25" t="s">
        <v>68</v>
      </c>
      <c r="D86" s="25" t="s">
        <v>806</v>
      </c>
      <c r="E86" s="25" t="s">
        <v>290</v>
      </c>
      <c r="F86" s="26" t="str">
        <f aca="false">INDEX(Equipment!$B$2:$B$137,MATCH(E86,Equipment!$A$2:$A$137,0))</f>
        <v>CCS power / motor control centre 400 V</v>
      </c>
      <c r="G86" s="25" t="s">
        <v>315</v>
      </c>
      <c r="H86" s="26" t="str">
        <f aca="false">INDEX(Equipment!$B$2:$B$137,MATCH(G86,Equipment!$A$2:$A$137,0))</f>
        <v>Reboiler condensate pump A 110 kW, 400 V</v>
      </c>
      <c r="I86" s="25" t="s">
        <v>523</v>
      </c>
      <c r="J86" s="26" t="str">
        <f aca="false">INDEX('Cable Types'!$B$2:$B$41,MATCH(I86,'Cable Types'!$A$2:$A$41,0))</f>
        <v>0.6/1 kV 4C 120 mm2 Cu/XLPE/SWA/PVC</v>
      </c>
      <c r="K86" s="25" t="n">
        <v>1</v>
      </c>
      <c r="L86" s="25" t="s">
        <v>694</v>
      </c>
      <c r="M86" s="25" t="s">
        <v>638</v>
      </c>
      <c r="N86" s="25"/>
      <c r="O86" s="27" t="n">
        <f aca="false">IF(N86&lt;&gt;"",N86,IF(M86="D",ROUNDUP(SQRT((AH86-AE86)^2+(AI86-AF86)^2+(AJ86-AG86)^2)*(1+'Design Basis'!$C$6),0),ROUNDUP((ABS(AH86-AE86)+ABS(AI86-AF86)+ABS(AK86-AG86)+ABS(AK86-AJ86))*(1+'Design Basis'!$C$4)+2*'Design Basis'!$C$5,0)))</f>
        <v>85</v>
      </c>
      <c r="P86" s="27" t="n">
        <f aca="false">O86*K86*AM86</f>
        <v>85</v>
      </c>
      <c r="Q86" s="28" t="n">
        <v>400</v>
      </c>
      <c r="R86" s="25" t="n">
        <v>3</v>
      </c>
      <c r="S86" s="28" t="n">
        <v>110</v>
      </c>
      <c r="T86" s="29" t="n">
        <v>0.82</v>
      </c>
      <c r="U86" s="27" t="n">
        <f aca="false">IF(OR(S86="",Q86=""),"",IF(R86=3,S86*1000/(SQRT(3)*Q86*T86),S86*1000/(Q86*T86)))</f>
        <v>193.623565886765</v>
      </c>
      <c r="V86" s="27" t="n">
        <f aca="false">IF(OR(AO86="",AL86=""),"",AO86*AL86)</f>
        <v>276.8</v>
      </c>
      <c r="W86" s="27" t="n">
        <f aca="false">IF(V86="","",V86*K86)</f>
        <v>276.8</v>
      </c>
      <c r="X86" s="30" t="n">
        <f aca="false">IF(OR(U86="",W86=""),"",U86/W86)</f>
        <v>0.699507102192069</v>
      </c>
      <c r="Y86" s="30" t="n">
        <f aca="false">IF(OR(U86="",AP86=""),"",AP86*(U86/K86)*O86/1000/Q86)</f>
        <v>0.0152236528678469</v>
      </c>
      <c r="Z86" s="30" t="n">
        <f aca="false">IF(U86="","",IFERROR(IF(INDEX('Design Basis'!$C$13:$C$21,MATCH(C86,'Design Basis'!$A$13:$A$21,0))="","",INDEX('Design Basis'!$C$13:$C$21,MATCH(C86,'Design Basis'!$A$13:$A$21,0))),""))</f>
        <v>0.04</v>
      </c>
      <c r="AA86" s="31" t="str">
        <f aca="false">IF(U86="","n/a",IF(W86="","CHECK",IF(AND(X86&lt;=1,OR(Y86="",Z86="",Y86&lt;=Z86)),"OK","CHECK")))</f>
        <v>OK</v>
      </c>
      <c r="AB86" s="27" t="n">
        <f aca="false">IF(AN86="","",K86*AM86*PI()/4*AN86^2)</f>
        <v>1661.902513749</v>
      </c>
      <c r="AC86" s="31"/>
      <c r="AE86" s="32" t="n">
        <f aca="false">INDEX(Equipment!$D$2:$D$137,MATCH(E86,Equipment!$A$2:$A$137,0))</f>
        <v>176</v>
      </c>
      <c r="AF86" s="32" t="n">
        <f aca="false">INDEX(Equipment!$E$2:$E$137,MATCH(E86,Equipment!$A$2:$A$137,0))</f>
        <v>60</v>
      </c>
      <c r="AG86" s="32" t="n">
        <f aca="false">INDEX(Equipment!$F$2:$F$137,MATCH(E86,Equipment!$A$2:$A$137,0))</f>
        <v>0.5</v>
      </c>
      <c r="AH86" s="32" t="n">
        <f aca="false">INDEX(Equipment!$D$2:$D$137,MATCH(G86,Equipment!$A$2:$A$137,0))</f>
        <v>200</v>
      </c>
      <c r="AI86" s="32" t="n">
        <f aca="false">INDEX(Equipment!$E$2:$E$137,MATCH(G86,Equipment!$A$2:$A$137,0))</f>
        <v>24</v>
      </c>
      <c r="AJ86" s="32" t="n">
        <f aca="false">INDEX(Equipment!$F$2:$F$137,MATCH(G86,Equipment!$A$2:$A$137,0))</f>
        <v>0.5</v>
      </c>
      <c r="AK86" s="32" t="n">
        <f aca="false">IF(INDEX(Raceways!$D$2:$D$18,MATCH(L86,Raceways!$A$2:$A$18,0))="",0,INDEX(Raceways!$D$2:$D$18,MATCH(L86,Raceways!$A$2:$A$18,0)))</f>
        <v>6</v>
      </c>
      <c r="AL86" s="33" t="n">
        <f aca="false">IF(INDEX(Raceways!$I$2:$I$18,MATCH(L86,Raceways!$A$2:$A$18,0))="","",INDEX(Raceways!$I$2:$I$18,MATCH(L86,Raceways!$A$2:$A$18,0)))</f>
        <v>0.8</v>
      </c>
      <c r="AM86" s="26" t="n">
        <f aca="false">INDEX('Cable Types'!$D$2:$D$41,MATCH(I86,'Cable Types'!$A$2:$A$41,0))</f>
        <v>1</v>
      </c>
      <c r="AN86" s="26" t="n">
        <f aca="false">IF(INDEX('Cable Types'!$E$2:$E$41,MATCH(I86,'Cable Types'!$A$2:$A$41,0))="","",INDEX('Cable Types'!$E$2:$E$41,MATCH(I86,'Cable Types'!$A$2:$A$41,0)))</f>
        <v>46</v>
      </c>
      <c r="AO86" s="26" t="n">
        <f aca="false">IF(INDEX('Cable Types'!$F$2:$F$41,MATCH(I86,'Cable Types'!$A$2:$A$41,0))="","",INDEX('Cable Types'!$F$2:$F$41,MATCH(I86,'Cable Types'!$A$2:$A$41,0)))</f>
        <v>346</v>
      </c>
      <c r="AP86" s="33" t="n">
        <f aca="false">IF(INDEX('Cable Types'!$G$2:$G$41,MATCH(I86,'Cable Types'!$A$2:$A$41,0))="","",INDEX('Cable Types'!$G$2:$G$41,MATCH(I86,'Cable Types'!$A$2:$A$41,0)))</f>
        <v>0.37</v>
      </c>
    </row>
    <row r="87" customFormat="false" ht="15" hidden="false" customHeight="false" outlineLevel="0" collapsed="false">
      <c r="A87" s="25" t="s">
        <v>807</v>
      </c>
      <c r="B87" s="25" t="s">
        <v>285</v>
      </c>
      <c r="C87" s="25" t="s">
        <v>68</v>
      </c>
      <c r="D87" s="25" t="s">
        <v>808</v>
      </c>
      <c r="E87" s="25" t="s">
        <v>290</v>
      </c>
      <c r="F87" s="26" t="str">
        <f aca="false">INDEX(Equipment!$B$2:$B$137,MATCH(E87,Equipment!$A$2:$A$137,0))</f>
        <v>CCS power / motor control centre 400 V</v>
      </c>
      <c r="G87" s="25" t="s">
        <v>324</v>
      </c>
      <c r="H87" s="26" t="str">
        <f aca="false">INDEX(Equipment!$B$2:$B$137,MATCH(G87,Equipment!$A$2:$A$137,0))</f>
        <v>CO2 dehydration package (TEG) 250 kVA</v>
      </c>
      <c r="I87" s="25" t="s">
        <v>525</v>
      </c>
      <c r="J87" s="26" t="str">
        <f aca="false">INDEX('Cable Types'!$B$2:$B$41,MATCH(I87,'Cable Types'!$A$2:$A$41,0))</f>
        <v>0.6/1 kV 4C 240 mm2 Cu/XLPE/SWA/PVC</v>
      </c>
      <c r="K87" s="25" t="n">
        <v>1</v>
      </c>
      <c r="L87" s="25" t="s">
        <v>694</v>
      </c>
      <c r="M87" s="25" t="s">
        <v>638</v>
      </c>
      <c r="N87" s="25"/>
      <c r="O87" s="27" t="n">
        <f aca="false">IF(N87&lt;&gt;"",N87,IF(M87="D",ROUNDUP(SQRT((AH87-AE87)^2+(AI87-AF87)^2+(AJ87-AG87)^2)*(1+'Design Basis'!$C$6),0),ROUNDUP((ABS(AH87-AE87)+ABS(AI87-AF87)+ABS(AK87-AG87)+ABS(AK87-AJ87))*(1+'Design Basis'!$C$4)+2*'Design Basis'!$C$5,0)))</f>
        <v>83</v>
      </c>
      <c r="P87" s="27" t="n">
        <f aca="false">O87*K87*AM87</f>
        <v>83</v>
      </c>
      <c r="Q87" s="28" t="n">
        <v>400</v>
      </c>
      <c r="R87" s="25" t="n">
        <v>3</v>
      </c>
      <c r="S87" s="28" t="n">
        <v>250</v>
      </c>
      <c r="T87" s="29" t="n">
        <v>1</v>
      </c>
      <c r="U87" s="27" t="n">
        <f aca="false">IF(OR(S87="",Q87=""),"",IF(R87=3,S87*1000/(SQRT(3)*Q87*T87),S87*1000/(Q87*T87)))</f>
        <v>360.843918243516</v>
      </c>
      <c r="V87" s="27" t="n">
        <f aca="false">IF(OR(AO87="",AL87=""),"",AO87*AL87)</f>
        <v>430.4</v>
      </c>
      <c r="W87" s="27" t="n">
        <f aca="false">IF(V87="","",V87*K87)</f>
        <v>430.4</v>
      </c>
      <c r="X87" s="30" t="n">
        <f aca="false">IF(OR(U87="",W87=""),"",U87/W87)</f>
        <v>0.838392003353894</v>
      </c>
      <c r="Y87" s="30" t="n">
        <f aca="false">IF(OR(U87="",AP87=""),"",AP87*(U87/K87)*O87/1000/Q87)</f>
        <v>0.0172212759981718</v>
      </c>
      <c r="Z87" s="30" t="n">
        <f aca="false">IF(U87="","",IFERROR(IF(INDEX('Design Basis'!$C$13:$C$21,MATCH(C87,'Design Basis'!$A$13:$A$21,0))="","",INDEX('Design Basis'!$C$13:$C$21,MATCH(C87,'Design Basis'!$A$13:$A$21,0))),""))</f>
        <v>0.04</v>
      </c>
      <c r="AA87" s="31" t="str">
        <f aca="false">IF(U87="","n/a",IF(W87="","CHECK",IF(AND(X87&lt;=1,OR(Y87="",Z87="",Y87&lt;=Z87)),"OK","CHECK")))</f>
        <v>OK</v>
      </c>
      <c r="AB87" s="27" t="n">
        <f aca="false">IF(AN87="","",K87*AM87*PI()/4*AN87^2)</f>
        <v>3019.07054009979</v>
      </c>
      <c r="AC87" s="31" t="s">
        <v>613</v>
      </c>
      <c r="AE87" s="32" t="n">
        <f aca="false">INDEX(Equipment!$D$2:$D$137,MATCH(E87,Equipment!$A$2:$A$137,0))</f>
        <v>176</v>
      </c>
      <c r="AF87" s="32" t="n">
        <f aca="false">INDEX(Equipment!$E$2:$E$137,MATCH(E87,Equipment!$A$2:$A$137,0))</f>
        <v>60</v>
      </c>
      <c r="AG87" s="32" t="n">
        <f aca="false">INDEX(Equipment!$F$2:$F$137,MATCH(E87,Equipment!$A$2:$A$137,0))</f>
        <v>0.5</v>
      </c>
      <c r="AH87" s="32" t="n">
        <f aca="false">INDEX(Equipment!$D$2:$D$137,MATCH(G87,Equipment!$A$2:$A$137,0))</f>
        <v>214</v>
      </c>
      <c r="AI87" s="32" t="n">
        <f aca="false">INDEX(Equipment!$E$2:$E$137,MATCH(G87,Equipment!$A$2:$A$137,0))</f>
        <v>39</v>
      </c>
      <c r="AJ87" s="32" t="n">
        <f aca="false">INDEX(Equipment!$F$2:$F$137,MATCH(G87,Equipment!$A$2:$A$137,0))</f>
        <v>0.5</v>
      </c>
      <c r="AK87" s="32" t="n">
        <f aca="false">IF(INDEX(Raceways!$D$2:$D$18,MATCH(L87,Raceways!$A$2:$A$18,0))="",0,INDEX(Raceways!$D$2:$D$18,MATCH(L87,Raceways!$A$2:$A$18,0)))</f>
        <v>6</v>
      </c>
      <c r="AL87" s="33" t="n">
        <f aca="false">IF(INDEX(Raceways!$I$2:$I$18,MATCH(L87,Raceways!$A$2:$A$18,0))="","",INDEX(Raceways!$I$2:$I$18,MATCH(L87,Raceways!$A$2:$A$18,0)))</f>
        <v>0.8</v>
      </c>
      <c r="AM87" s="26" t="n">
        <f aca="false">INDEX('Cable Types'!$D$2:$D$41,MATCH(I87,'Cable Types'!$A$2:$A$41,0))</f>
        <v>1</v>
      </c>
      <c r="AN87" s="26" t="n">
        <f aca="false">IF(INDEX('Cable Types'!$E$2:$E$41,MATCH(I87,'Cable Types'!$A$2:$A$41,0))="","",INDEX('Cable Types'!$E$2:$E$41,MATCH(I87,'Cable Types'!$A$2:$A$41,0)))</f>
        <v>62</v>
      </c>
      <c r="AO87" s="26" t="n">
        <f aca="false">IF(INDEX('Cable Types'!$F$2:$F$41,MATCH(I87,'Cable Types'!$A$2:$A$41,0))="","",INDEX('Cable Types'!$F$2:$F$41,MATCH(I87,'Cable Types'!$A$2:$A$41,0)))</f>
        <v>538</v>
      </c>
      <c r="AP87" s="33" t="n">
        <f aca="false">IF(INDEX('Cable Types'!$G$2:$G$41,MATCH(I87,'Cable Types'!$A$2:$A$41,0))="","",INDEX('Cable Types'!$G$2:$G$41,MATCH(I87,'Cable Types'!$A$2:$A$41,0)))</f>
        <v>0.23</v>
      </c>
    </row>
    <row r="88" customFormat="false" ht="15" hidden="false" customHeight="false" outlineLevel="0" collapsed="false">
      <c r="A88" s="25" t="s">
        <v>809</v>
      </c>
      <c r="B88" s="25" t="s">
        <v>285</v>
      </c>
      <c r="C88" s="25" t="s">
        <v>68</v>
      </c>
      <c r="D88" s="25" t="s">
        <v>810</v>
      </c>
      <c r="E88" s="25" t="s">
        <v>290</v>
      </c>
      <c r="F88" s="26" t="str">
        <f aca="false">INDEX(Equipment!$B$2:$B$137,MATCH(E88,Equipment!$A$2:$A$137,0))</f>
        <v>CCS power / motor control centre 400 V</v>
      </c>
      <c r="G88" s="25" t="s">
        <v>327</v>
      </c>
      <c r="H88" s="26" t="str">
        <f aca="false">INDEX(Equipment!$B$2:$B$137,MATCH(G88,Equipment!$A$2:$A$137,0))</f>
        <v>CO2 export fiscal meter skid / flow computer</v>
      </c>
      <c r="I88" s="25" t="s">
        <v>517</v>
      </c>
      <c r="J88" s="26" t="str">
        <f aca="false">INDEX('Cable Types'!$B$2:$B$41,MATCH(I88,'Cable Types'!$A$2:$A$41,0))</f>
        <v>0.6/1 kV 4C 16 mm2 Cu/XLPE/SWA/PVC</v>
      </c>
      <c r="K88" s="25" t="n">
        <v>1</v>
      </c>
      <c r="L88" s="25" t="s">
        <v>694</v>
      </c>
      <c r="M88" s="25" t="s">
        <v>638</v>
      </c>
      <c r="N88" s="25"/>
      <c r="O88" s="27" t="n">
        <f aca="false">IF(N88&lt;&gt;"",N88,IF(M88="D",ROUNDUP(SQRT((AH88-AE88)^2+(AI88-AF88)^2+(AJ88-AG88)^2)*(1+'Design Basis'!$C$6),0),ROUNDUP((ABS(AH88-AE88)+ABS(AI88-AF88)+ABS(AK88-AG88)+ABS(AK88-AJ88))*(1+'Design Basis'!$C$4)+2*'Design Basis'!$C$5,0)))</f>
        <v>114</v>
      </c>
      <c r="P88" s="27" t="n">
        <f aca="false">O88*K88*AM88</f>
        <v>114</v>
      </c>
      <c r="Q88" s="28" t="n">
        <v>400</v>
      </c>
      <c r="R88" s="25" t="n">
        <v>3</v>
      </c>
      <c r="S88" s="28" t="n">
        <v>15</v>
      </c>
      <c r="T88" s="29" t="n">
        <v>1</v>
      </c>
      <c r="U88" s="27" t="n">
        <f aca="false">IF(OR(S88="",Q88=""),"",IF(R88=3,S88*1000/(SQRT(3)*Q88*T88),S88*1000/(Q88*T88)))</f>
        <v>21.650635094611</v>
      </c>
      <c r="V88" s="27" t="n">
        <f aca="false">IF(OR(AO88="",AL88=""),"",AO88*AL88)</f>
        <v>80</v>
      </c>
      <c r="W88" s="27" t="n">
        <f aca="false">IF(V88="","",V88*K88)</f>
        <v>80</v>
      </c>
      <c r="X88" s="30" t="n">
        <f aca="false">IF(OR(U88="",W88=""),"",U88/W88)</f>
        <v>0.270632938682637</v>
      </c>
      <c r="Y88" s="30" t="n">
        <f aca="false">IF(OR(U88="",AP88=""),"",AP88*(U88/K88)*O88/1000/Q88)</f>
        <v>0.0154260775049103</v>
      </c>
      <c r="Z88" s="30" t="n">
        <f aca="false">IF(U88="","",IFERROR(IF(INDEX('Design Basis'!$C$13:$C$21,MATCH(C88,'Design Basis'!$A$13:$A$21,0))="","",INDEX('Design Basis'!$C$13:$C$21,MATCH(C88,'Design Basis'!$A$13:$A$21,0))),""))</f>
        <v>0.04</v>
      </c>
      <c r="AA88" s="31" t="str">
        <f aca="false">IF(U88="","n/a",IF(W88="","CHECK",IF(AND(X88&lt;=1,OR(Y88="",Z88="",Y88&lt;=Z88)),"OK","CHECK")))</f>
        <v>OK</v>
      </c>
      <c r="AB88" s="27" t="n">
        <f aca="false">IF(AN88="","",K88*AM88*PI()/4*AN88^2)</f>
        <v>415.47562843725</v>
      </c>
      <c r="AC88" s="31"/>
      <c r="AE88" s="32" t="n">
        <f aca="false">INDEX(Equipment!$D$2:$D$137,MATCH(E88,Equipment!$A$2:$A$137,0))</f>
        <v>176</v>
      </c>
      <c r="AF88" s="32" t="n">
        <f aca="false">INDEX(Equipment!$E$2:$E$137,MATCH(E88,Equipment!$A$2:$A$137,0))</f>
        <v>60</v>
      </c>
      <c r="AG88" s="32" t="n">
        <f aca="false">INDEX(Equipment!$F$2:$F$137,MATCH(E88,Equipment!$A$2:$A$137,0))</f>
        <v>0.5</v>
      </c>
      <c r="AH88" s="32" t="n">
        <f aca="false">INDEX(Equipment!$D$2:$D$137,MATCH(G88,Equipment!$A$2:$A$137,0))</f>
        <v>242</v>
      </c>
      <c r="AI88" s="32" t="n">
        <f aca="false">INDEX(Equipment!$E$2:$E$137,MATCH(G88,Equipment!$A$2:$A$137,0))</f>
        <v>39</v>
      </c>
      <c r="AJ88" s="32" t="n">
        <f aca="false">INDEX(Equipment!$F$2:$F$137,MATCH(G88,Equipment!$A$2:$A$137,0))</f>
        <v>1</v>
      </c>
      <c r="AK88" s="32" t="n">
        <f aca="false">IF(INDEX(Raceways!$D$2:$D$18,MATCH(L88,Raceways!$A$2:$A$18,0))="",0,INDEX(Raceways!$D$2:$D$18,MATCH(L88,Raceways!$A$2:$A$18,0)))</f>
        <v>6</v>
      </c>
      <c r="AL88" s="33" t="n">
        <f aca="false">IF(INDEX(Raceways!$I$2:$I$18,MATCH(L88,Raceways!$A$2:$A$18,0))="","",INDEX(Raceways!$I$2:$I$18,MATCH(L88,Raceways!$A$2:$A$18,0)))</f>
        <v>0.8</v>
      </c>
      <c r="AM88" s="26" t="n">
        <f aca="false">INDEX('Cable Types'!$D$2:$D$41,MATCH(I88,'Cable Types'!$A$2:$A$41,0))</f>
        <v>1</v>
      </c>
      <c r="AN88" s="26" t="n">
        <f aca="false">IF(INDEX('Cable Types'!$E$2:$E$41,MATCH(I88,'Cable Types'!$A$2:$A$41,0))="","",INDEX('Cable Types'!$E$2:$E$41,MATCH(I88,'Cable Types'!$A$2:$A$41,0)))</f>
        <v>23</v>
      </c>
      <c r="AO88" s="26" t="n">
        <f aca="false">IF(INDEX('Cable Types'!$F$2:$F$41,MATCH(I88,'Cable Types'!$A$2:$A$41,0))="","",INDEX('Cable Types'!$F$2:$F$41,MATCH(I88,'Cable Types'!$A$2:$A$41,0)))</f>
        <v>100</v>
      </c>
      <c r="AP88" s="33" t="n">
        <f aca="false">IF(INDEX('Cable Types'!$G$2:$G$41,MATCH(I88,'Cable Types'!$A$2:$A$41,0))="","",INDEX('Cable Types'!$G$2:$G$41,MATCH(I88,'Cable Types'!$A$2:$A$41,0)))</f>
        <v>2.5</v>
      </c>
    </row>
    <row r="89" customFormat="false" ht="15" hidden="false" customHeight="false" outlineLevel="0" collapsed="false">
      <c r="A89" s="25" t="s">
        <v>811</v>
      </c>
      <c r="B89" s="25" t="s">
        <v>127</v>
      </c>
      <c r="C89" s="25" t="s">
        <v>68</v>
      </c>
      <c r="D89" s="25" t="s">
        <v>812</v>
      </c>
      <c r="E89" s="25" t="s">
        <v>346</v>
      </c>
      <c r="F89" s="26" t="str">
        <f aca="false">INDEX(Equipment!$B$2:$B$137,MATCH(E89,Equipment!$A$2:$A$137,0))</f>
        <v>RICE auxiliary MCC 400 V</v>
      </c>
      <c r="G89" s="25" t="s">
        <v>377</v>
      </c>
      <c r="H89" s="26" t="str">
        <f aca="false">INDEX(Equipment!$B$2:$B$137,MATCH(G89,Equipment!$A$2:$A$137,0))</f>
        <v>Genset 1 auxiliary panel (radiator fans, pre-lube, jacket heater)</v>
      </c>
      <c r="I89" s="25" t="s">
        <v>519</v>
      </c>
      <c r="J89" s="26" t="str">
        <f aca="false">INDEX('Cable Types'!$B$2:$B$41,MATCH(I89,'Cable Types'!$A$2:$A$41,0))</f>
        <v>0.6/1 kV 4C 35 mm2 Cu/XLPE/SWA/PVC</v>
      </c>
      <c r="K89" s="25" t="n">
        <v>1</v>
      </c>
      <c r="L89" s="25" t="s">
        <v>715</v>
      </c>
      <c r="M89" s="25" t="s">
        <v>638</v>
      </c>
      <c r="N89" s="25"/>
      <c r="O89" s="27" t="n">
        <f aca="false">IF(N89&lt;&gt;"",N89,IF(M89="D",ROUNDUP(SQRT((AH89-AE89)^2+(AI89-AF89)^2+(AJ89-AG89)^2)*(1+'Design Basis'!$C$6),0),ROUNDUP((ABS(AH89-AE89)+ABS(AI89-AF89)+ABS(AK89-AG89)+ABS(AK89-AJ89))*(1+'Design Basis'!$C$4)+2*'Design Basis'!$C$5,0)))</f>
        <v>64</v>
      </c>
      <c r="P89" s="27" t="n">
        <f aca="false">O89*K89*AM89</f>
        <v>64</v>
      </c>
      <c r="Q89" s="28" t="n">
        <v>400</v>
      </c>
      <c r="R89" s="25" t="n">
        <v>3</v>
      </c>
      <c r="S89" s="28" t="n">
        <v>75</v>
      </c>
      <c r="T89" s="29" t="n">
        <v>1</v>
      </c>
      <c r="U89" s="27" t="n">
        <f aca="false">IF(OR(S89="",Q89=""),"",IF(R89=3,S89*1000/(SQRT(3)*Q89*T89),S89*1000/(Q89*T89)))</f>
        <v>108.253175473055</v>
      </c>
      <c r="V89" s="27" t="n">
        <f aca="false">IF(OR(AO89="",AL89=""),"",AO89*AL89)</f>
        <v>126.4</v>
      </c>
      <c r="W89" s="27" t="n">
        <f aca="false">IF(V89="","",V89*K89)</f>
        <v>126.4</v>
      </c>
      <c r="X89" s="30" t="n">
        <f aca="false">IF(OR(U89="",W89=""),"",U89/W89)</f>
        <v>0.85643335026151</v>
      </c>
      <c r="Y89" s="30" t="n">
        <f aca="false">IF(OR(U89="",AP89=""),"",AP89*(U89/K89)*O89/1000/Q89)</f>
        <v>0.0199185842870421</v>
      </c>
      <c r="Z89" s="30" t="n">
        <f aca="false">IF(U89="","",IFERROR(IF(INDEX('Design Basis'!$C$13:$C$21,MATCH(C89,'Design Basis'!$A$13:$A$21,0))="","",INDEX('Design Basis'!$C$13:$C$21,MATCH(C89,'Design Basis'!$A$13:$A$21,0))),""))</f>
        <v>0.04</v>
      </c>
      <c r="AA89" s="31" t="str">
        <f aca="false">IF(U89="","n/a",IF(W89="","CHECK",IF(AND(X89&lt;=1,OR(Y89="",Z89="",Y89&lt;=Z89)),"OK","CHECK")))</f>
        <v>OK</v>
      </c>
      <c r="AB89" s="27" t="n">
        <f aca="false">IF(AN89="","",K89*AM89*PI()/4*AN89^2)</f>
        <v>660.519855417254</v>
      </c>
      <c r="AC89" s="31" t="s">
        <v>613</v>
      </c>
      <c r="AE89" s="32" t="n">
        <f aca="false">INDEX(Equipment!$D$2:$D$137,MATCH(E89,Equipment!$A$2:$A$137,0))</f>
        <v>16</v>
      </c>
      <c r="AF89" s="32" t="n">
        <f aca="false">INDEX(Equipment!$E$2:$E$137,MATCH(E89,Equipment!$A$2:$A$137,0))</f>
        <v>99</v>
      </c>
      <c r="AG89" s="32" t="n">
        <f aca="false">INDEX(Equipment!$F$2:$F$137,MATCH(E89,Equipment!$A$2:$A$137,0))</f>
        <v>0.5</v>
      </c>
      <c r="AH89" s="32" t="n">
        <f aca="false">INDEX(Equipment!$D$2:$D$137,MATCH(G89,Equipment!$A$2:$A$137,0))</f>
        <v>-4</v>
      </c>
      <c r="AI89" s="32" t="n">
        <f aca="false">INDEX(Equipment!$E$2:$E$137,MATCH(G89,Equipment!$A$2:$A$137,0))</f>
        <v>71.45</v>
      </c>
      <c r="AJ89" s="32" t="n">
        <f aca="false">INDEX(Equipment!$F$2:$F$137,MATCH(G89,Equipment!$A$2:$A$137,0))</f>
        <v>1</v>
      </c>
      <c r="AK89" s="32" t="n">
        <f aca="false">IF(INDEX(Raceways!$D$2:$D$18,MATCH(L89,Raceways!$A$2:$A$18,0))="",0,INDEX(Raceways!$D$2:$D$18,MATCH(L89,Raceways!$A$2:$A$18,0)))</f>
        <v>3</v>
      </c>
      <c r="AL89" s="33" t="n">
        <f aca="false">IF(INDEX(Raceways!$I$2:$I$18,MATCH(L89,Raceways!$A$2:$A$18,0))="","",INDEX(Raceways!$I$2:$I$18,MATCH(L89,Raceways!$A$2:$A$18,0)))</f>
        <v>0.8</v>
      </c>
      <c r="AM89" s="26" t="n">
        <f aca="false">INDEX('Cable Types'!$D$2:$D$41,MATCH(I89,'Cable Types'!$A$2:$A$41,0))</f>
        <v>1</v>
      </c>
      <c r="AN89" s="26" t="n">
        <f aca="false">IF(INDEX('Cable Types'!$E$2:$E$41,MATCH(I89,'Cable Types'!$A$2:$A$41,0))="","",INDEX('Cable Types'!$E$2:$E$41,MATCH(I89,'Cable Types'!$A$2:$A$41,0)))</f>
        <v>29</v>
      </c>
      <c r="AO89" s="26" t="n">
        <f aca="false">IF(INDEX('Cable Types'!$F$2:$F$41,MATCH(I89,'Cable Types'!$A$2:$A$41,0))="","",INDEX('Cable Types'!$F$2:$F$41,MATCH(I89,'Cable Types'!$A$2:$A$41,0)))</f>
        <v>158</v>
      </c>
      <c r="AP89" s="33" t="n">
        <f aca="false">IF(INDEX('Cable Types'!$G$2:$G$41,MATCH(I89,'Cable Types'!$A$2:$A$41,0))="","",INDEX('Cable Types'!$G$2:$G$41,MATCH(I89,'Cable Types'!$A$2:$A$41,0)))</f>
        <v>1.15</v>
      </c>
    </row>
    <row r="90" customFormat="false" ht="15" hidden="false" customHeight="false" outlineLevel="0" collapsed="false">
      <c r="A90" s="25" t="s">
        <v>813</v>
      </c>
      <c r="B90" s="25" t="s">
        <v>127</v>
      </c>
      <c r="C90" s="25" t="s">
        <v>68</v>
      </c>
      <c r="D90" s="25" t="s">
        <v>814</v>
      </c>
      <c r="E90" s="25" t="s">
        <v>346</v>
      </c>
      <c r="F90" s="26" t="str">
        <f aca="false">INDEX(Equipment!$B$2:$B$137,MATCH(E90,Equipment!$A$2:$A$137,0))</f>
        <v>RICE auxiliary MCC 400 V</v>
      </c>
      <c r="G90" s="25" t="s">
        <v>379</v>
      </c>
      <c r="H90" s="26" t="str">
        <f aca="false">INDEX(Equipment!$B$2:$B$137,MATCH(G90,Equipment!$A$2:$A$137,0))</f>
        <v>Genset 2 auxiliary panel (radiator fans, pre-lube, jacket heater)</v>
      </c>
      <c r="I90" s="25" t="s">
        <v>519</v>
      </c>
      <c r="J90" s="26" t="str">
        <f aca="false">INDEX('Cable Types'!$B$2:$B$41,MATCH(I90,'Cable Types'!$A$2:$A$41,0))</f>
        <v>0.6/1 kV 4C 35 mm2 Cu/XLPE/SWA/PVC</v>
      </c>
      <c r="K90" s="25" t="n">
        <v>1</v>
      </c>
      <c r="L90" s="25" t="s">
        <v>715</v>
      </c>
      <c r="M90" s="25" t="s">
        <v>638</v>
      </c>
      <c r="N90" s="25"/>
      <c r="O90" s="27" t="n">
        <f aca="false">IF(N90&lt;&gt;"",N90,IF(M90="D",ROUNDUP(SQRT((AH90-AE90)^2+(AI90-AF90)^2+(AJ90-AG90)^2)*(1+'Design Basis'!$C$6),0),ROUNDUP((ABS(AH90-AE90)+ABS(AI90-AF90)+ABS(AK90-AG90)+ABS(AK90-AJ90))*(1+'Design Basis'!$C$4)+2*'Design Basis'!$C$5,0)))</f>
        <v>59</v>
      </c>
      <c r="P90" s="27" t="n">
        <f aca="false">O90*K90*AM90</f>
        <v>59</v>
      </c>
      <c r="Q90" s="28" t="n">
        <v>400</v>
      </c>
      <c r="R90" s="25" t="n">
        <v>3</v>
      </c>
      <c r="S90" s="28" t="n">
        <v>75</v>
      </c>
      <c r="T90" s="29" t="n">
        <v>1</v>
      </c>
      <c r="U90" s="27" t="n">
        <f aca="false">IF(OR(S90="",Q90=""),"",IF(R90=3,S90*1000/(SQRT(3)*Q90*T90),S90*1000/(Q90*T90)))</f>
        <v>108.253175473055</v>
      </c>
      <c r="V90" s="27" t="n">
        <f aca="false">IF(OR(AO90="",AL90=""),"",AO90*AL90)</f>
        <v>126.4</v>
      </c>
      <c r="W90" s="27" t="n">
        <f aca="false">IF(V90="","",V90*K90)</f>
        <v>126.4</v>
      </c>
      <c r="X90" s="30" t="n">
        <f aca="false">IF(OR(U90="",W90=""),"",U90/W90)</f>
        <v>0.85643335026151</v>
      </c>
      <c r="Y90" s="30" t="n">
        <f aca="false">IF(OR(U90="",AP90=""),"",AP90*(U90/K90)*O90/1000/Q90)</f>
        <v>0.0183624448896169</v>
      </c>
      <c r="Z90" s="30" t="n">
        <f aca="false">IF(U90="","",IFERROR(IF(INDEX('Design Basis'!$C$13:$C$21,MATCH(C90,'Design Basis'!$A$13:$A$21,0))="","",INDEX('Design Basis'!$C$13:$C$21,MATCH(C90,'Design Basis'!$A$13:$A$21,0))),""))</f>
        <v>0.04</v>
      </c>
      <c r="AA90" s="31" t="str">
        <f aca="false">IF(U90="","n/a",IF(W90="","CHECK",IF(AND(X90&lt;=1,OR(Y90="",Z90="",Y90&lt;=Z90)),"OK","CHECK")))</f>
        <v>OK</v>
      </c>
      <c r="AB90" s="27" t="n">
        <f aca="false">IF(AN90="","",K90*AM90*PI()/4*AN90^2)</f>
        <v>660.519855417254</v>
      </c>
      <c r="AC90" s="31" t="s">
        <v>613</v>
      </c>
      <c r="AE90" s="32" t="n">
        <f aca="false">INDEX(Equipment!$D$2:$D$137,MATCH(E90,Equipment!$A$2:$A$137,0))</f>
        <v>16</v>
      </c>
      <c r="AF90" s="32" t="n">
        <f aca="false">INDEX(Equipment!$E$2:$E$137,MATCH(E90,Equipment!$A$2:$A$137,0))</f>
        <v>99</v>
      </c>
      <c r="AG90" s="32" t="n">
        <f aca="false">INDEX(Equipment!$F$2:$F$137,MATCH(E90,Equipment!$A$2:$A$137,0))</f>
        <v>0.5</v>
      </c>
      <c r="AH90" s="32" t="n">
        <f aca="false">INDEX(Equipment!$D$2:$D$137,MATCH(G90,Equipment!$A$2:$A$137,0))</f>
        <v>-4</v>
      </c>
      <c r="AI90" s="32" t="n">
        <f aca="false">INDEX(Equipment!$E$2:$E$137,MATCH(G90,Equipment!$A$2:$A$137,0))</f>
        <v>75.65</v>
      </c>
      <c r="AJ90" s="32" t="n">
        <f aca="false">INDEX(Equipment!$F$2:$F$137,MATCH(G90,Equipment!$A$2:$A$137,0))</f>
        <v>1</v>
      </c>
      <c r="AK90" s="32" t="n">
        <f aca="false">IF(INDEX(Raceways!$D$2:$D$18,MATCH(L90,Raceways!$A$2:$A$18,0))="",0,INDEX(Raceways!$D$2:$D$18,MATCH(L90,Raceways!$A$2:$A$18,0)))</f>
        <v>3</v>
      </c>
      <c r="AL90" s="33" t="n">
        <f aca="false">IF(INDEX(Raceways!$I$2:$I$18,MATCH(L90,Raceways!$A$2:$A$18,0))="","",INDEX(Raceways!$I$2:$I$18,MATCH(L90,Raceways!$A$2:$A$18,0)))</f>
        <v>0.8</v>
      </c>
      <c r="AM90" s="26" t="n">
        <f aca="false">INDEX('Cable Types'!$D$2:$D$41,MATCH(I90,'Cable Types'!$A$2:$A$41,0))</f>
        <v>1</v>
      </c>
      <c r="AN90" s="26" t="n">
        <f aca="false">IF(INDEX('Cable Types'!$E$2:$E$41,MATCH(I90,'Cable Types'!$A$2:$A$41,0))="","",INDEX('Cable Types'!$E$2:$E$41,MATCH(I90,'Cable Types'!$A$2:$A$41,0)))</f>
        <v>29</v>
      </c>
      <c r="AO90" s="26" t="n">
        <f aca="false">IF(INDEX('Cable Types'!$F$2:$F$41,MATCH(I90,'Cable Types'!$A$2:$A$41,0))="","",INDEX('Cable Types'!$F$2:$F$41,MATCH(I90,'Cable Types'!$A$2:$A$41,0)))</f>
        <v>158</v>
      </c>
      <c r="AP90" s="33" t="n">
        <f aca="false">IF(INDEX('Cable Types'!$G$2:$G$41,MATCH(I90,'Cable Types'!$A$2:$A$41,0))="","",INDEX('Cable Types'!$G$2:$G$41,MATCH(I90,'Cable Types'!$A$2:$A$41,0)))</f>
        <v>1.15</v>
      </c>
    </row>
    <row r="91" customFormat="false" ht="15" hidden="false" customHeight="false" outlineLevel="0" collapsed="false">
      <c r="A91" s="25" t="s">
        <v>815</v>
      </c>
      <c r="B91" s="25" t="s">
        <v>127</v>
      </c>
      <c r="C91" s="25" t="s">
        <v>68</v>
      </c>
      <c r="D91" s="25" t="s">
        <v>816</v>
      </c>
      <c r="E91" s="25" t="s">
        <v>346</v>
      </c>
      <c r="F91" s="26" t="str">
        <f aca="false">INDEX(Equipment!$B$2:$B$137,MATCH(E91,Equipment!$A$2:$A$137,0))</f>
        <v>RICE auxiliary MCC 400 V</v>
      </c>
      <c r="G91" s="25" t="s">
        <v>381</v>
      </c>
      <c r="H91" s="26" t="str">
        <f aca="false">INDEX(Equipment!$B$2:$B$137,MATCH(G91,Equipment!$A$2:$A$137,0))</f>
        <v>Genset 3 auxiliary panel (radiator fans, pre-lube, jacket heater)</v>
      </c>
      <c r="I91" s="25" t="s">
        <v>519</v>
      </c>
      <c r="J91" s="26" t="str">
        <f aca="false">INDEX('Cable Types'!$B$2:$B$41,MATCH(I91,'Cable Types'!$A$2:$A$41,0))</f>
        <v>0.6/1 kV 4C 35 mm2 Cu/XLPE/SWA/PVC</v>
      </c>
      <c r="K91" s="25" t="n">
        <v>1</v>
      </c>
      <c r="L91" s="25" t="s">
        <v>715</v>
      </c>
      <c r="M91" s="25" t="s">
        <v>638</v>
      </c>
      <c r="N91" s="25"/>
      <c r="O91" s="27" t="n">
        <f aca="false">IF(N91&lt;&gt;"",N91,IF(M91="D",ROUNDUP(SQRT((AH91-AE91)^2+(AI91-AF91)^2+(AJ91-AG91)^2)*(1+'Design Basis'!$C$6),0),ROUNDUP((ABS(AH91-AE91)+ABS(AI91-AF91)+ABS(AK91-AG91)+ABS(AK91-AJ91))*(1+'Design Basis'!$C$4)+2*'Design Basis'!$C$5,0)))</f>
        <v>55</v>
      </c>
      <c r="P91" s="27" t="n">
        <f aca="false">O91*K91*AM91</f>
        <v>55</v>
      </c>
      <c r="Q91" s="28" t="n">
        <v>400</v>
      </c>
      <c r="R91" s="25" t="n">
        <v>3</v>
      </c>
      <c r="S91" s="28" t="n">
        <v>75</v>
      </c>
      <c r="T91" s="29" t="n">
        <v>1</v>
      </c>
      <c r="U91" s="27" t="n">
        <f aca="false">IF(OR(S91="",Q91=""),"",IF(R91=3,S91*1000/(SQRT(3)*Q91*T91),S91*1000/(Q91*T91)))</f>
        <v>108.253175473055</v>
      </c>
      <c r="V91" s="27" t="n">
        <f aca="false">IF(OR(AO91="",AL91=""),"",AO91*AL91)</f>
        <v>126.4</v>
      </c>
      <c r="W91" s="27" t="n">
        <f aca="false">IF(V91="","",V91*K91)</f>
        <v>126.4</v>
      </c>
      <c r="X91" s="30" t="n">
        <f aca="false">IF(OR(U91="",W91=""),"",U91/W91)</f>
        <v>0.85643335026151</v>
      </c>
      <c r="Y91" s="30" t="n">
        <f aca="false">IF(OR(U91="",AP91=""),"",AP91*(U91/K91)*O91/1000/Q91)</f>
        <v>0.0171175333716768</v>
      </c>
      <c r="Z91" s="30" t="n">
        <f aca="false">IF(U91="","",IFERROR(IF(INDEX('Design Basis'!$C$13:$C$21,MATCH(C91,'Design Basis'!$A$13:$A$21,0))="","",INDEX('Design Basis'!$C$13:$C$21,MATCH(C91,'Design Basis'!$A$13:$A$21,0))),""))</f>
        <v>0.04</v>
      </c>
      <c r="AA91" s="31" t="str">
        <f aca="false">IF(U91="","n/a",IF(W91="","CHECK",IF(AND(X91&lt;=1,OR(Y91="",Z91="",Y91&lt;=Z91)),"OK","CHECK")))</f>
        <v>OK</v>
      </c>
      <c r="AB91" s="27" t="n">
        <f aca="false">IF(AN91="","",K91*AM91*PI()/4*AN91^2)</f>
        <v>660.519855417254</v>
      </c>
      <c r="AC91" s="31" t="s">
        <v>613</v>
      </c>
      <c r="AE91" s="32" t="n">
        <f aca="false">INDEX(Equipment!$D$2:$D$137,MATCH(E91,Equipment!$A$2:$A$137,0))</f>
        <v>16</v>
      </c>
      <c r="AF91" s="32" t="n">
        <f aca="false">INDEX(Equipment!$E$2:$E$137,MATCH(E91,Equipment!$A$2:$A$137,0))</f>
        <v>99</v>
      </c>
      <c r="AG91" s="32" t="n">
        <f aca="false">INDEX(Equipment!$F$2:$F$137,MATCH(E91,Equipment!$A$2:$A$137,0))</f>
        <v>0.5</v>
      </c>
      <c r="AH91" s="32" t="n">
        <f aca="false">INDEX(Equipment!$D$2:$D$137,MATCH(G91,Equipment!$A$2:$A$137,0))</f>
        <v>-4</v>
      </c>
      <c r="AI91" s="32" t="n">
        <f aca="false">INDEX(Equipment!$E$2:$E$137,MATCH(G91,Equipment!$A$2:$A$137,0))</f>
        <v>79.85</v>
      </c>
      <c r="AJ91" s="32" t="n">
        <f aca="false">INDEX(Equipment!$F$2:$F$137,MATCH(G91,Equipment!$A$2:$A$137,0))</f>
        <v>1</v>
      </c>
      <c r="AK91" s="32" t="n">
        <f aca="false">IF(INDEX(Raceways!$D$2:$D$18,MATCH(L91,Raceways!$A$2:$A$18,0))="",0,INDEX(Raceways!$D$2:$D$18,MATCH(L91,Raceways!$A$2:$A$18,0)))</f>
        <v>3</v>
      </c>
      <c r="AL91" s="33" t="n">
        <f aca="false">IF(INDEX(Raceways!$I$2:$I$18,MATCH(L91,Raceways!$A$2:$A$18,0))="","",INDEX(Raceways!$I$2:$I$18,MATCH(L91,Raceways!$A$2:$A$18,0)))</f>
        <v>0.8</v>
      </c>
      <c r="AM91" s="26" t="n">
        <f aca="false">INDEX('Cable Types'!$D$2:$D$41,MATCH(I91,'Cable Types'!$A$2:$A$41,0))</f>
        <v>1</v>
      </c>
      <c r="AN91" s="26" t="n">
        <f aca="false">IF(INDEX('Cable Types'!$E$2:$E$41,MATCH(I91,'Cable Types'!$A$2:$A$41,0))="","",INDEX('Cable Types'!$E$2:$E$41,MATCH(I91,'Cable Types'!$A$2:$A$41,0)))</f>
        <v>29</v>
      </c>
      <c r="AO91" s="26" t="n">
        <f aca="false">IF(INDEX('Cable Types'!$F$2:$F$41,MATCH(I91,'Cable Types'!$A$2:$A$41,0))="","",INDEX('Cable Types'!$F$2:$F$41,MATCH(I91,'Cable Types'!$A$2:$A$41,0)))</f>
        <v>158</v>
      </c>
      <c r="AP91" s="33" t="n">
        <f aca="false">IF(INDEX('Cable Types'!$G$2:$G$41,MATCH(I91,'Cable Types'!$A$2:$A$41,0))="","",INDEX('Cable Types'!$G$2:$G$41,MATCH(I91,'Cable Types'!$A$2:$A$41,0)))</f>
        <v>1.15</v>
      </c>
    </row>
    <row r="92" customFormat="false" ht="15" hidden="false" customHeight="false" outlineLevel="0" collapsed="false">
      <c r="A92" s="25" t="s">
        <v>817</v>
      </c>
      <c r="B92" s="25" t="s">
        <v>127</v>
      </c>
      <c r="C92" s="25" t="s">
        <v>68</v>
      </c>
      <c r="D92" s="25" t="s">
        <v>818</v>
      </c>
      <c r="E92" s="25" t="s">
        <v>346</v>
      </c>
      <c r="F92" s="26" t="str">
        <f aca="false">INDEX(Equipment!$B$2:$B$137,MATCH(E92,Equipment!$A$2:$A$137,0))</f>
        <v>RICE auxiliary MCC 400 V</v>
      </c>
      <c r="G92" s="25" t="s">
        <v>383</v>
      </c>
      <c r="H92" s="26" t="str">
        <f aca="false">INDEX(Equipment!$B$2:$B$137,MATCH(G92,Equipment!$A$2:$A$137,0))</f>
        <v>Genset 4 auxiliary panel (radiator fans, pre-lube, jacket heater)</v>
      </c>
      <c r="I92" s="25" t="s">
        <v>519</v>
      </c>
      <c r="J92" s="26" t="str">
        <f aca="false">INDEX('Cable Types'!$B$2:$B$41,MATCH(I92,'Cable Types'!$A$2:$A$41,0))</f>
        <v>0.6/1 kV 4C 35 mm2 Cu/XLPE/SWA/PVC</v>
      </c>
      <c r="K92" s="25" t="n">
        <v>1</v>
      </c>
      <c r="L92" s="25" t="s">
        <v>715</v>
      </c>
      <c r="M92" s="25" t="s">
        <v>638</v>
      </c>
      <c r="N92" s="25"/>
      <c r="O92" s="27" t="n">
        <f aca="false">IF(N92&lt;&gt;"",N92,IF(M92="D",ROUNDUP(SQRT((AH92-AE92)^2+(AI92-AF92)^2+(AJ92-AG92)^2)*(1+'Design Basis'!$C$6),0),ROUNDUP((ABS(AH92-AE92)+ABS(AI92-AF92)+ABS(AK92-AG92)+ABS(AK92-AJ92))*(1+'Design Basis'!$C$4)+2*'Design Basis'!$C$5,0)))</f>
        <v>50</v>
      </c>
      <c r="P92" s="27" t="n">
        <f aca="false">O92*K92*AM92</f>
        <v>50</v>
      </c>
      <c r="Q92" s="28" t="n">
        <v>400</v>
      </c>
      <c r="R92" s="25" t="n">
        <v>3</v>
      </c>
      <c r="S92" s="28" t="n">
        <v>75</v>
      </c>
      <c r="T92" s="29" t="n">
        <v>1</v>
      </c>
      <c r="U92" s="27" t="n">
        <f aca="false">IF(OR(S92="",Q92=""),"",IF(R92=3,S92*1000/(SQRT(3)*Q92*T92),S92*1000/(Q92*T92)))</f>
        <v>108.253175473055</v>
      </c>
      <c r="V92" s="27" t="n">
        <f aca="false">IF(OR(AO92="",AL92=""),"",AO92*AL92)</f>
        <v>126.4</v>
      </c>
      <c r="W92" s="27" t="n">
        <f aca="false">IF(V92="","",V92*K92)</f>
        <v>126.4</v>
      </c>
      <c r="X92" s="30" t="n">
        <f aca="false">IF(OR(U92="",W92=""),"",U92/W92)</f>
        <v>0.85643335026151</v>
      </c>
      <c r="Y92" s="30" t="n">
        <f aca="false">IF(OR(U92="",AP92=""),"",AP92*(U92/K92)*O92/1000/Q92)</f>
        <v>0.0155613939742516</v>
      </c>
      <c r="Z92" s="30" t="n">
        <f aca="false">IF(U92="","",IFERROR(IF(INDEX('Design Basis'!$C$13:$C$21,MATCH(C92,'Design Basis'!$A$13:$A$21,0))="","",INDEX('Design Basis'!$C$13:$C$21,MATCH(C92,'Design Basis'!$A$13:$A$21,0))),""))</f>
        <v>0.04</v>
      </c>
      <c r="AA92" s="31" t="str">
        <f aca="false">IF(U92="","n/a",IF(W92="","CHECK",IF(AND(X92&lt;=1,OR(Y92="",Z92="",Y92&lt;=Z92)),"OK","CHECK")))</f>
        <v>OK</v>
      </c>
      <c r="AB92" s="27" t="n">
        <f aca="false">IF(AN92="","",K92*AM92*PI()/4*AN92^2)</f>
        <v>660.519855417254</v>
      </c>
      <c r="AC92" s="31" t="s">
        <v>613</v>
      </c>
      <c r="AE92" s="32" t="n">
        <f aca="false">INDEX(Equipment!$D$2:$D$137,MATCH(E92,Equipment!$A$2:$A$137,0))</f>
        <v>16</v>
      </c>
      <c r="AF92" s="32" t="n">
        <f aca="false">INDEX(Equipment!$E$2:$E$137,MATCH(E92,Equipment!$A$2:$A$137,0))</f>
        <v>99</v>
      </c>
      <c r="AG92" s="32" t="n">
        <f aca="false">INDEX(Equipment!$F$2:$F$137,MATCH(E92,Equipment!$A$2:$A$137,0))</f>
        <v>0.5</v>
      </c>
      <c r="AH92" s="32" t="n">
        <f aca="false">INDEX(Equipment!$D$2:$D$137,MATCH(G92,Equipment!$A$2:$A$137,0))</f>
        <v>-4</v>
      </c>
      <c r="AI92" s="32" t="n">
        <f aca="false">INDEX(Equipment!$E$2:$E$137,MATCH(G92,Equipment!$A$2:$A$137,0))</f>
        <v>84.05</v>
      </c>
      <c r="AJ92" s="32" t="n">
        <f aca="false">INDEX(Equipment!$F$2:$F$137,MATCH(G92,Equipment!$A$2:$A$137,0))</f>
        <v>1</v>
      </c>
      <c r="AK92" s="32" t="n">
        <f aca="false">IF(INDEX(Raceways!$D$2:$D$18,MATCH(L92,Raceways!$A$2:$A$18,0))="",0,INDEX(Raceways!$D$2:$D$18,MATCH(L92,Raceways!$A$2:$A$18,0)))</f>
        <v>3</v>
      </c>
      <c r="AL92" s="33" t="n">
        <f aca="false">IF(INDEX(Raceways!$I$2:$I$18,MATCH(L92,Raceways!$A$2:$A$18,0))="","",INDEX(Raceways!$I$2:$I$18,MATCH(L92,Raceways!$A$2:$A$18,0)))</f>
        <v>0.8</v>
      </c>
      <c r="AM92" s="26" t="n">
        <f aca="false">INDEX('Cable Types'!$D$2:$D$41,MATCH(I92,'Cable Types'!$A$2:$A$41,0))</f>
        <v>1</v>
      </c>
      <c r="AN92" s="26" t="n">
        <f aca="false">IF(INDEX('Cable Types'!$E$2:$E$41,MATCH(I92,'Cable Types'!$A$2:$A$41,0))="","",INDEX('Cable Types'!$E$2:$E$41,MATCH(I92,'Cable Types'!$A$2:$A$41,0)))</f>
        <v>29</v>
      </c>
      <c r="AO92" s="26" t="n">
        <f aca="false">IF(INDEX('Cable Types'!$F$2:$F$41,MATCH(I92,'Cable Types'!$A$2:$A$41,0))="","",INDEX('Cable Types'!$F$2:$F$41,MATCH(I92,'Cable Types'!$A$2:$A$41,0)))</f>
        <v>158</v>
      </c>
      <c r="AP92" s="33" t="n">
        <f aca="false">IF(INDEX('Cable Types'!$G$2:$G$41,MATCH(I92,'Cable Types'!$A$2:$A$41,0))="","",INDEX('Cable Types'!$G$2:$G$41,MATCH(I92,'Cable Types'!$A$2:$A$41,0)))</f>
        <v>1.15</v>
      </c>
    </row>
    <row r="93" customFormat="false" ht="15" hidden="false" customHeight="false" outlineLevel="0" collapsed="false">
      <c r="A93" s="25" t="s">
        <v>819</v>
      </c>
      <c r="B93" s="25" t="s">
        <v>127</v>
      </c>
      <c r="C93" s="25" t="s">
        <v>68</v>
      </c>
      <c r="D93" s="25" t="s">
        <v>820</v>
      </c>
      <c r="E93" s="25" t="s">
        <v>346</v>
      </c>
      <c r="F93" s="26" t="str">
        <f aca="false">INDEX(Equipment!$B$2:$B$137,MATCH(E93,Equipment!$A$2:$A$137,0))</f>
        <v>RICE auxiliary MCC 400 V</v>
      </c>
      <c r="G93" s="25" t="s">
        <v>385</v>
      </c>
      <c r="H93" s="26" t="str">
        <f aca="false">INDEX(Equipment!$B$2:$B$137,MATCH(G93,Equipment!$A$2:$A$137,0))</f>
        <v>Genset 5 auxiliary panel (radiator fans, pre-lube, jacket heater)</v>
      </c>
      <c r="I93" s="25" t="s">
        <v>519</v>
      </c>
      <c r="J93" s="26" t="str">
        <f aca="false">INDEX('Cable Types'!$B$2:$B$41,MATCH(I93,'Cable Types'!$A$2:$A$41,0))</f>
        <v>0.6/1 kV 4C 35 mm2 Cu/XLPE/SWA/PVC</v>
      </c>
      <c r="K93" s="25" t="n">
        <v>1</v>
      </c>
      <c r="L93" s="25" t="s">
        <v>715</v>
      </c>
      <c r="M93" s="25" t="s">
        <v>638</v>
      </c>
      <c r="N93" s="25"/>
      <c r="O93" s="27" t="n">
        <f aca="false">IF(N93&lt;&gt;"",N93,IF(M93="D",ROUNDUP(SQRT((AH93-AE93)^2+(AI93-AF93)^2+(AJ93-AG93)^2)*(1+'Design Basis'!$C$6),0),ROUNDUP((ABS(AH93-AE93)+ABS(AI93-AF93)+ABS(AK93-AG93)+ABS(AK93-AJ93))*(1+'Design Basis'!$C$4)+2*'Design Basis'!$C$5,0)))</f>
        <v>45</v>
      </c>
      <c r="P93" s="27" t="n">
        <f aca="false">O93*K93*AM93</f>
        <v>45</v>
      </c>
      <c r="Q93" s="28" t="n">
        <v>400</v>
      </c>
      <c r="R93" s="25" t="n">
        <v>3</v>
      </c>
      <c r="S93" s="28" t="n">
        <v>75</v>
      </c>
      <c r="T93" s="29" t="n">
        <v>1</v>
      </c>
      <c r="U93" s="27" t="n">
        <f aca="false">IF(OR(S93="",Q93=""),"",IF(R93=3,S93*1000/(SQRT(3)*Q93*T93),S93*1000/(Q93*T93)))</f>
        <v>108.253175473055</v>
      </c>
      <c r="V93" s="27" t="n">
        <f aca="false">IF(OR(AO93="",AL93=""),"",AO93*AL93)</f>
        <v>126.4</v>
      </c>
      <c r="W93" s="27" t="n">
        <f aca="false">IF(V93="","",V93*K93)</f>
        <v>126.4</v>
      </c>
      <c r="X93" s="30" t="n">
        <f aca="false">IF(OR(U93="",W93=""),"",U93/W93)</f>
        <v>0.85643335026151</v>
      </c>
      <c r="Y93" s="30" t="n">
        <f aca="false">IF(OR(U93="",AP93=""),"",AP93*(U93/K93)*O93/1000/Q93)</f>
        <v>0.0140052545768265</v>
      </c>
      <c r="Z93" s="30" t="n">
        <f aca="false">IF(U93="","",IFERROR(IF(INDEX('Design Basis'!$C$13:$C$21,MATCH(C93,'Design Basis'!$A$13:$A$21,0))="","",INDEX('Design Basis'!$C$13:$C$21,MATCH(C93,'Design Basis'!$A$13:$A$21,0))),""))</f>
        <v>0.04</v>
      </c>
      <c r="AA93" s="31" t="str">
        <f aca="false">IF(U93="","n/a",IF(W93="","CHECK",IF(AND(X93&lt;=1,OR(Y93="",Z93="",Y93&lt;=Z93)),"OK","CHECK")))</f>
        <v>OK</v>
      </c>
      <c r="AB93" s="27" t="n">
        <f aca="false">IF(AN93="","",K93*AM93*PI()/4*AN93^2)</f>
        <v>660.519855417254</v>
      </c>
      <c r="AC93" s="31" t="s">
        <v>613</v>
      </c>
      <c r="AE93" s="32" t="n">
        <f aca="false">INDEX(Equipment!$D$2:$D$137,MATCH(E93,Equipment!$A$2:$A$137,0))</f>
        <v>16</v>
      </c>
      <c r="AF93" s="32" t="n">
        <f aca="false">INDEX(Equipment!$E$2:$E$137,MATCH(E93,Equipment!$A$2:$A$137,0))</f>
        <v>99</v>
      </c>
      <c r="AG93" s="32" t="n">
        <f aca="false">INDEX(Equipment!$F$2:$F$137,MATCH(E93,Equipment!$A$2:$A$137,0))</f>
        <v>0.5</v>
      </c>
      <c r="AH93" s="32" t="n">
        <f aca="false">INDEX(Equipment!$D$2:$D$137,MATCH(G93,Equipment!$A$2:$A$137,0))</f>
        <v>-4</v>
      </c>
      <c r="AI93" s="32" t="n">
        <f aca="false">INDEX(Equipment!$E$2:$E$137,MATCH(G93,Equipment!$A$2:$A$137,0))</f>
        <v>88.25</v>
      </c>
      <c r="AJ93" s="32" t="n">
        <f aca="false">INDEX(Equipment!$F$2:$F$137,MATCH(G93,Equipment!$A$2:$A$137,0))</f>
        <v>1</v>
      </c>
      <c r="AK93" s="32" t="n">
        <f aca="false">IF(INDEX(Raceways!$D$2:$D$18,MATCH(L93,Raceways!$A$2:$A$18,0))="",0,INDEX(Raceways!$D$2:$D$18,MATCH(L93,Raceways!$A$2:$A$18,0)))</f>
        <v>3</v>
      </c>
      <c r="AL93" s="33" t="n">
        <f aca="false">IF(INDEX(Raceways!$I$2:$I$18,MATCH(L93,Raceways!$A$2:$A$18,0))="","",INDEX(Raceways!$I$2:$I$18,MATCH(L93,Raceways!$A$2:$A$18,0)))</f>
        <v>0.8</v>
      </c>
      <c r="AM93" s="26" t="n">
        <f aca="false">INDEX('Cable Types'!$D$2:$D$41,MATCH(I93,'Cable Types'!$A$2:$A$41,0))</f>
        <v>1</v>
      </c>
      <c r="AN93" s="26" t="n">
        <f aca="false">IF(INDEX('Cable Types'!$E$2:$E$41,MATCH(I93,'Cable Types'!$A$2:$A$41,0))="","",INDEX('Cable Types'!$E$2:$E$41,MATCH(I93,'Cable Types'!$A$2:$A$41,0)))</f>
        <v>29</v>
      </c>
      <c r="AO93" s="26" t="n">
        <f aca="false">IF(INDEX('Cable Types'!$F$2:$F$41,MATCH(I93,'Cable Types'!$A$2:$A$41,0))="","",INDEX('Cable Types'!$F$2:$F$41,MATCH(I93,'Cable Types'!$A$2:$A$41,0)))</f>
        <v>158</v>
      </c>
      <c r="AP93" s="33" t="n">
        <f aca="false">IF(INDEX('Cable Types'!$G$2:$G$41,MATCH(I93,'Cable Types'!$A$2:$A$41,0))="","",INDEX('Cable Types'!$G$2:$G$41,MATCH(I93,'Cable Types'!$A$2:$A$41,0)))</f>
        <v>1.15</v>
      </c>
    </row>
    <row r="94" customFormat="false" ht="15" hidden="false" customHeight="false" outlineLevel="0" collapsed="false">
      <c r="A94" s="25" t="s">
        <v>821</v>
      </c>
      <c r="B94" s="25" t="s">
        <v>127</v>
      </c>
      <c r="C94" s="25" t="s">
        <v>68</v>
      </c>
      <c r="D94" s="25" t="s">
        <v>822</v>
      </c>
      <c r="E94" s="25" t="s">
        <v>346</v>
      </c>
      <c r="F94" s="26" t="str">
        <f aca="false">INDEX(Equipment!$B$2:$B$137,MATCH(E94,Equipment!$A$2:$A$137,0))</f>
        <v>RICE auxiliary MCC 400 V</v>
      </c>
      <c r="G94" s="25" t="s">
        <v>387</v>
      </c>
      <c r="H94" s="26" t="str">
        <f aca="false">INDEX(Equipment!$B$2:$B$137,MATCH(G94,Equipment!$A$2:$A$137,0))</f>
        <v>Genset 6 auxiliary panel (radiator fans, pre-lube, jacket heater)</v>
      </c>
      <c r="I94" s="25" t="s">
        <v>519</v>
      </c>
      <c r="J94" s="26" t="str">
        <f aca="false">INDEX('Cable Types'!$B$2:$B$41,MATCH(I94,'Cable Types'!$A$2:$A$41,0))</f>
        <v>0.6/1 kV 4C 35 mm2 Cu/XLPE/SWA/PVC</v>
      </c>
      <c r="K94" s="25" t="n">
        <v>1</v>
      </c>
      <c r="L94" s="25" t="s">
        <v>715</v>
      </c>
      <c r="M94" s="25" t="s">
        <v>638</v>
      </c>
      <c r="N94" s="25"/>
      <c r="O94" s="27" t="n">
        <f aca="false">IF(N94&lt;&gt;"",N94,IF(M94="D",ROUNDUP(SQRT((AH94-AE94)^2+(AI94-AF94)^2+(AJ94-AG94)^2)*(1+'Design Basis'!$C$6),0),ROUNDUP((ABS(AH94-AE94)+ABS(AI94-AF94)+ABS(AK94-AG94)+ABS(AK94-AJ94))*(1+'Design Basis'!$C$4)+2*'Design Basis'!$C$5,0)))</f>
        <v>41</v>
      </c>
      <c r="P94" s="27" t="n">
        <f aca="false">O94*K94*AM94</f>
        <v>41</v>
      </c>
      <c r="Q94" s="28" t="n">
        <v>400</v>
      </c>
      <c r="R94" s="25" t="n">
        <v>3</v>
      </c>
      <c r="S94" s="28" t="n">
        <v>75</v>
      </c>
      <c r="T94" s="29" t="n">
        <v>1</v>
      </c>
      <c r="U94" s="27" t="n">
        <f aca="false">IF(OR(S94="",Q94=""),"",IF(R94=3,S94*1000/(SQRT(3)*Q94*T94),S94*1000/(Q94*T94)))</f>
        <v>108.253175473055</v>
      </c>
      <c r="V94" s="27" t="n">
        <f aca="false">IF(OR(AO94="",AL94=""),"",AO94*AL94)</f>
        <v>126.4</v>
      </c>
      <c r="W94" s="27" t="n">
        <f aca="false">IF(V94="","",V94*K94)</f>
        <v>126.4</v>
      </c>
      <c r="X94" s="30" t="n">
        <f aca="false">IF(OR(U94="",W94=""),"",U94/W94)</f>
        <v>0.85643335026151</v>
      </c>
      <c r="Y94" s="30" t="n">
        <f aca="false">IF(OR(U94="",AP94=""),"",AP94*(U94/K94)*O94/1000/Q94)</f>
        <v>0.0127603430588863</v>
      </c>
      <c r="Z94" s="30" t="n">
        <f aca="false">IF(U94="","",IFERROR(IF(INDEX('Design Basis'!$C$13:$C$21,MATCH(C94,'Design Basis'!$A$13:$A$21,0))="","",INDEX('Design Basis'!$C$13:$C$21,MATCH(C94,'Design Basis'!$A$13:$A$21,0))),""))</f>
        <v>0.04</v>
      </c>
      <c r="AA94" s="31" t="str">
        <f aca="false">IF(U94="","n/a",IF(W94="","CHECK",IF(AND(X94&lt;=1,OR(Y94="",Z94="",Y94&lt;=Z94)),"OK","CHECK")))</f>
        <v>OK</v>
      </c>
      <c r="AB94" s="27" t="n">
        <f aca="false">IF(AN94="","",K94*AM94*PI()/4*AN94^2)</f>
        <v>660.519855417254</v>
      </c>
      <c r="AC94" s="31" t="s">
        <v>613</v>
      </c>
      <c r="AE94" s="32" t="n">
        <f aca="false">INDEX(Equipment!$D$2:$D$137,MATCH(E94,Equipment!$A$2:$A$137,0))</f>
        <v>16</v>
      </c>
      <c r="AF94" s="32" t="n">
        <f aca="false">INDEX(Equipment!$E$2:$E$137,MATCH(E94,Equipment!$A$2:$A$137,0))</f>
        <v>99</v>
      </c>
      <c r="AG94" s="32" t="n">
        <f aca="false">INDEX(Equipment!$F$2:$F$137,MATCH(E94,Equipment!$A$2:$A$137,0))</f>
        <v>0.5</v>
      </c>
      <c r="AH94" s="32" t="n">
        <f aca="false">INDEX(Equipment!$D$2:$D$137,MATCH(G94,Equipment!$A$2:$A$137,0))</f>
        <v>-4</v>
      </c>
      <c r="AI94" s="32" t="n">
        <f aca="false">INDEX(Equipment!$E$2:$E$137,MATCH(G94,Equipment!$A$2:$A$137,0))</f>
        <v>92.45</v>
      </c>
      <c r="AJ94" s="32" t="n">
        <f aca="false">INDEX(Equipment!$F$2:$F$137,MATCH(G94,Equipment!$A$2:$A$137,0))</f>
        <v>1</v>
      </c>
      <c r="AK94" s="32" t="n">
        <f aca="false">IF(INDEX(Raceways!$D$2:$D$18,MATCH(L94,Raceways!$A$2:$A$18,0))="",0,INDEX(Raceways!$D$2:$D$18,MATCH(L94,Raceways!$A$2:$A$18,0)))</f>
        <v>3</v>
      </c>
      <c r="AL94" s="33" t="n">
        <f aca="false">IF(INDEX(Raceways!$I$2:$I$18,MATCH(L94,Raceways!$A$2:$A$18,0))="","",INDEX(Raceways!$I$2:$I$18,MATCH(L94,Raceways!$A$2:$A$18,0)))</f>
        <v>0.8</v>
      </c>
      <c r="AM94" s="26" t="n">
        <f aca="false">INDEX('Cable Types'!$D$2:$D$41,MATCH(I94,'Cable Types'!$A$2:$A$41,0))</f>
        <v>1</v>
      </c>
      <c r="AN94" s="26" t="n">
        <f aca="false">IF(INDEX('Cable Types'!$E$2:$E$41,MATCH(I94,'Cable Types'!$A$2:$A$41,0))="","",INDEX('Cable Types'!$E$2:$E$41,MATCH(I94,'Cable Types'!$A$2:$A$41,0)))</f>
        <v>29</v>
      </c>
      <c r="AO94" s="26" t="n">
        <f aca="false">IF(INDEX('Cable Types'!$F$2:$F$41,MATCH(I94,'Cable Types'!$A$2:$A$41,0))="","",INDEX('Cable Types'!$F$2:$F$41,MATCH(I94,'Cable Types'!$A$2:$A$41,0)))</f>
        <v>158</v>
      </c>
      <c r="AP94" s="33" t="n">
        <f aca="false">IF(INDEX('Cable Types'!$G$2:$G$41,MATCH(I94,'Cable Types'!$A$2:$A$41,0))="","",INDEX('Cable Types'!$G$2:$G$41,MATCH(I94,'Cable Types'!$A$2:$A$41,0)))</f>
        <v>1.15</v>
      </c>
    </row>
    <row r="95" customFormat="false" ht="15" hidden="false" customHeight="false" outlineLevel="0" collapsed="false">
      <c r="A95" s="25" t="s">
        <v>823</v>
      </c>
      <c r="B95" s="25" t="s">
        <v>127</v>
      </c>
      <c r="C95" s="25" t="s">
        <v>68</v>
      </c>
      <c r="D95" s="25" t="s">
        <v>824</v>
      </c>
      <c r="E95" s="25" t="s">
        <v>346</v>
      </c>
      <c r="F95" s="26" t="str">
        <f aca="false">INDEX(Equipment!$B$2:$B$137,MATCH(E95,Equipment!$A$2:$A$137,0))</f>
        <v>RICE auxiliary MCC 400 V</v>
      </c>
      <c r="G95" s="25" t="s">
        <v>389</v>
      </c>
      <c r="H95" s="26" t="str">
        <f aca="false">INDEX(Equipment!$B$2:$B$137,MATCH(G95,Equipment!$A$2:$A$137,0))</f>
        <v>Genset 7 auxiliary panel (radiator fans, pre-lube, jacket heater)</v>
      </c>
      <c r="I95" s="25" t="s">
        <v>519</v>
      </c>
      <c r="J95" s="26" t="str">
        <f aca="false">INDEX('Cable Types'!$B$2:$B$41,MATCH(I95,'Cable Types'!$A$2:$A$41,0))</f>
        <v>0.6/1 kV 4C 35 mm2 Cu/XLPE/SWA/PVC</v>
      </c>
      <c r="K95" s="25" t="n">
        <v>1</v>
      </c>
      <c r="L95" s="25" t="s">
        <v>715</v>
      </c>
      <c r="M95" s="25" t="s">
        <v>638</v>
      </c>
      <c r="N95" s="25"/>
      <c r="O95" s="27" t="n">
        <f aca="false">IF(N95&lt;&gt;"",N95,IF(M95="D",ROUNDUP(SQRT((AH95-AE95)^2+(AI95-AF95)^2+(AJ95-AG95)^2)*(1+'Design Basis'!$C$6),0),ROUNDUP((ABS(AH95-AE95)+ABS(AI95-AF95)+ABS(AK95-AG95)+ABS(AK95-AJ95))*(1+'Design Basis'!$C$4)+2*'Design Basis'!$C$5,0)))</f>
        <v>36</v>
      </c>
      <c r="P95" s="27" t="n">
        <f aca="false">O95*K95*AM95</f>
        <v>36</v>
      </c>
      <c r="Q95" s="28" t="n">
        <v>400</v>
      </c>
      <c r="R95" s="25" t="n">
        <v>3</v>
      </c>
      <c r="S95" s="28" t="n">
        <v>75</v>
      </c>
      <c r="T95" s="29" t="n">
        <v>1</v>
      </c>
      <c r="U95" s="27" t="n">
        <f aca="false">IF(OR(S95="",Q95=""),"",IF(R95=3,S95*1000/(SQRT(3)*Q95*T95),S95*1000/(Q95*T95)))</f>
        <v>108.253175473055</v>
      </c>
      <c r="V95" s="27" t="n">
        <f aca="false">IF(OR(AO95="",AL95=""),"",AO95*AL95)</f>
        <v>126.4</v>
      </c>
      <c r="W95" s="27" t="n">
        <f aca="false">IF(V95="","",V95*K95)</f>
        <v>126.4</v>
      </c>
      <c r="X95" s="30" t="n">
        <f aca="false">IF(OR(U95="",W95=""),"",U95/W95)</f>
        <v>0.85643335026151</v>
      </c>
      <c r="Y95" s="30" t="n">
        <f aca="false">IF(OR(U95="",AP95=""),"",AP95*(U95/K95)*O95/1000/Q95)</f>
        <v>0.0112042036614612</v>
      </c>
      <c r="Z95" s="30" t="n">
        <f aca="false">IF(U95="","",IFERROR(IF(INDEX('Design Basis'!$C$13:$C$21,MATCH(C95,'Design Basis'!$A$13:$A$21,0))="","",INDEX('Design Basis'!$C$13:$C$21,MATCH(C95,'Design Basis'!$A$13:$A$21,0))),""))</f>
        <v>0.04</v>
      </c>
      <c r="AA95" s="31" t="str">
        <f aca="false">IF(U95="","n/a",IF(W95="","CHECK",IF(AND(X95&lt;=1,OR(Y95="",Z95="",Y95&lt;=Z95)),"OK","CHECK")))</f>
        <v>OK</v>
      </c>
      <c r="AB95" s="27" t="n">
        <f aca="false">IF(AN95="","",K95*AM95*PI()/4*AN95^2)</f>
        <v>660.519855417254</v>
      </c>
      <c r="AC95" s="31" t="s">
        <v>613</v>
      </c>
      <c r="AE95" s="32" t="n">
        <f aca="false">INDEX(Equipment!$D$2:$D$137,MATCH(E95,Equipment!$A$2:$A$137,0))</f>
        <v>16</v>
      </c>
      <c r="AF95" s="32" t="n">
        <f aca="false">INDEX(Equipment!$E$2:$E$137,MATCH(E95,Equipment!$A$2:$A$137,0))</f>
        <v>99</v>
      </c>
      <c r="AG95" s="32" t="n">
        <f aca="false">INDEX(Equipment!$F$2:$F$137,MATCH(E95,Equipment!$A$2:$A$137,0))</f>
        <v>0.5</v>
      </c>
      <c r="AH95" s="32" t="n">
        <f aca="false">INDEX(Equipment!$D$2:$D$137,MATCH(G95,Equipment!$A$2:$A$137,0))</f>
        <v>-4</v>
      </c>
      <c r="AI95" s="32" t="n">
        <f aca="false">INDEX(Equipment!$E$2:$E$137,MATCH(G95,Equipment!$A$2:$A$137,0))</f>
        <v>96.65</v>
      </c>
      <c r="AJ95" s="32" t="n">
        <f aca="false">INDEX(Equipment!$F$2:$F$137,MATCH(G95,Equipment!$A$2:$A$137,0))</f>
        <v>1</v>
      </c>
      <c r="AK95" s="32" t="n">
        <f aca="false">IF(INDEX(Raceways!$D$2:$D$18,MATCH(L95,Raceways!$A$2:$A$18,0))="",0,INDEX(Raceways!$D$2:$D$18,MATCH(L95,Raceways!$A$2:$A$18,0)))</f>
        <v>3</v>
      </c>
      <c r="AL95" s="33" t="n">
        <f aca="false">IF(INDEX(Raceways!$I$2:$I$18,MATCH(L95,Raceways!$A$2:$A$18,0))="","",INDEX(Raceways!$I$2:$I$18,MATCH(L95,Raceways!$A$2:$A$18,0)))</f>
        <v>0.8</v>
      </c>
      <c r="AM95" s="26" t="n">
        <f aca="false">INDEX('Cable Types'!$D$2:$D$41,MATCH(I95,'Cable Types'!$A$2:$A$41,0))</f>
        <v>1</v>
      </c>
      <c r="AN95" s="26" t="n">
        <f aca="false">IF(INDEX('Cable Types'!$E$2:$E$41,MATCH(I95,'Cable Types'!$A$2:$A$41,0))="","",INDEX('Cable Types'!$E$2:$E$41,MATCH(I95,'Cable Types'!$A$2:$A$41,0)))</f>
        <v>29</v>
      </c>
      <c r="AO95" s="26" t="n">
        <f aca="false">IF(INDEX('Cable Types'!$F$2:$F$41,MATCH(I95,'Cable Types'!$A$2:$A$41,0))="","",INDEX('Cable Types'!$F$2:$F$41,MATCH(I95,'Cable Types'!$A$2:$A$41,0)))</f>
        <v>158</v>
      </c>
      <c r="AP95" s="33" t="n">
        <f aca="false">IF(INDEX('Cable Types'!$G$2:$G$41,MATCH(I95,'Cable Types'!$A$2:$A$41,0))="","",INDEX('Cable Types'!$G$2:$G$41,MATCH(I95,'Cable Types'!$A$2:$A$41,0)))</f>
        <v>1.15</v>
      </c>
    </row>
    <row r="96" customFormat="false" ht="15" hidden="false" customHeight="false" outlineLevel="0" collapsed="false">
      <c r="A96" s="25" t="s">
        <v>825</v>
      </c>
      <c r="B96" s="25" t="s">
        <v>127</v>
      </c>
      <c r="C96" s="25" t="s">
        <v>68</v>
      </c>
      <c r="D96" s="25" t="s">
        <v>826</v>
      </c>
      <c r="E96" s="25" t="s">
        <v>346</v>
      </c>
      <c r="F96" s="26" t="str">
        <f aca="false">INDEX(Equipment!$B$2:$B$137,MATCH(E96,Equipment!$A$2:$A$137,0))</f>
        <v>RICE auxiliary MCC 400 V</v>
      </c>
      <c r="G96" s="25" t="s">
        <v>391</v>
      </c>
      <c r="H96" s="26" t="str">
        <f aca="false">INDEX(Equipment!$B$2:$B$137,MATCH(G96,Equipment!$A$2:$A$137,0))</f>
        <v>Genset 8 auxiliary panel (radiator fans, pre-lube, jacket heater)</v>
      </c>
      <c r="I96" s="25" t="s">
        <v>519</v>
      </c>
      <c r="J96" s="26" t="str">
        <f aca="false">INDEX('Cable Types'!$B$2:$B$41,MATCH(I96,'Cable Types'!$A$2:$A$41,0))</f>
        <v>0.6/1 kV 4C 35 mm2 Cu/XLPE/SWA/PVC</v>
      </c>
      <c r="K96" s="25" t="n">
        <v>1</v>
      </c>
      <c r="L96" s="25" t="s">
        <v>715</v>
      </c>
      <c r="M96" s="25" t="s">
        <v>638</v>
      </c>
      <c r="N96" s="25"/>
      <c r="O96" s="27" t="n">
        <f aca="false">IF(N96&lt;&gt;"",N96,IF(M96="D",ROUNDUP(SQRT((AH96-AE96)^2+(AI96-AF96)^2+(AJ96-AG96)^2)*(1+'Design Basis'!$C$6),0),ROUNDUP((ABS(AH96-AE96)+ABS(AI96-AF96)+ABS(AK96-AG96)+ABS(AK96-AJ96))*(1+'Design Basis'!$C$4)+2*'Design Basis'!$C$5,0)))</f>
        <v>35</v>
      </c>
      <c r="P96" s="27" t="n">
        <f aca="false">O96*K96*AM96</f>
        <v>35</v>
      </c>
      <c r="Q96" s="28" t="n">
        <v>400</v>
      </c>
      <c r="R96" s="25" t="n">
        <v>3</v>
      </c>
      <c r="S96" s="28" t="n">
        <v>75</v>
      </c>
      <c r="T96" s="29" t="n">
        <v>1</v>
      </c>
      <c r="U96" s="27" t="n">
        <f aca="false">IF(OR(S96="",Q96=""),"",IF(R96=3,S96*1000/(SQRT(3)*Q96*T96),S96*1000/(Q96*T96)))</f>
        <v>108.253175473055</v>
      </c>
      <c r="V96" s="27" t="n">
        <f aca="false">IF(OR(AO96="",AL96=""),"",AO96*AL96)</f>
        <v>126.4</v>
      </c>
      <c r="W96" s="27" t="n">
        <f aca="false">IF(V96="","",V96*K96)</f>
        <v>126.4</v>
      </c>
      <c r="X96" s="30" t="n">
        <f aca="false">IF(OR(U96="",W96=""),"",U96/W96)</f>
        <v>0.85643335026151</v>
      </c>
      <c r="Y96" s="30" t="n">
        <f aca="false">IF(OR(U96="",AP96=""),"",AP96*(U96/K96)*O96/1000/Q96)</f>
        <v>0.0108929757819761</v>
      </c>
      <c r="Z96" s="30" t="n">
        <f aca="false">IF(U96="","",IFERROR(IF(INDEX('Design Basis'!$C$13:$C$21,MATCH(C96,'Design Basis'!$A$13:$A$21,0))="","",INDEX('Design Basis'!$C$13:$C$21,MATCH(C96,'Design Basis'!$A$13:$A$21,0))),""))</f>
        <v>0.04</v>
      </c>
      <c r="AA96" s="31" t="str">
        <f aca="false">IF(U96="","n/a",IF(W96="","CHECK",IF(AND(X96&lt;=1,OR(Y96="",Z96="",Y96&lt;=Z96)),"OK","CHECK")))</f>
        <v>OK</v>
      </c>
      <c r="AB96" s="27" t="n">
        <f aca="false">IF(AN96="","",K96*AM96*PI()/4*AN96^2)</f>
        <v>660.519855417254</v>
      </c>
      <c r="AC96" s="31" t="s">
        <v>613</v>
      </c>
      <c r="AE96" s="32" t="n">
        <f aca="false">INDEX(Equipment!$D$2:$D$137,MATCH(E96,Equipment!$A$2:$A$137,0))</f>
        <v>16</v>
      </c>
      <c r="AF96" s="32" t="n">
        <f aca="false">INDEX(Equipment!$E$2:$E$137,MATCH(E96,Equipment!$A$2:$A$137,0))</f>
        <v>99</v>
      </c>
      <c r="AG96" s="32" t="n">
        <f aca="false">INDEX(Equipment!$F$2:$F$137,MATCH(E96,Equipment!$A$2:$A$137,0))</f>
        <v>0.5</v>
      </c>
      <c r="AH96" s="32" t="n">
        <f aca="false">INDEX(Equipment!$D$2:$D$137,MATCH(G96,Equipment!$A$2:$A$137,0))</f>
        <v>-4</v>
      </c>
      <c r="AI96" s="32" t="n">
        <f aca="false">INDEX(Equipment!$E$2:$E$137,MATCH(G96,Equipment!$A$2:$A$137,0))</f>
        <v>100.85</v>
      </c>
      <c r="AJ96" s="32" t="n">
        <f aca="false">INDEX(Equipment!$F$2:$F$137,MATCH(G96,Equipment!$A$2:$A$137,0))</f>
        <v>1</v>
      </c>
      <c r="AK96" s="32" t="n">
        <f aca="false">IF(INDEX(Raceways!$D$2:$D$18,MATCH(L96,Raceways!$A$2:$A$18,0))="",0,INDEX(Raceways!$D$2:$D$18,MATCH(L96,Raceways!$A$2:$A$18,0)))</f>
        <v>3</v>
      </c>
      <c r="AL96" s="33" t="n">
        <f aca="false">IF(INDEX(Raceways!$I$2:$I$18,MATCH(L96,Raceways!$A$2:$A$18,0))="","",INDEX(Raceways!$I$2:$I$18,MATCH(L96,Raceways!$A$2:$A$18,0)))</f>
        <v>0.8</v>
      </c>
      <c r="AM96" s="26" t="n">
        <f aca="false">INDEX('Cable Types'!$D$2:$D$41,MATCH(I96,'Cable Types'!$A$2:$A$41,0))</f>
        <v>1</v>
      </c>
      <c r="AN96" s="26" t="n">
        <f aca="false">IF(INDEX('Cable Types'!$E$2:$E$41,MATCH(I96,'Cable Types'!$A$2:$A$41,0))="","",INDEX('Cable Types'!$E$2:$E$41,MATCH(I96,'Cable Types'!$A$2:$A$41,0)))</f>
        <v>29</v>
      </c>
      <c r="AO96" s="26" t="n">
        <f aca="false">IF(INDEX('Cable Types'!$F$2:$F$41,MATCH(I96,'Cable Types'!$A$2:$A$41,0))="","",INDEX('Cable Types'!$F$2:$F$41,MATCH(I96,'Cable Types'!$A$2:$A$41,0)))</f>
        <v>158</v>
      </c>
      <c r="AP96" s="33" t="n">
        <f aca="false">IF(INDEX('Cable Types'!$G$2:$G$41,MATCH(I96,'Cable Types'!$A$2:$A$41,0))="","",INDEX('Cable Types'!$G$2:$G$41,MATCH(I96,'Cable Types'!$A$2:$A$41,0)))</f>
        <v>1.15</v>
      </c>
    </row>
    <row r="97" customFormat="false" ht="15" hidden="false" customHeight="false" outlineLevel="0" collapsed="false">
      <c r="A97" s="25" t="s">
        <v>827</v>
      </c>
      <c r="B97" s="25" t="s">
        <v>395</v>
      </c>
      <c r="C97" s="25" t="s">
        <v>68</v>
      </c>
      <c r="D97" s="25" t="s">
        <v>828</v>
      </c>
      <c r="E97" s="25" t="s">
        <v>419</v>
      </c>
      <c r="F97" s="26" t="str">
        <f aca="false">INDEX(Equipment!$B$2:$B$137,MATCH(E97,Equipment!$A$2:$A$137,0))</f>
        <v>Gas station MCC 400 V (shelter)</v>
      </c>
      <c r="G97" s="25" t="s">
        <v>441</v>
      </c>
      <c r="H97" s="26" t="str">
        <f aca="false">INDEX(Equipment!$B$2:$B$137,MATCH(G97,Equipment!$A$2:$A$137,0))</f>
        <v>Fuel gas electric heater 400 kW</v>
      </c>
      <c r="I97" s="25" t="s">
        <v>525</v>
      </c>
      <c r="J97" s="26" t="str">
        <f aca="false">INDEX('Cable Types'!$B$2:$B$41,MATCH(I97,'Cable Types'!$A$2:$A$41,0))</f>
        <v>0.6/1 kV 4C 240 mm2 Cu/XLPE/SWA/PVC</v>
      </c>
      <c r="K97" s="25" t="n">
        <v>2</v>
      </c>
      <c r="L97" s="25" t="s">
        <v>829</v>
      </c>
      <c r="M97" s="25" t="s">
        <v>638</v>
      </c>
      <c r="N97" s="25"/>
      <c r="O97" s="27" t="n">
        <f aca="false">IF(N97&lt;&gt;"",N97,IF(M97="D",ROUNDUP(SQRT((AH97-AE97)^2+(AI97-AF97)^2+(AJ97-AG97)^2)*(1+'Design Basis'!$C$6),0),ROUNDUP((ABS(AH97-AE97)+ABS(AI97-AF97)+ABS(AK97-AG97)+ABS(AK97-AJ97))*(1+'Design Basis'!$C$4)+2*'Design Basis'!$C$5,0)))</f>
        <v>41</v>
      </c>
      <c r="P97" s="27" t="n">
        <f aca="false">O97*K97*AM97</f>
        <v>82</v>
      </c>
      <c r="Q97" s="28" t="n">
        <v>400</v>
      </c>
      <c r="R97" s="25" t="n">
        <v>3</v>
      </c>
      <c r="S97" s="28" t="n">
        <v>400</v>
      </c>
      <c r="T97" s="29" t="n">
        <v>0.98</v>
      </c>
      <c r="U97" s="27" t="n">
        <f aca="false">IF(OR(S97="",Q97=""),"",IF(R97=3,S97*1000/(SQRT(3)*Q97*T97),S97*1000/(Q97*T97)))</f>
        <v>589.132927744516</v>
      </c>
      <c r="V97" s="27" t="n">
        <f aca="false">IF(OR(AO97="",AL97=""),"",AO97*AL97)</f>
        <v>430.4</v>
      </c>
      <c r="W97" s="27" t="n">
        <f aca="false">IF(V97="","",V97*K97)</f>
        <v>860.8</v>
      </c>
      <c r="X97" s="30" t="n">
        <f aca="false">IF(OR(U97="",W97=""),"",U97/W97)</f>
        <v>0.684401635390934</v>
      </c>
      <c r="Y97" s="30" t="n">
        <f aca="false">IF(OR(U97="",AP97=""),"",AP97*(U97/K97)*O97/1000/Q97)</f>
        <v>0.00694440438578848</v>
      </c>
      <c r="Z97" s="30" t="n">
        <f aca="false">IF(U97="","",IFERROR(IF(INDEX('Design Basis'!$C$13:$C$21,MATCH(C97,'Design Basis'!$A$13:$A$21,0))="","",INDEX('Design Basis'!$C$13:$C$21,MATCH(C97,'Design Basis'!$A$13:$A$21,0))),""))</f>
        <v>0.04</v>
      </c>
      <c r="AA97" s="31" t="str">
        <f aca="false">IF(U97="","n/a",IF(W97="","CHECK",IF(AND(X97&lt;=1,OR(Y97="",Z97="",Y97&lt;=Z97)),"OK","CHECK")))</f>
        <v>OK</v>
      </c>
      <c r="AB97" s="27" t="n">
        <f aca="false">IF(AN97="","",K97*AM97*PI()/4*AN97^2)</f>
        <v>6038.14108019958</v>
      </c>
      <c r="AC97" s="31" t="s">
        <v>830</v>
      </c>
      <c r="AE97" s="32" t="n">
        <f aca="false">INDEX(Equipment!$D$2:$D$137,MATCH(E97,Equipment!$A$2:$A$137,0))</f>
        <v>-20</v>
      </c>
      <c r="AF97" s="32" t="n">
        <f aca="false">INDEX(Equipment!$E$2:$E$137,MATCH(E97,Equipment!$A$2:$A$137,0))</f>
        <v>12</v>
      </c>
      <c r="AG97" s="32" t="n">
        <f aca="false">INDEX(Equipment!$F$2:$F$137,MATCH(E97,Equipment!$A$2:$A$137,0))</f>
        <v>0.5</v>
      </c>
      <c r="AH97" s="32" t="n">
        <f aca="false">INDEX(Equipment!$D$2:$D$137,MATCH(G97,Equipment!$A$2:$A$137,0))</f>
        <v>2</v>
      </c>
      <c r="AI97" s="32" t="n">
        <f aca="false">INDEX(Equipment!$E$2:$E$137,MATCH(G97,Equipment!$A$2:$A$137,0))</f>
        <v>7</v>
      </c>
      <c r="AJ97" s="32" t="n">
        <f aca="false">INDEX(Equipment!$F$2:$F$137,MATCH(G97,Equipment!$A$2:$A$137,0))</f>
        <v>1.5</v>
      </c>
      <c r="AK97" s="32" t="n">
        <f aca="false">IF(INDEX(Raceways!$D$2:$D$18,MATCH(L97,Raceways!$A$2:$A$18,0))="",0,INDEX(Raceways!$D$2:$D$18,MATCH(L97,Raceways!$A$2:$A$18,0)))</f>
        <v>3</v>
      </c>
      <c r="AL97" s="33" t="n">
        <f aca="false">IF(INDEX(Raceways!$I$2:$I$18,MATCH(L97,Raceways!$A$2:$A$18,0))="","",INDEX(Raceways!$I$2:$I$18,MATCH(L97,Raceways!$A$2:$A$18,0)))</f>
        <v>0.8</v>
      </c>
      <c r="AM97" s="26" t="n">
        <f aca="false">INDEX('Cable Types'!$D$2:$D$41,MATCH(I97,'Cable Types'!$A$2:$A$41,0))</f>
        <v>1</v>
      </c>
      <c r="AN97" s="26" t="n">
        <f aca="false">IF(INDEX('Cable Types'!$E$2:$E$41,MATCH(I97,'Cable Types'!$A$2:$A$41,0))="","",INDEX('Cable Types'!$E$2:$E$41,MATCH(I97,'Cable Types'!$A$2:$A$41,0)))</f>
        <v>62</v>
      </c>
      <c r="AO97" s="26" t="n">
        <f aca="false">IF(INDEX('Cable Types'!$F$2:$F$41,MATCH(I97,'Cable Types'!$A$2:$A$41,0))="","",INDEX('Cable Types'!$F$2:$F$41,MATCH(I97,'Cable Types'!$A$2:$A$41,0)))</f>
        <v>538</v>
      </c>
      <c r="AP97" s="33" t="n">
        <f aca="false">IF(INDEX('Cable Types'!$G$2:$G$41,MATCH(I97,'Cable Types'!$A$2:$A$41,0))="","",INDEX('Cable Types'!$G$2:$G$41,MATCH(I97,'Cable Types'!$A$2:$A$41,0)))</f>
        <v>0.23</v>
      </c>
    </row>
    <row r="98" customFormat="false" ht="15" hidden="false" customHeight="false" outlineLevel="0" collapsed="false">
      <c r="A98" s="25" t="s">
        <v>831</v>
      </c>
      <c r="B98" s="25" t="s">
        <v>395</v>
      </c>
      <c r="C98" s="25" t="s">
        <v>68</v>
      </c>
      <c r="D98" s="25" t="s">
        <v>832</v>
      </c>
      <c r="E98" s="25" t="s">
        <v>419</v>
      </c>
      <c r="F98" s="26" t="str">
        <f aca="false">INDEX(Equipment!$B$2:$B$137,MATCH(E98,Equipment!$A$2:$A$137,0))</f>
        <v>Gas station MCC 400 V (shelter)</v>
      </c>
      <c r="G98" s="25" t="s">
        <v>397</v>
      </c>
      <c r="H98" s="26" t="str">
        <f aca="false">INDEX(Equipment!$B$2:$B$137,MATCH(G98,Equipment!$A$2:$A$137,0))</f>
        <v>LNG in-tank send-out pump 1, 250 kW 400 V (top penetration)</v>
      </c>
      <c r="I98" s="25" t="s">
        <v>525</v>
      </c>
      <c r="J98" s="26" t="str">
        <f aca="false">INDEX('Cable Types'!$B$2:$B$41,MATCH(I98,'Cable Types'!$A$2:$A$41,0))</f>
        <v>0.6/1 kV 4C 240 mm2 Cu/XLPE/SWA/PVC</v>
      </c>
      <c r="K98" s="25" t="n">
        <v>2</v>
      </c>
      <c r="L98" s="25" t="s">
        <v>829</v>
      </c>
      <c r="M98" s="25" t="s">
        <v>638</v>
      </c>
      <c r="N98" s="25"/>
      <c r="O98" s="27" t="n">
        <f aca="false">IF(N98&lt;&gt;"",N98,IF(M98="D",ROUNDUP(SQRT((AH98-AE98)^2+(AI98-AF98)^2+(AJ98-AG98)^2)*(1+'Design Basis'!$C$6),0),ROUNDUP((ABS(AH98-AE98)+ABS(AI98-AF98)+ABS(AK98-AG98)+ABS(AK98-AJ98))*(1+'Design Basis'!$C$4)+2*'Design Basis'!$C$5,0)))</f>
        <v>79</v>
      </c>
      <c r="P98" s="27" t="n">
        <f aca="false">O98*K98*AM98</f>
        <v>158</v>
      </c>
      <c r="Q98" s="28" t="n">
        <v>400</v>
      </c>
      <c r="R98" s="25" t="n">
        <v>3</v>
      </c>
      <c r="S98" s="28" t="n">
        <v>250</v>
      </c>
      <c r="T98" s="29" t="n">
        <v>0.84</v>
      </c>
      <c r="U98" s="27" t="n">
        <f aca="false">IF(OR(S98="",Q98=""),"",IF(R98=3,S98*1000/(SQRT(3)*Q98*T98),S98*1000/(Q98*T98)))</f>
        <v>429.576093147043</v>
      </c>
      <c r="V98" s="27" t="n">
        <f aca="false">IF(OR(AO98="",AL98=""),"",AO98*AL98)</f>
        <v>430.4</v>
      </c>
      <c r="W98" s="27" t="n">
        <f aca="false">IF(V98="","",V98*K98)</f>
        <v>860.8</v>
      </c>
      <c r="X98" s="30" t="n">
        <f aca="false">IF(OR(U98="",W98=""),"",U98/W98)</f>
        <v>0.499042859139223</v>
      </c>
      <c r="Y98" s="30" t="n">
        <f aca="false">IF(OR(U98="",AP98=""),"",AP98*(U98/K98)*O98/1000/Q98)</f>
        <v>0.00975674701560221</v>
      </c>
      <c r="Z98" s="30" t="n">
        <f aca="false">IF(U98="","",IFERROR(IF(INDEX('Design Basis'!$C$13:$C$21,MATCH(C98,'Design Basis'!$A$13:$A$21,0))="","",INDEX('Design Basis'!$C$13:$C$21,MATCH(C98,'Design Basis'!$A$13:$A$21,0))),""))</f>
        <v>0.04</v>
      </c>
      <c r="AA98" s="31" t="str">
        <f aca="false">IF(U98="","n/a",IF(W98="","CHECK",IF(AND(X98&lt;=1,OR(Y98="",Z98="",Y98&lt;=Z98)),"OK","CHECK")))</f>
        <v>OK</v>
      </c>
      <c r="AB98" s="27" t="n">
        <f aca="false">IF(AN98="","",K98*AM98*PI()/4*AN98^2)</f>
        <v>6038.14108019958</v>
      </c>
      <c r="AC98" s="31" t="s">
        <v>833</v>
      </c>
      <c r="AE98" s="32" t="n">
        <f aca="false">INDEX(Equipment!$D$2:$D$137,MATCH(E98,Equipment!$A$2:$A$137,0))</f>
        <v>-20</v>
      </c>
      <c r="AF98" s="32" t="n">
        <f aca="false">INDEX(Equipment!$E$2:$E$137,MATCH(E98,Equipment!$A$2:$A$137,0))</f>
        <v>12</v>
      </c>
      <c r="AG98" s="32" t="n">
        <f aca="false">INDEX(Equipment!$F$2:$F$137,MATCH(E98,Equipment!$A$2:$A$137,0))</f>
        <v>0.5</v>
      </c>
      <c r="AH98" s="32" t="n">
        <f aca="false">INDEX(Equipment!$D$2:$D$137,MATCH(G98,Equipment!$A$2:$A$137,0))</f>
        <v>-60</v>
      </c>
      <c r="AI98" s="32" t="n">
        <f aca="false">INDEX(Equipment!$E$2:$E$137,MATCH(G98,Equipment!$A$2:$A$137,0))</f>
        <v>10</v>
      </c>
      <c r="AJ98" s="32" t="n">
        <f aca="false">INDEX(Equipment!$F$2:$F$137,MATCH(G98,Equipment!$A$2:$A$137,0))</f>
        <v>24</v>
      </c>
      <c r="AK98" s="32" t="n">
        <f aca="false">IF(INDEX(Raceways!$D$2:$D$18,MATCH(L98,Raceways!$A$2:$A$18,0))="",0,INDEX(Raceways!$D$2:$D$18,MATCH(L98,Raceways!$A$2:$A$18,0)))</f>
        <v>3</v>
      </c>
      <c r="AL98" s="33" t="n">
        <f aca="false">IF(INDEX(Raceways!$I$2:$I$18,MATCH(L98,Raceways!$A$2:$A$18,0))="","",INDEX(Raceways!$I$2:$I$18,MATCH(L98,Raceways!$A$2:$A$18,0)))</f>
        <v>0.8</v>
      </c>
      <c r="AM98" s="26" t="n">
        <f aca="false">INDEX('Cable Types'!$D$2:$D$41,MATCH(I98,'Cable Types'!$A$2:$A$41,0))</f>
        <v>1</v>
      </c>
      <c r="AN98" s="26" t="n">
        <f aca="false">IF(INDEX('Cable Types'!$E$2:$E$41,MATCH(I98,'Cable Types'!$A$2:$A$41,0))="","",INDEX('Cable Types'!$E$2:$E$41,MATCH(I98,'Cable Types'!$A$2:$A$41,0)))</f>
        <v>62</v>
      </c>
      <c r="AO98" s="26" t="n">
        <f aca="false">IF(INDEX('Cable Types'!$F$2:$F$41,MATCH(I98,'Cable Types'!$A$2:$A$41,0))="","",INDEX('Cable Types'!$F$2:$F$41,MATCH(I98,'Cable Types'!$A$2:$A$41,0)))</f>
        <v>538</v>
      </c>
      <c r="AP98" s="33" t="n">
        <f aca="false">IF(INDEX('Cable Types'!$G$2:$G$41,MATCH(I98,'Cable Types'!$A$2:$A$41,0))="","",INDEX('Cable Types'!$G$2:$G$41,MATCH(I98,'Cable Types'!$A$2:$A$41,0)))</f>
        <v>0.23</v>
      </c>
    </row>
    <row r="99" customFormat="false" ht="15" hidden="false" customHeight="false" outlineLevel="0" collapsed="false">
      <c r="A99" s="25" t="s">
        <v>834</v>
      </c>
      <c r="B99" s="25" t="s">
        <v>395</v>
      </c>
      <c r="C99" s="25" t="s">
        <v>68</v>
      </c>
      <c r="D99" s="25" t="s">
        <v>835</v>
      </c>
      <c r="E99" s="25" t="s">
        <v>419</v>
      </c>
      <c r="F99" s="26" t="str">
        <f aca="false">INDEX(Equipment!$B$2:$B$137,MATCH(E99,Equipment!$A$2:$A$137,0))</f>
        <v>Gas station MCC 400 V (shelter)</v>
      </c>
      <c r="G99" s="25" t="s">
        <v>400</v>
      </c>
      <c r="H99" s="26" t="str">
        <f aca="false">INDEX(Equipment!$B$2:$B$137,MATCH(G99,Equipment!$A$2:$A$137,0))</f>
        <v>LNG in-tank send-out pump 2, 250 kW 400 V (top penetration)</v>
      </c>
      <c r="I99" s="25" t="s">
        <v>525</v>
      </c>
      <c r="J99" s="26" t="str">
        <f aca="false">INDEX('Cable Types'!$B$2:$B$41,MATCH(I99,'Cable Types'!$A$2:$A$41,0))</f>
        <v>0.6/1 kV 4C 240 mm2 Cu/XLPE/SWA/PVC</v>
      </c>
      <c r="K99" s="25" t="n">
        <v>2</v>
      </c>
      <c r="L99" s="25" t="s">
        <v>829</v>
      </c>
      <c r="M99" s="25" t="s">
        <v>638</v>
      </c>
      <c r="N99" s="25"/>
      <c r="O99" s="27" t="n">
        <f aca="false">IF(N99&lt;&gt;"",N99,IF(M99="D",ROUNDUP(SQRT((AH99-AE99)^2+(AI99-AF99)^2+(AJ99-AG99)^2)*(1+'Design Basis'!$C$6),0),ROUNDUP((ABS(AH99-AE99)+ABS(AI99-AF99)+ABS(AK99-AG99)+ABS(AK99-AJ99))*(1+'Design Basis'!$C$4)+2*'Design Basis'!$C$5,0)))</f>
        <v>74</v>
      </c>
      <c r="P99" s="27" t="n">
        <f aca="false">O99*K99*AM99</f>
        <v>148</v>
      </c>
      <c r="Q99" s="28" t="n">
        <v>400</v>
      </c>
      <c r="R99" s="25" t="n">
        <v>3</v>
      </c>
      <c r="S99" s="28" t="n">
        <v>250</v>
      </c>
      <c r="T99" s="29" t="n">
        <v>0.84</v>
      </c>
      <c r="U99" s="27" t="n">
        <f aca="false">IF(OR(S99="",Q99=""),"",IF(R99=3,S99*1000/(SQRT(3)*Q99*T99),S99*1000/(Q99*T99)))</f>
        <v>429.576093147043</v>
      </c>
      <c r="V99" s="27" t="n">
        <f aca="false">IF(OR(AO99="",AL99=""),"",AO99*AL99)</f>
        <v>430.4</v>
      </c>
      <c r="W99" s="27" t="n">
        <f aca="false">IF(V99="","",V99*K99)</f>
        <v>860.8</v>
      </c>
      <c r="X99" s="30" t="n">
        <f aca="false">IF(OR(U99="",W99=""),"",U99/W99)</f>
        <v>0.499042859139223</v>
      </c>
      <c r="Y99" s="30" t="n">
        <f aca="false">IF(OR(U99="",AP99=""),"",AP99*(U99/K99)*O99/1000/Q99)</f>
        <v>0.00913923138170334</v>
      </c>
      <c r="Z99" s="30" t="n">
        <f aca="false">IF(U99="","",IFERROR(IF(INDEX('Design Basis'!$C$13:$C$21,MATCH(C99,'Design Basis'!$A$13:$A$21,0))="","",INDEX('Design Basis'!$C$13:$C$21,MATCH(C99,'Design Basis'!$A$13:$A$21,0))),""))</f>
        <v>0.04</v>
      </c>
      <c r="AA99" s="31" t="str">
        <f aca="false">IF(U99="","n/a",IF(W99="","CHECK",IF(AND(X99&lt;=1,OR(Y99="",Z99="",Y99&lt;=Z99)),"OK","CHECK")))</f>
        <v>OK</v>
      </c>
      <c r="AB99" s="27" t="n">
        <f aca="false">IF(AN99="","",K99*AM99*PI()/4*AN99^2)</f>
        <v>6038.14108019958</v>
      </c>
      <c r="AC99" s="31"/>
      <c r="AE99" s="32" t="n">
        <f aca="false">INDEX(Equipment!$D$2:$D$137,MATCH(E99,Equipment!$A$2:$A$137,0))</f>
        <v>-20</v>
      </c>
      <c r="AF99" s="32" t="n">
        <f aca="false">INDEX(Equipment!$E$2:$E$137,MATCH(E99,Equipment!$A$2:$A$137,0))</f>
        <v>12</v>
      </c>
      <c r="AG99" s="32" t="n">
        <f aca="false">INDEX(Equipment!$F$2:$F$137,MATCH(E99,Equipment!$A$2:$A$137,0))</f>
        <v>0.5</v>
      </c>
      <c r="AH99" s="32" t="n">
        <f aca="false">INDEX(Equipment!$D$2:$D$137,MATCH(G99,Equipment!$A$2:$A$137,0))</f>
        <v>-58</v>
      </c>
      <c r="AI99" s="32" t="n">
        <f aca="false">INDEX(Equipment!$E$2:$E$137,MATCH(G99,Equipment!$A$2:$A$137,0))</f>
        <v>12</v>
      </c>
      <c r="AJ99" s="32" t="n">
        <f aca="false">INDEX(Equipment!$F$2:$F$137,MATCH(G99,Equipment!$A$2:$A$137,0))</f>
        <v>24</v>
      </c>
      <c r="AK99" s="32" t="n">
        <f aca="false">IF(INDEX(Raceways!$D$2:$D$18,MATCH(L99,Raceways!$A$2:$A$18,0))="",0,INDEX(Raceways!$D$2:$D$18,MATCH(L99,Raceways!$A$2:$A$18,0)))</f>
        <v>3</v>
      </c>
      <c r="AL99" s="33" t="n">
        <f aca="false">IF(INDEX(Raceways!$I$2:$I$18,MATCH(L99,Raceways!$A$2:$A$18,0))="","",INDEX(Raceways!$I$2:$I$18,MATCH(L99,Raceways!$A$2:$A$18,0)))</f>
        <v>0.8</v>
      </c>
      <c r="AM99" s="26" t="n">
        <f aca="false">INDEX('Cable Types'!$D$2:$D$41,MATCH(I99,'Cable Types'!$A$2:$A$41,0))</f>
        <v>1</v>
      </c>
      <c r="AN99" s="26" t="n">
        <f aca="false">IF(INDEX('Cable Types'!$E$2:$E$41,MATCH(I99,'Cable Types'!$A$2:$A$41,0))="","",INDEX('Cable Types'!$E$2:$E$41,MATCH(I99,'Cable Types'!$A$2:$A$41,0)))</f>
        <v>62</v>
      </c>
      <c r="AO99" s="26" t="n">
        <f aca="false">IF(INDEX('Cable Types'!$F$2:$F$41,MATCH(I99,'Cable Types'!$A$2:$A$41,0))="","",INDEX('Cable Types'!$F$2:$F$41,MATCH(I99,'Cable Types'!$A$2:$A$41,0)))</f>
        <v>538</v>
      </c>
      <c r="AP99" s="33" t="n">
        <f aca="false">IF(INDEX('Cable Types'!$G$2:$G$41,MATCH(I99,'Cable Types'!$A$2:$A$41,0))="","",INDEX('Cable Types'!$G$2:$G$41,MATCH(I99,'Cable Types'!$A$2:$A$41,0)))</f>
        <v>0.23</v>
      </c>
    </row>
    <row r="100" customFormat="false" ht="15" hidden="false" customHeight="false" outlineLevel="0" collapsed="false">
      <c r="A100" s="25" t="s">
        <v>836</v>
      </c>
      <c r="B100" s="25" t="s">
        <v>395</v>
      </c>
      <c r="C100" s="25" t="s">
        <v>68</v>
      </c>
      <c r="D100" s="25" t="s">
        <v>837</v>
      </c>
      <c r="E100" s="25" t="s">
        <v>419</v>
      </c>
      <c r="F100" s="26" t="str">
        <f aca="false">INDEX(Equipment!$B$2:$B$137,MATCH(E100,Equipment!$A$2:$A$137,0))</f>
        <v>Gas station MCC 400 V (shelter)</v>
      </c>
      <c r="G100" s="25" t="s">
        <v>411</v>
      </c>
      <c r="H100" s="26" t="str">
        <f aca="false">INDEX(Equipment!$B$2:$B$137,MATCH(G100,Equipment!$A$2:$A$137,0))</f>
        <v>Heat tracing / lighting panel - LNG area</v>
      </c>
      <c r="I100" s="25" t="s">
        <v>519</v>
      </c>
      <c r="J100" s="26" t="str">
        <f aca="false">INDEX('Cable Types'!$B$2:$B$41,MATCH(I100,'Cable Types'!$A$2:$A$41,0))</f>
        <v>0.6/1 kV 4C 35 mm2 Cu/XLPE/SWA/PVC</v>
      </c>
      <c r="K100" s="25" t="n">
        <v>1</v>
      </c>
      <c r="L100" s="25" t="s">
        <v>829</v>
      </c>
      <c r="M100" s="25" t="s">
        <v>638</v>
      </c>
      <c r="N100" s="25"/>
      <c r="O100" s="27" t="n">
        <f aca="false">IF(N100&lt;&gt;"",N100,IF(M100="D",ROUNDUP(SQRT((AH100-AE100)^2+(AI100-AF100)^2+(AJ100-AG100)^2)*(1+'Design Basis'!$C$6),0),ROUNDUP((ABS(AH100-AE100)+ABS(AI100-AF100)+ABS(AK100-AG100)+ABS(AK100-AJ100))*(1+'Design Basis'!$C$4)+2*'Design Basis'!$C$5,0)))</f>
        <v>45</v>
      </c>
      <c r="P100" s="27" t="n">
        <f aca="false">O100*K100*AM100</f>
        <v>45</v>
      </c>
      <c r="Q100" s="28" t="n">
        <v>400</v>
      </c>
      <c r="R100" s="25" t="n">
        <v>3</v>
      </c>
      <c r="S100" s="28" t="n">
        <v>60</v>
      </c>
      <c r="T100" s="29" t="n">
        <v>1</v>
      </c>
      <c r="U100" s="27" t="n">
        <f aca="false">IF(OR(S100="",Q100=""),"",IF(R100=3,S100*1000/(SQRT(3)*Q100*T100),S100*1000/(Q100*T100)))</f>
        <v>86.6025403784439</v>
      </c>
      <c r="V100" s="27" t="n">
        <f aca="false">IF(OR(AO100="",AL100=""),"",AO100*AL100)</f>
        <v>126.4</v>
      </c>
      <c r="W100" s="27" t="n">
        <f aca="false">IF(V100="","",V100*K100)</f>
        <v>126.4</v>
      </c>
      <c r="X100" s="30" t="n">
        <f aca="false">IF(OR(U100="",W100=""),"",U100/W100)</f>
        <v>0.685146680209208</v>
      </c>
      <c r="Y100" s="30" t="n">
        <f aca="false">IF(OR(U100="",AP100=""),"",AP100*(U100/K100)*O100/1000/Q100)</f>
        <v>0.0112042036614612</v>
      </c>
      <c r="Z100" s="30" t="n">
        <f aca="false">IF(U100="","",IFERROR(IF(INDEX('Design Basis'!$C$13:$C$21,MATCH(C100,'Design Basis'!$A$13:$A$21,0))="","",INDEX('Design Basis'!$C$13:$C$21,MATCH(C100,'Design Basis'!$A$13:$A$21,0))),""))</f>
        <v>0.04</v>
      </c>
      <c r="AA100" s="31" t="str">
        <f aca="false">IF(U100="","n/a",IF(W100="","CHECK",IF(AND(X100&lt;=1,OR(Y100="",Z100="",Y100&lt;=Z100)),"OK","CHECK")))</f>
        <v>OK</v>
      </c>
      <c r="AB100" s="27" t="n">
        <f aca="false">IF(AN100="","",K100*AM100*PI()/4*AN100^2)</f>
        <v>660.519855417254</v>
      </c>
      <c r="AC100" s="31"/>
      <c r="AE100" s="32" t="n">
        <f aca="false">INDEX(Equipment!$D$2:$D$137,MATCH(E100,Equipment!$A$2:$A$137,0))</f>
        <v>-20</v>
      </c>
      <c r="AF100" s="32" t="n">
        <f aca="false">INDEX(Equipment!$E$2:$E$137,MATCH(E100,Equipment!$A$2:$A$137,0))</f>
        <v>12</v>
      </c>
      <c r="AG100" s="32" t="n">
        <f aca="false">INDEX(Equipment!$F$2:$F$137,MATCH(E100,Equipment!$A$2:$A$137,0))</f>
        <v>0.5</v>
      </c>
      <c r="AH100" s="32" t="n">
        <f aca="false">INDEX(Equipment!$D$2:$D$137,MATCH(G100,Equipment!$A$2:$A$137,0))</f>
        <v>-42</v>
      </c>
      <c r="AI100" s="32" t="n">
        <f aca="false">INDEX(Equipment!$E$2:$E$137,MATCH(G100,Equipment!$A$2:$A$137,0))</f>
        <v>4</v>
      </c>
      <c r="AJ100" s="32" t="n">
        <f aca="false">INDEX(Equipment!$F$2:$F$137,MATCH(G100,Equipment!$A$2:$A$137,0))</f>
        <v>0.5</v>
      </c>
      <c r="AK100" s="32" t="n">
        <f aca="false">IF(INDEX(Raceways!$D$2:$D$18,MATCH(L100,Raceways!$A$2:$A$18,0))="",0,INDEX(Raceways!$D$2:$D$18,MATCH(L100,Raceways!$A$2:$A$18,0)))</f>
        <v>3</v>
      </c>
      <c r="AL100" s="33" t="n">
        <f aca="false">IF(INDEX(Raceways!$I$2:$I$18,MATCH(L100,Raceways!$A$2:$A$18,0))="","",INDEX(Raceways!$I$2:$I$18,MATCH(L100,Raceways!$A$2:$A$18,0)))</f>
        <v>0.8</v>
      </c>
      <c r="AM100" s="26" t="n">
        <f aca="false">INDEX('Cable Types'!$D$2:$D$41,MATCH(I100,'Cable Types'!$A$2:$A$41,0))</f>
        <v>1</v>
      </c>
      <c r="AN100" s="26" t="n">
        <f aca="false">IF(INDEX('Cable Types'!$E$2:$E$41,MATCH(I100,'Cable Types'!$A$2:$A$41,0))="","",INDEX('Cable Types'!$E$2:$E$41,MATCH(I100,'Cable Types'!$A$2:$A$41,0)))</f>
        <v>29</v>
      </c>
      <c r="AO100" s="26" t="n">
        <f aca="false">IF(INDEX('Cable Types'!$F$2:$F$41,MATCH(I100,'Cable Types'!$A$2:$A$41,0))="","",INDEX('Cable Types'!$F$2:$F$41,MATCH(I100,'Cable Types'!$A$2:$A$41,0)))</f>
        <v>158</v>
      </c>
      <c r="AP100" s="33" t="n">
        <f aca="false">IF(INDEX('Cable Types'!$G$2:$G$41,MATCH(I100,'Cable Types'!$A$2:$A$41,0))="","",INDEX('Cable Types'!$G$2:$G$41,MATCH(I100,'Cable Types'!$A$2:$A$41,0)))</f>
        <v>1.15</v>
      </c>
    </row>
    <row r="101" customFormat="false" ht="15" hidden="false" customHeight="false" outlineLevel="0" collapsed="false">
      <c r="A101" s="25" t="s">
        <v>838</v>
      </c>
      <c r="B101" s="25" t="s">
        <v>395</v>
      </c>
      <c r="C101" s="25" t="s">
        <v>68</v>
      </c>
      <c r="D101" s="25" t="s">
        <v>839</v>
      </c>
      <c r="E101" s="25" t="s">
        <v>419</v>
      </c>
      <c r="F101" s="26" t="str">
        <f aca="false">INDEX(Equipment!$B$2:$B$137,MATCH(E101,Equipment!$A$2:$A$137,0))</f>
        <v>Gas station MCC 400 V (shelter)</v>
      </c>
      <c r="G101" s="25" t="s">
        <v>413</v>
      </c>
      <c r="H101" s="26" t="str">
        <f aca="false">INDEX(Equipment!$B$2:$B$137,MATCH(G101,Equipment!$A$2:$A$137,0))</f>
        <v>Station inlet ESD valve (electro-hydraulic actuator)</v>
      </c>
      <c r="I101" s="25" t="s">
        <v>514</v>
      </c>
      <c r="J101" s="26" t="str">
        <f aca="false">INDEX('Cable Types'!$B$2:$B$41,MATCH(I101,'Cable Types'!$A$2:$A$41,0))</f>
        <v>0.6/1 kV 4C 6 mm2 Cu/XLPE/SWA/PVC</v>
      </c>
      <c r="K101" s="25" t="n">
        <v>1</v>
      </c>
      <c r="L101" s="25" t="s">
        <v>829</v>
      </c>
      <c r="M101" s="25" t="s">
        <v>638</v>
      </c>
      <c r="N101" s="25"/>
      <c r="O101" s="27" t="n">
        <f aca="false">IF(N101&lt;&gt;"",N101,IF(M101="D",ROUNDUP(SQRT((AH101-AE101)^2+(AI101-AF101)^2+(AJ101-AG101)^2)*(1+'Design Basis'!$C$6),0),ROUNDUP((ABS(AH101-AE101)+ABS(AI101-AF101)+ABS(AK101-AG101)+ABS(AK101-AJ101))*(1+'Design Basis'!$C$4)+2*'Design Basis'!$C$5,0)))</f>
        <v>17</v>
      </c>
      <c r="P101" s="27" t="n">
        <f aca="false">O101*K101*AM101</f>
        <v>17</v>
      </c>
      <c r="Q101" s="28" t="n">
        <v>400</v>
      </c>
      <c r="R101" s="25" t="n">
        <v>3</v>
      </c>
      <c r="S101" s="28" t="n">
        <v>3</v>
      </c>
      <c r="T101" s="29" t="n">
        <v>0.8</v>
      </c>
      <c r="U101" s="27" t="n">
        <f aca="false">IF(OR(S101="",Q101=""),"",IF(R101=3,S101*1000/(SQRT(3)*Q101*T101),S101*1000/(Q101*T101)))</f>
        <v>5.41265877365274</v>
      </c>
      <c r="V101" s="27" t="n">
        <f aca="false">IF(OR(AO101="",AL101=""),"",AO101*AL101)</f>
        <v>43.2</v>
      </c>
      <c r="W101" s="27" t="n">
        <f aca="false">IF(V101="","",V101*K101)</f>
        <v>43.2</v>
      </c>
      <c r="X101" s="30" t="n">
        <f aca="false">IF(OR(U101="",W101=""),"",U101/W101)</f>
        <v>0.125293027167888</v>
      </c>
      <c r="Y101" s="30" t="n">
        <f aca="false">IF(OR(U101="",AP101=""),"",AP101*(U101/K101)*O101/1000/Q101)</f>
        <v>0.00156425838558564</v>
      </c>
      <c r="Z101" s="30" t="n">
        <f aca="false">IF(U101="","",IFERROR(IF(INDEX('Design Basis'!$C$13:$C$21,MATCH(C101,'Design Basis'!$A$13:$A$21,0))="","",INDEX('Design Basis'!$C$13:$C$21,MATCH(C101,'Design Basis'!$A$13:$A$21,0))),""))</f>
        <v>0.04</v>
      </c>
      <c r="AA101" s="31" t="str">
        <f aca="false">IF(U101="","n/a",IF(W101="","CHECK",IF(AND(X101&lt;=1,OR(Y101="",Z101="",Y101&lt;=Z101)),"OK","CHECK")))</f>
        <v>OK</v>
      </c>
      <c r="AB101" s="27" t="n">
        <f aca="false">IF(AN101="","",K101*AM101*PI()/4*AN101^2)</f>
        <v>254.469004940773</v>
      </c>
      <c r="AC101" s="31"/>
      <c r="AE101" s="32" t="n">
        <f aca="false">INDEX(Equipment!$D$2:$D$137,MATCH(E101,Equipment!$A$2:$A$137,0))</f>
        <v>-20</v>
      </c>
      <c r="AF101" s="32" t="n">
        <f aca="false">INDEX(Equipment!$E$2:$E$137,MATCH(E101,Equipment!$A$2:$A$137,0))</f>
        <v>12</v>
      </c>
      <c r="AG101" s="32" t="n">
        <f aca="false">INDEX(Equipment!$F$2:$F$137,MATCH(E101,Equipment!$A$2:$A$137,0))</f>
        <v>0.5</v>
      </c>
      <c r="AH101" s="32" t="n">
        <f aca="false">INDEX(Equipment!$D$2:$D$137,MATCH(G101,Equipment!$A$2:$A$137,0))</f>
        <v>-24</v>
      </c>
      <c r="AI101" s="32" t="n">
        <f aca="false">INDEX(Equipment!$E$2:$E$137,MATCH(G101,Equipment!$A$2:$A$137,0))</f>
        <v>10</v>
      </c>
      <c r="AJ101" s="32" t="n">
        <f aca="false">INDEX(Equipment!$F$2:$F$137,MATCH(G101,Equipment!$A$2:$A$137,0))</f>
        <v>4</v>
      </c>
      <c r="AK101" s="32" t="n">
        <f aca="false">IF(INDEX(Raceways!$D$2:$D$18,MATCH(L101,Raceways!$A$2:$A$18,0))="",0,INDEX(Raceways!$D$2:$D$18,MATCH(L101,Raceways!$A$2:$A$18,0)))</f>
        <v>3</v>
      </c>
      <c r="AL101" s="33" t="n">
        <f aca="false">IF(INDEX(Raceways!$I$2:$I$18,MATCH(L101,Raceways!$A$2:$A$18,0))="","",INDEX(Raceways!$I$2:$I$18,MATCH(L101,Raceways!$A$2:$A$18,0)))</f>
        <v>0.8</v>
      </c>
      <c r="AM101" s="26" t="n">
        <f aca="false">INDEX('Cable Types'!$D$2:$D$41,MATCH(I101,'Cable Types'!$A$2:$A$41,0))</f>
        <v>1</v>
      </c>
      <c r="AN101" s="26" t="n">
        <f aca="false">IF(INDEX('Cable Types'!$E$2:$E$41,MATCH(I101,'Cable Types'!$A$2:$A$41,0))="","",INDEX('Cable Types'!$E$2:$E$41,MATCH(I101,'Cable Types'!$A$2:$A$41,0)))</f>
        <v>18</v>
      </c>
      <c r="AO101" s="26" t="n">
        <f aca="false">IF(INDEX('Cable Types'!$F$2:$F$41,MATCH(I101,'Cable Types'!$A$2:$A$41,0))="","",INDEX('Cable Types'!$F$2:$F$41,MATCH(I101,'Cable Types'!$A$2:$A$41,0)))</f>
        <v>54</v>
      </c>
      <c r="AP101" s="33" t="n">
        <f aca="false">IF(INDEX('Cable Types'!$G$2:$G$41,MATCH(I101,'Cable Types'!$A$2:$A$41,0))="","",INDEX('Cable Types'!$G$2:$G$41,MATCH(I101,'Cable Types'!$A$2:$A$41,0)))</f>
        <v>6.8</v>
      </c>
    </row>
    <row r="102" customFormat="false" ht="15" hidden="false" customHeight="false" outlineLevel="0" collapsed="false">
      <c r="A102" s="25" t="s">
        <v>840</v>
      </c>
      <c r="B102" s="25" t="s">
        <v>395</v>
      </c>
      <c r="C102" s="25" t="s">
        <v>68</v>
      </c>
      <c r="D102" s="25" t="s">
        <v>841</v>
      </c>
      <c r="E102" s="25" t="s">
        <v>419</v>
      </c>
      <c r="F102" s="26" t="str">
        <f aca="false">INDEX(Equipment!$B$2:$B$137,MATCH(E102,Equipment!$A$2:$A$137,0))</f>
        <v>Gas station MCC 400 V (shelter)</v>
      </c>
      <c r="G102" s="25" t="s">
        <v>427</v>
      </c>
      <c r="H102" s="26" t="str">
        <f aca="false">INDEX(Equipment!$B$2:$B$137,MATCH(G102,Equipment!$A$2:$A$137,0))</f>
        <v>Gas chromatograph (shelter)</v>
      </c>
      <c r="I102" s="25" t="s">
        <v>529</v>
      </c>
      <c r="J102" s="26" t="str">
        <f aca="false">INDEX('Cable Types'!$B$2:$B$41,MATCH(I102,'Cable Types'!$A$2:$A$41,0))</f>
        <v>0.6/1 kV 2C 10 mm2 Cu/XLPE/SWA/PVC</v>
      </c>
      <c r="K102" s="25" t="n">
        <v>1</v>
      </c>
      <c r="L102" s="25" t="s">
        <v>649</v>
      </c>
      <c r="M102" s="25" t="s">
        <v>638</v>
      </c>
      <c r="N102" s="25"/>
      <c r="O102" s="27" t="n">
        <f aca="false">IF(N102&lt;&gt;"",N102,IF(M102="D",ROUNDUP(SQRT((AH102-AE102)^2+(AI102-AF102)^2+(AJ102-AG102)^2)*(1+'Design Basis'!$C$6),0),ROUNDUP((ABS(AH102-AE102)+ABS(AI102-AF102)+ABS(AK102-AG102)+ABS(AK102-AJ102))*(1+'Design Basis'!$C$4)+2*'Design Basis'!$C$5,0)))</f>
        <v>10</v>
      </c>
      <c r="P102" s="27" t="n">
        <f aca="false">O102*K102*AM102</f>
        <v>10</v>
      </c>
      <c r="Q102" s="28" t="n">
        <v>230</v>
      </c>
      <c r="R102" s="25" t="n">
        <v>1</v>
      </c>
      <c r="S102" s="28" t="n">
        <v>2</v>
      </c>
      <c r="T102" s="29" t="n">
        <v>1</v>
      </c>
      <c r="U102" s="27" t="n">
        <f aca="false">IF(OR(S102="",Q102=""),"",IF(R102=3,S102*1000/(SQRT(3)*Q102*T102),S102*1000/(Q102*T102)))</f>
        <v>8.69565217391304</v>
      </c>
      <c r="V102" s="27" t="n">
        <f aca="false">IF(OR(AO102="",AL102=""),"",AO102*AL102)</f>
        <v>68</v>
      </c>
      <c r="W102" s="27" t="n">
        <f aca="false">IF(V102="","",V102*K102)</f>
        <v>68</v>
      </c>
      <c r="X102" s="30" t="n">
        <f aca="false">IF(OR(U102="",W102=""),"",U102/W102)</f>
        <v>0.127877237851662</v>
      </c>
      <c r="Y102" s="30" t="n">
        <f aca="false">IF(OR(U102="",AP102=""),"",AP102*(U102/K102)*O102/1000/Q102)</f>
        <v>0.00173913043478261</v>
      </c>
      <c r="Z102" s="30" t="n">
        <f aca="false">IF(U102="","",IFERROR(IF(INDEX('Design Basis'!$C$13:$C$21,MATCH(C102,'Design Basis'!$A$13:$A$21,0))="","",INDEX('Design Basis'!$C$13:$C$21,MATCH(C102,'Design Basis'!$A$13:$A$21,0))),""))</f>
        <v>0.04</v>
      </c>
      <c r="AA102" s="31" t="str">
        <f aca="false">IF(U102="","n/a",IF(W102="","CHECK",IF(AND(X102&lt;=1,OR(Y102="",Z102="",Y102&lt;=Z102)),"OK","CHECK")))</f>
        <v>OK</v>
      </c>
      <c r="AB102" s="27" t="n">
        <f aca="false">IF(AN102="","",K102*AM102*PI()/4*AN102^2)</f>
        <v>226.980069221863</v>
      </c>
      <c r="AC102" s="31"/>
      <c r="AE102" s="32" t="n">
        <f aca="false">INDEX(Equipment!$D$2:$D$137,MATCH(E102,Equipment!$A$2:$A$137,0))</f>
        <v>-20</v>
      </c>
      <c r="AF102" s="32" t="n">
        <f aca="false">INDEX(Equipment!$E$2:$E$137,MATCH(E102,Equipment!$A$2:$A$137,0))</f>
        <v>12</v>
      </c>
      <c r="AG102" s="32" t="n">
        <f aca="false">INDEX(Equipment!$F$2:$F$137,MATCH(E102,Equipment!$A$2:$A$137,0))</f>
        <v>0.5</v>
      </c>
      <c r="AH102" s="32" t="n">
        <f aca="false">INDEX(Equipment!$D$2:$D$137,MATCH(G102,Equipment!$A$2:$A$137,0))</f>
        <v>-22</v>
      </c>
      <c r="AI102" s="32" t="n">
        <f aca="false">INDEX(Equipment!$E$2:$E$137,MATCH(G102,Equipment!$A$2:$A$137,0))</f>
        <v>12</v>
      </c>
      <c r="AJ102" s="32" t="n">
        <f aca="false">INDEX(Equipment!$F$2:$F$137,MATCH(G102,Equipment!$A$2:$A$137,0))</f>
        <v>0.5</v>
      </c>
      <c r="AK102" s="32" t="n">
        <f aca="false">IF(INDEX(Raceways!$D$2:$D$18,MATCH(L102,Raceways!$A$2:$A$18,0))="",0,INDEX(Raceways!$D$2:$D$18,MATCH(L102,Raceways!$A$2:$A$18,0)))</f>
        <v>1</v>
      </c>
      <c r="AL102" s="33" t="n">
        <f aca="false">IF(INDEX(Raceways!$I$2:$I$18,MATCH(L102,Raceways!$A$2:$A$18,0))="","",INDEX(Raceways!$I$2:$I$18,MATCH(L102,Raceways!$A$2:$A$18,0)))</f>
        <v>0.8</v>
      </c>
      <c r="AM102" s="26" t="n">
        <f aca="false">INDEX('Cable Types'!$D$2:$D$41,MATCH(I102,'Cable Types'!$A$2:$A$41,0))</f>
        <v>1</v>
      </c>
      <c r="AN102" s="26" t="n">
        <f aca="false">IF(INDEX('Cable Types'!$E$2:$E$41,MATCH(I102,'Cable Types'!$A$2:$A$41,0))="","",INDEX('Cable Types'!$E$2:$E$41,MATCH(I102,'Cable Types'!$A$2:$A$41,0)))</f>
        <v>17</v>
      </c>
      <c r="AO102" s="26" t="n">
        <f aca="false">IF(INDEX('Cable Types'!$F$2:$F$41,MATCH(I102,'Cable Types'!$A$2:$A$41,0))="","",INDEX('Cable Types'!$F$2:$F$41,MATCH(I102,'Cable Types'!$A$2:$A$41,0)))</f>
        <v>85</v>
      </c>
      <c r="AP102" s="33" t="n">
        <f aca="false">IF(INDEX('Cable Types'!$G$2:$G$41,MATCH(I102,'Cable Types'!$A$2:$A$41,0))="","",INDEX('Cable Types'!$G$2:$G$41,MATCH(I102,'Cable Types'!$A$2:$A$41,0)))</f>
        <v>4.6</v>
      </c>
    </row>
    <row r="103" customFormat="false" ht="15" hidden="false" customHeight="false" outlineLevel="0" collapsed="false">
      <c r="A103" s="25" t="s">
        <v>842</v>
      </c>
      <c r="B103" s="25" t="s">
        <v>133</v>
      </c>
      <c r="C103" s="25" t="s">
        <v>71</v>
      </c>
      <c r="D103" s="25" t="s">
        <v>843</v>
      </c>
      <c r="E103" s="25" t="s">
        <v>462</v>
      </c>
      <c r="F103" s="26" t="str">
        <f aca="false">INDEX(Equipment!$B$2:$B$137,MATCH(E103,Equipment!$A$2:$A$137,0))</f>
        <v>125 V DC battery and chargers</v>
      </c>
      <c r="G103" s="25" t="s">
        <v>171</v>
      </c>
      <c r="H103" s="26" t="str">
        <f aca="false">INDEX(Equipment!$B$2:$B$137,MATCH(G103,Equipment!$A$2:$A$137,0))</f>
        <v>GT DC emergency lube oil pump motor 15 kW</v>
      </c>
      <c r="I103" s="25" t="s">
        <v>534</v>
      </c>
      <c r="J103" s="26" t="str">
        <f aca="false">INDEX('Cable Types'!$B$2:$B$41,MATCH(I103,'Cable Types'!$A$2:$A$41,0))</f>
        <v>0.6/1 kV 1C 240 mm2 Cu/XLPE/AWA/PVC (+/- pair)</v>
      </c>
      <c r="K103" s="25" t="n">
        <v>1</v>
      </c>
      <c r="L103" s="25" t="s">
        <v>665</v>
      </c>
      <c r="M103" s="25" t="s">
        <v>638</v>
      </c>
      <c r="N103" s="25"/>
      <c r="O103" s="27" t="n">
        <f aca="false">IF(N103&lt;&gt;"",N103,IF(M103="D",ROUNDUP(SQRT((AH103-AE103)^2+(AI103-AF103)^2+(AJ103-AG103)^2)*(1+'Design Basis'!$C$6),0),ROUNDUP((ABS(AH103-AE103)+ABS(AI103-AF103)+ABS(AK103-AG103)+ABS(AK103-AJ103))*(1+'Design Basis'!$C$4)+2*'Design Basis'!$C$5,0)))</f>
        <v>103</v>
      </c>
      <c r="P103" s="27" t="n">
        <f aca="false">O103*K103*AM103</f>
        <v>206</v>
      </c>
      <c r="Q103" s="28" t="n">
        <v>125</v>
      </c>
      <c r="R103" s="25" t="s">
        <v>844</v>
      </c>
      <c r="S103" s="28" t="n">
        <v>15</v>
      </c>
      <c r="T103" s="29" t="n">
        <v>1</v>
      </c>
      <c r="U103" s="27" t="n">
        <f aca="false">IF(OR(S103="",Q103=""),"",IF(R103=3,S103*1000/(SQRT(3)*Q103*T103),S103*1000/(Q103*T103)))</f>
        <v>120</v>
      </c>
      <c r="V103" s="27" t="n">
        <f aca="false">IF(OR(AO103="",AL103=""),"",AO103*AL103)</f>
        <v>480</v>
      </c>
      <c r="W103" s="27" t="n">
        <f aca="false">IF(V103="","",V103*K103)</f>
        <v>480</v>
      </c>
      <c r="X103" s="30" t="n">
        <f aca="false">IF(OR(U103="",W103=""),"",U103/W103)</f>
        <v>0.25</v>
      </c>
      <c r="Y103" s="30" t="n">
        <f aca="false">IF(OR(U103="",AP103=""),"",AP103*(U103/K103)*O103/1000/Q103)</f>
        <v>0.0187872</v>
      </c>
      <c r="Z103" s="30" t="n">
        <f aca="false">IF(U103="","",IFERROR(IF(INDEX('Design Basis'!$C$13:$C$21,MATCH(C103,'Design Basis'!$A$13:$A$21,0))="","",INDEX('Design Basis'!$C$13:$C$21,MATCH(C103,'Design Basis'!$A$13:$A$21,0))),""))</f>
        <v>0.03</v>
      </c>
      <c r="AA103" s="31" t="str">
        <f aca="false">IF(U103="","n/a",IF(W103="","CHECK",IF(AND(X103&lt;=1,OR(Y103="",Z103="",Y103&lt;=Z103)),"OK","CHECK")))</f>
        <v>OK</v>
      </c>
      <c r="AB103" s="27" t="n">
        <f aca="false">IF(AN103="","",K103*AM103*PI()/4*AN103^2)</f>
        <v>1413.71669411541</v>
      </c>
      <c r="AC103" s="31" t="s">
        <v>845</v>
      </c>
      <c r="AE103" s="32" t="n">
        <f aca="false">INDEX(Equipment!$D$2:$D$137,MATCH(E103,Equipment!$A$2:$A$137,0))</f>
        <v>42</v>
      </c>
      <c r="AF103" s="32" t="n">
        <f aca="false">INDEX(Equipment!$E$2:$E$137,MATCH(E103,Equipment!$A$2:$A$137,0))</f>
        <v>55</v>
      </c>
      <c r="AG103" s="32" t="n">
        <f aca="false">INDEX(Equipment!$F$2:$F$137,MATCH(E103,Equipment!$A$2:$A$137,0))</f>
        <v>0.5</v>
      </c>
      <c r="AH103" s="32" t="n">
        <f aca="false">INDEX(Equipment!$D$2:$D$137,MATCH(G103,Equipment!$A$2:$A$137,0))</f>
        <v>61</v>
      </c>
      <c r="AI103" s="32" t="n">
        <f aca="false">INDEX(Equipment!$E$2:$E$137,MATCH(G103,Equipment!$A$2:$A$137,0))</f>
        <v>-5</v>
      </c>
      <c r="AJ103" s="32" t="n">
        <f aca="false">INDEX(Equipment!$F$2:$F$137,MATCH(G103,Equipment!$A$2:$A$137,0))</f>
        <v>0.5</v>
      </c>
      <c r="AK103" s="32" t="n">
        <f aca="false">IF(INDEX(Raceways!$D$2:$D$18,MATCH(L103,Raceways!$A$2:$A$18,0))="",0,INDEX(Raceways!$D$2:$D$18,MATCH(L103,Raceways!$A$2:$A$18,0)))</f>
        <v>5</v>
      </c>
      <c r="AL103" s="33" t="n">
        <f aca="false">IF(INDEX(Raceways!$I$2:$I$18,MATCH(L103,Raceways!$A$2:$A$18,0))="","",INDEX(Raceways!$I$2:$I$18,MATCH(L103,Raceways!$A$2:$A$18,0)))</f>
        <v>0.8</v>
      </c>
      <c r="AM103" s="26" t="n">
        <f aca="false">INDEX('Cable Types'!$D$2:$D$41,MATCH(I103,'Cable Types'!$A$2:$A$41,0))</f>
        <v>2</v>
      </c>
      <c r="AN103" s="26" t="n">
        <f aca="false">IF(INDEX('Cable Types'!$E$2:$E$41,MATCH(I103,'Cable Types'!$A$2:$A$41,0))="","",INDEX('Cable Types'!$E$2:$E$41,MATCH(I103,'Cable Types'!$A$2:$A$41,0)))</f>
        <v>30</v>
      </c>
      <c r="AO103" s="26" t="n">
        <f aca="false">IF(INDEX('Cable Types'!$F$2:$F$41,MATCH(I103,'Cable Types'!$A$2:$A$41,0))="","",INDEX('Cable Types'!$F$2:$F$41,MATCH(I103,'Cable Types'!$A$2:$A$41,0)))</f>
        <v>600</v>
      </c>
      <c r="AP103" s="33" t="n">
        <f aca="false">IF(INDEX('Cable Types'!$G$2:$G$41,MATCH(I103,'Cable Types'!$A$2:$A$41,0))="","",INDEX('Cable Types'!$G$2:$G$41,MATCH(I103,'Cable Types'!$A$2:$A$41,0)))</f>
        <v>0.19</v>
      </c>
    </row>
    <row r="104" customFormat="false" ht="15" hidden="false" customHeight="false" outlineLevel="0" collapsed="false">
      <c r="A104" s="25" t="s">
        <v>846</v>
      </c>
      <c r="B104" s="25" t="s">
        <v>133</v>
      </c>
      <c r="C104" s="25" t="s">
        <v>71</v>
      </c>
      <c r="D104" s="25" t="s">
        <v>847</v>
      </c>
      <c r="E104" s="25" t="s">
        <v>462</v>
      </c>
      <c r="F104" s="26" t="str">
        <f aca="false">INDEX(Equipment!$B$2:$B$137,MATCH(E104,Equipment!$A$2:$A$137,0))</f>
        <v>125 V DC battery and chargers</v>
      </c>
      <c r="G104" s="25" t="s">
        <v>217</v>
      </c>
      <c r="H104" s="26" t="str">
        <f aca="false">INDEX(Equipment!$B$2:$B$137,MATCH(G104,Equipment!$A$2:$A$137,0))</f>
        <v>ST DC emergency lube oil pump motor 22 kW</v>
      </c>
      <c r="I104" s="25" t="s">
        <v>534</v>
      </c>
      <c r="J104" s="26" t="str">
        <f aca="false">INDEX('Cable Types'!$B$2:$B$41,MATCH(I104,'Cable Types'!$A$2:$A$41,0))</f>
        <v>0.6/1 kV 1C 240 mm2 Cu/XLPE/AWA/PVC (+/- pair)</v>
      </c>
      <c r="K104" s="25" t="n">
        <v>1</v>
      </c>
      <c r="L104" s="25" t="s">
        <v>659</v>
      </c>
      <c r="M104" s="25" t="s">
        <v>638</v>
      </c>
      <c r="N104" s="25"/>
      <c r="O104" s="27" t="n">
        <f aca="false">IF(N104&lt;&gt;"",N104,IF(M104="D",ROUNDUP(SQRT((AH104-AE104)^2+(AI104-AF104)^2+(AJ104-AG104)^2)*(1+'Design Basis'!$C$6),0),ROUNDUP((ABS(AH104-AE104)+ABS(AI104-AF104)+ABS(AK104-AG104)+ABS(AK104-AJ104))*(1+'Design Basis'!$C$4)+2*'Design Basis'!$C$5,0)))</f>
        <v>77</v>
      </c>
      <c r="P104" s="27" t="n">
        <f aca="false">O104*K104*AM104</f>
        <v>154</v>
      </c>
      <c r="Q104" s="28" t="n">
        <v>125</v>
      </c>
      <c r="R104" s="25" t="s">
        <v>844</v>
      </c>
      <c r="S104" s="28" t="n">
        <v>22</v>
      </c>
      <c r="T104" s="29" t="n">
        <v>1</v>
      </c>
      <c r="U104" s="27" t="n">
        <f aca="false">IF(OR(S104="",Q104=""),"",IF(R104=3,S104*1000/(SQRT(3)*Q104*T104),S104*1000/(Q104*T104)))</f>
        <v>176</v>
      </c>
      <c r="V104" s="27" t="n">
        <f aca="false">IF(OR(AO104="",AL104=""),"",AO104*AL104)</f>
        <v>480</v>
      </c>
      <c r="W104" s="27" t="n">
        <f aca="false">IF(V104="","",V104*K104)</f>
        <v>480</v>
      </c>
      <c r="X104" s="30" t="n">
        <f aca="false">IF(OR(U104="",W104=""),"",U104/W104)</f>
        <v>0.366666666666667</v>
      </c>
      <c r="Y104" s="30" t="n">
        <f aca="false">IF(OR(U104="",AP104=""),"",AP104*(U104/K104)*O104/1000/Q104)</f>
        <v>0.02059904</v>
      </c>
      <c r="Z104" s="30" t="n">
        <f aca="false">IF(U104="","",IFERROR(IF(INDEX('Design Basis'!$C$13:$C$21,MATCH(C104,'Design Basis'!$A$13:$A$21,0))="","",INDEX('Design Basis'!$C$13:$C$21,MATCH(C104,'Design Basis'!$A$13:$A$21,0))),""))</f>
        <v>0.03</v>
      </c>
      <c r="AA104" s="31" t="str">
        <f aca="false">IF(U104="","n/a",IF(W104="","CHECK",IF(AND(X104&lt;=1,OR(Y104="",Z104="",Y104&lt;=Z104)),"OK","CHECK")))</f>
        <v>OK</v>
      </c>
      <c r="AB104" s="27" t="n">
        <f aca="false">IF(AN104="","",K104*AM104*PI()/4*AN104^2)</f>
        <v>1413.71669411541</v>
      </c>
      <c r="AC104" s="31" t="s">
        <v>845</v>
      </c>
      <c r="AE104" s="32" t="n">
        <f aca="false">INDEX(Equipment!$D$2:$D$137,MATCH(E104,Equipment!$A$2:$A$137,0))</f>
        <v>42</v>
      </c>
      <c r="AF104" s="32" t="n">
        <f aca="false">INDEX(Equipment!$E$2:$E$137,MATCH(E104,Equipment!$A$2:$A$137,0))</f>
        <v>55</v>
      </c>
      <c r="AG104" s="32" t="n">
        <f aca="false">INDEX(Equipment!$F$2:$F$137,MATCH(E104,Equipment!$A$2:$A$137,0))</f>
        <v>0.5</v>
      </c>
      <c r="AH104" s="32" t="n">
        <f aca="false">INDEX(Equipment!$D$2:$D$137,MATCH(G104,Equipment!$A$2:$A$137,0))</f>
        <v>72</v>
      </c>
      <c r="AI104" s="32" t="n">
        <f aca="false">INDEX(Equipment!$E$2:$E$137,MATCH(G104,Equipment!$A$2:$A$137,0))</f>
        <v>30</v>
      </c>
      <c r="AJ104" s="32" t="n">
        <f aca="false">INDEX(Equipment!$F$2:$F$137,MATCH(G104,Equipment!$A$2:$A$137,0))</f>
        <v>0.5</v>
      </c>
      <c r="AK104" s="32" t="n">
        <f aca="false">IF(INDEX(Raceways!$D$2:$D$18,MATCH(L104,Raceways!$A$2:$A$18,0))="",0,INDEX(Raceways!$D$2:$D$18,MATCH(L104,Raceways!$A$2:$A$18,0)))</f>
        <v>5</v>
      </c>
      <c r="AL104" s="33" t="n">
        <f aca="false">IF(INDEX(Raceways!$I$2:$I$18,MATCH(L104,Raceways!$A$2:$A$18,0))="","",INDEX(Raceways!$I$2:$I$18,MATCH(L104,Raceways!$A$2:$A$18,0)))</f>
        <v>0.8</v>
      </c>
      <c r="AM104" s="26" t="n">
        <f aca="false">INDEX('Cable Types'!$D$2:$D$41,MATCH(I104,'Cable Types'!$A$2:$A$41,0))</f>
        <v>2</v>
      </c>
      <c r="AN104" s="26" t="n">
        <f aca="false">IF(INDEX('Cable Types'!$E$2:$E$41,MATCH(I104,'Cable Types'!$A$2:$A$41,0))="","",INDEX('Cable Types'!$E$2:$E$41,MATCH(I104,'Cable Types'!$A$2:$A$41,0)))</f>
        <v>30</v>
      </c>
      <c r="AO104" s="26" t="n">
        <f aca="false">IF(INDEX('Cable Types'!$F$2:$F$41,MATCH(I104,'Cable Types'!$A$2:$A$41,0))="","",INDEX('Cable Types'!$F$2:$F$41,MATCH(I104,'Cable Types'!$A$2:$A$41,0)))</f>
        <v>600</v>
      </c>
      <c r="AP104" s="33" t="n">
        <f aca="false">IF(INDEX('Cable Types'!$G$2:$G$41,MATCH(I104,'Cable Types'!$A$2:$A$41,0))="","",INDEX('Cable Types'!$G$2:$G$41,MATCH(I104,'Cable Types'!$A$2:$A$41,0)))</f>
        <v>0.19</v>
      </c>
    </row>
    <row r="105" customFormat="false" ht="15" hidden="false" customHeight="false" outlineLevel="0" collapsed="false">
      <c r="A105" s="25" t="s">
        <v>848</v>
      </c>
      <c r="B105" s="25" t="s">
        <v>451</v>
      </c>
      <c r="C105" s="25" t="s">
        <v>71</v>
      </c>
      <c r="D105" s="25" t="s">
        <v>849</v>
      </c>
      <c r="E105" s="25" t="s">
        <v>462</v>
      </c>
      <c r="F105" s="26" t="str">
        <f aca="false">INDEX(Equipment!$B$2:$B$137,MATCH(E105,Equipment!$A$2:$A$137,0))</f>
        <v>125 V DC battery and chargers</v>
      </c>
      <c r="G105" s="25" t="s">
        <v>449</v>
      </c>
      <c r="H105" s="26" t="str">
        <f aca="false">INDEX(Equipment!$B$2:$B$137,MATCH(G105,Equipment!$A$2:$A$137,0))</f>
        <v>Main 11 kV switchboard (main electrical building)</v>
      </c>
      <c r="I105" s="25" t="s">
        <v>529</v>
      </c>
      <c r="J105" s="26" t="str">
        <f aca="false">INDEX('Cable Types'!$B$2:$B$41,MATCH(I105,'Cable Types'!$A$2:$A$41,0))</f>
        <v>0.6/1 kV 2C 10 mm2 Cu/XLPE/SWA/PVC</v>
      </c>
      <c r="K105" s="25" t="n">
        <v>1</v>
      </c>
      <c r="L105" s="25" t="s">
        <v>649</v>
      </c>
      <c r="M105" s="25" t="s">
        <v>638</v>
      </c>
      <c r="N105" s="25"/>
      <c r="O105" s="27" t="n">
        <f aca="false">IF(N105&lt;&gt;"",N105,IF(M105="D",ROUNDUP(SQRT((AH105-AE105)^2+(AI105-AF105)^2+(AJ105-AG105)^2)*(1+'Design Basis'!$C$6),0),ROUNDUP((ABS(AH105-AE105)+ABS(AI105-AF105)+ABS(AK105-AG105)+ABS(AK105-AJ105))*(1+'Design Basis'!$C$4)+2*'Design Basis'!$C$5,0)))</f>
        <v>17</v>
      </c>
      <c r="P105" s="27" t="n">
        <f aca="false">O105*K105*AM105</f>
        <v>17</v>
      </c>
      <c r="Q105" s="28" t="n">
        <v>125</v>
      </c>
      <c r="R105" s="25" t="s">
        <v>844</v>
      </c>
      <c r="S105" s="28" t="n">
        <v>2</v>
      </c>
      <c r="T105" s="29" t="n">
        <v>1</v>
      </c>
      <c r="U105" s="27" t="n">
        <f aca="false">IF(OR(S105="",Q105=""),"",IF(R105=3,S105*1000/(SQRT(3)*Q105*T105),S105*1000/(Q105*T105)))</f>
        <v>16</v>
      </c>
      <c r="V105" s="27" t="n">
        <f aca="false">IF(OR(AO105="",AL105=""),"",AO105*AL105)</f>
        <v>68</v>
      </c>
      <c r="W105" s="27" t="n">
        <f aca="false">IF(V105="","",V105*K105)</f>
        <v>68</v>
      </c>
      <c r="X105" s="30" t="n">
        <f aca="false">IF(OR(U105="",W105=""),"",U105/W105)</f>
        <v>0.235294117647059</v>
      </c>
      <c r="Y105" s="30" t="n">
        <f aca="false">IF(OR(U105="",AP105=""),"",AP105*(U105/K105)*O105/1000/Q105)</f>
        <v>0.0100096</v>
      </c>
      <c r="Z105" s="30" t="n">
        <f aca="false">IF(U105="","",IFERROR(IF(INDEX('Design Basis'!$C$13:$C$21,MATCH(C105,'Design Basis'!$A$13:$A$21,0))="","",INDEX('Design Basis'!$C$13:$C$21,MATCH(C105,'Design Basis'!$A$13:$A$21,0))),""))</f>
        <v>0.03</v>
      </c>
      <c r="AA105" s="31" t="str">
        <f aca="false">IF(U105="","n/a",IF(W105="","CHECK",IF(AND(X105&lt;=1,OR(Y105="",Z105="",Y105&lt;=Z105)),"OK","CHECK")))</f>
        <v>OK</v>
      </c>
      <c r="AB105" s="27" t="n">
        <f aca="false">IF(AN105="","",K105*AM105*PI()/4*AN105^2)</f>
        <v>226.980069221863</v>
      </c>
      <c r="AC105" s="31"/>
      <c r="AE105" s="32" t="n">
        <f aca="false">INDEX(Equipment!$D$2:$D$137,MATCH(E105,Equipment!$A$2:$A$137,0))</f>
        <v>42</v>
      </c>
      <c r="AF105" s="32" t="n">
        <f aca="false">INDEX(Equipment!$E$2:$E$137,MATCH(E105,Equipment!$A$2:$A$137,0))</f>
        <v>55</v>
      </c>
      <c r="AG105" s="32" t="n">
        <f aca="false">INDEX(Equipment!$F$2:$F$137,MATCH(E105,Equipment!$A$2:$A$137,0))</f>
        <v>0.5</v>
      </c>
      <c r="AH105" s="32" t="n">
        <f aca="false">INDEX(Equipment!$D$2:$D$137,MATCH(G105,Equipment!$A$2:$A$137,0))</f>
        <v>36</v>
      </c>
      <c r="AI105" s="32" t="n">
        <f aca="false">INDEX(Equipment!$E$2:$E$137,MATCH(G105,Equipment!$A$2:$A$137,0))</f>
        <v>52</v>
      </c>
      <c r="AJ105" s="32" t="n">
        <f aca="false">INDEX(Equipment!$F$2:$F$137,MATCH(G105,Equipment!$A$2:$A$137,0))</f>
        <v>0.5</v>
      </c>
      <c r="AK105" s="32" t="n">
        <f aca="false">IF(INDEX(Raceways!$D$2:$D$18,MATCH(L105,Raceways!$A$2:$A$18,0))="",0,INDEX(Raceways!$D$2:$D$18,MATCH(L105,Raceways!$A$2:$A$18,0)))</f>
        <v>1</v>
      </c>
      <c r="AL105" s="33" t="n">
        <f aca="false">IF(INDEX(Raceways!$I$2:$I$18,MATCH(L105,Raceways!$A$2:$A$18,0))="","",INDEX(Raceways!$I$2:$I$18,MATCH(L105,Raceways!$A$2:$A$18,0)))</f>
        <v>0.8</v>
      </c>
      <c r="AM105" s="26" t="n">
        <f aca="false">INDEX('Cable Types'!$D$2:$D$41,MATCH(I105,'Cable Types'!$A$2:$A$41,0))</f>
        <v>1</v>
      </c>
      <c r="AN105" s="26" t="n">
        <f aca="false">IF(INDEX('Cable Types'!$E$2:$E$41,MATCH(I105,'Cable Types'!$A$2:$A$41,0))="","",INDEX('Cable Types'!$E$2:$E$41,MATCH(I105,'Cable Types'!$A$2:$A$41,0)))</f>
        <v>17</v>
      </c>
      <c r="AO105" s="26" t="n">
        <f aca="false">IF(INDEX('Cable Types'!$F$2:$F$41,MATCH(I105,'Cable Types'!$A$2:$A$41,0))="","",INDEX('Cable Types'!$F$2:$F$41,MATCH(I105,'Cable Types'!$A$2:$A$41,0)))</f>
        <v>85</v>
      </c>
      <c r="AP105" s="33" t="n">
        <f aca="false">IF(INDEX('Cable Types'!$G$2:$G$41,MATCH(I105,'Cable Types'!$A$2:$A$41,0))="","",INDEX('Cable Types'!$G$2:$G$41,MATCH(I105,'Cable Types'!$A$2:$A$41,0)))</f>
        <v>4.6</v>
      </c>
    </row>
    <row r="106" customFormat="false" ht="15" hidden="false" customHeight="false" outlineLevel="0" collapsed="false">
      <c r="A106" s="25" t="s">
        <v>850</v>
      </c>
      <c r="B106" s="25" t="s">
        <v>133</v>
      </c>
      <c r="C106" s="25" t="s">
        <v>71</v>
      </c>
      <c r="D106" s="25" t="s">
        <v>851</v>
      </c>
      <c r="E106" s="25" t="s">
        <v>462</v>
      </c>
      <c r="F106" s="26" t="str">
        <f aca="false">INDEX(Equipment!$B$2:$B$137,MATCH(E106,Equipment!$A$2:$A$137,0))</f>
        <v>125 V DC battery and chargers</v>
      </c>
      <c r="G106" s="25" t="s">
        <v>164</v>
      </c>
      <c r="H106" s="26" t="str">
        <f aca="false">INDEX(Equipment!$B$2:$B$137,MATCH(G106,Equipment!$A$2:$A$137,0))</f>
        <v>GT control panel (in PEECC)</v>
      </c>
      <c r="I106" s="25" t="s">
        <v>532</v>
      </c>
      <c r="J106" s="26" t="str">
        <f aca="false">INDEX('Cable Types'!$B$2:$B$41,MATCH(I106,'Cable Types'!$A$2:$A$41,0))</f>
        <v>0.6/1 kV 2C 35 mm2 Cu/XLPE/SWA/PVC</v>
      </c>
      <c r="K106" s="25" t="n">
        <v>1</v>
      </c>
      <c r="L106" s="25" t="s">
        <v>665</v>
      </c>
      <c r="M106" s="25" t="s">
        <v>638</v>
      </c>
      <c r="N106" s="25"/>
      <c r="O106" s="27" t="n">
        <f aca="false">IF(N106&lt;&gt;"",N106,IF(M106="D",ROUNDUP(SQRT((AH106-AE106)^2+(AI106-AF106)^2+(AJ106-AG106)^2)*(1+'Design Basis'!$C$6),0),ROUNDUP((ABS(AH106-AE106)+ABS(AI106-AF106)+ABS(AK106-AG106)+ABS(AK106-AJ106))*(1+'Design Basis'!$C$4)+2*'Design Basis'!$C$5,0)))</f>
        <v>88</v>
      </c>
      <c r="P106" s="27" t="n">
        <f aca="false">O106*K106*AM106</f>
        <v>88</v>
      </c>
      <c r="Q106" s="28" t="n">
        <v>125</v>
      </c>
      <c r="R106" s="25" t="s">
        <v>844</v>
      </c>
      <c r="S106" s="28" t="n">
        <v>3</v>
      </c>
      <c r="T106" s="29" t="n">
        <v>1</v>
      </c>
      <c r="U106" s="27" t="n">
        <f aca="false">IF(OR(S106="",Q106=""),"",IF(R106=3,S106*1000/(SQRT(3)*Q106*T106),S106*1000/(Q106*T106)))</f>
        <v>24</v>
      </c>
      <c r="V106" s="27" t="n">
        <f aca="false">IF(OR(AO106="",AL106=""),"",AO106*AL106)</f>
        <v>144</v>
      </c>
      <c r="W106" s="27" t="n">
        <f aca="false">IF(V106="","",V106*K106)</f>
        <v>144</v>
      </c>
      <c r="X106" s="30" t="n">
        <f aca="false">IF(OR(U106="",W106=""),"",U106/W106)</f>
        <v>0.166666666666667</v>
      </c>
      <c r="Y106" s="30" t="n">
        <f aca="false">IF(OR(U106="",AP106=""),"",AP106*(U106/K106)*O106/1000/Q106)</f>
        <v>0.0228096</v>
      </c>
      <c r="Z106" s="30" t="n">
        <f aca="false">IF(U106="","",IFERROR(IF(INDEX('Design Basis'!$C$13:$C$21,MATCH(C106,'Design Basis'!$A$13:$A$21,0))="","",INDEX('Design Basis'!$C$13:$C$21,MATCH(C106,'Design Basis'!$A$13:$A$21,0))),""))</f>
        <v>0.03</v>
      </c>
      <c r="AA106" s="31" t="str">
        <f aca="false">IF(U106="","n/a",IF(W106="","CHECK",IF(AND(X106&lt;=1,OR(Y106="",Z106="",Y106&lt;=Z106)),"OK","CHECK")))</f>
        <v>OK</v>
      </c>
      <c r="AB106" s="27" t="n">
        <f aca="false">IF(AN106="","",K106*AM106*PI()/4*AN106^2)</f>
        <v>490.873852123405</v>
      </c>
      <c r="AC106" s="31"/>
      <c r="AE106" s="32" t="n">
        <f aca="false">INDEX(Equipment!$D$2:$D$137,MATCH(E106,Equipment!$A$2:$A$137,0))</f>
        <v>42</v>
      </c>
      <c r="AF106" s="32" t="n">
        <f aca="false">INDEX(Equipment!$E$2:$E$137,MATCH(E106,Equipment!$A$2:$A$137,0))</f>
        <v>55</v>
      </c>
      <c r="AG106" s="32" t="n">
        <f aca="false">INDEX(Equipment!$F$2:$F$137,MATCH(E106,Equipment!$A$2:$A$137,0))</f>
        <v>0.5</v>
      </c>
      <c r="AH106" s="32" t="n">
        <f aca="false">INDEX(Equipment!$D$2:$D$137,MATCH(G106,Equipment!$A$2:$A$137,0))</f>
        <v>46</v>
      </c>
      <c r="AI106" s="32" t="n">
        <f aca="false">INDEX(Equipment!$E$2:$E$137,MATCH(G106,Equipment!$A$2:$A$137,0))</f>
        <v>-6</v>
      </c>
      <c r="AJ106" s="32" t="n">
        <f aca="false">INDEX(Equipment!$F$2:$F$137,MATCH(G106,Equipment!$A$2:$A$137,0))</f>
        <v>0.5</v>
      </c>
      <c r="AK106" s="32" t="n">
        <f aca="false">IF(INDEX(Raceways!$D$2:$D$18,MATCH(L106,Raceways!$A$2:$A$18,0))="",0,INDEX(Raceways!$D$2:$D$18,MATCH(L106,Raceways!$A$2:$A$18,0)))</f>
        <v>5</v>
      </c>
      <c r="AL106" s="33" t="n">
        <f aca="false">IF(INDEX(Raceways!$I$2:$I$18,MATCH(L106,Raceways!$A$2:$A$18,0))="","",INDEX(Raceways!$I$2:$I$18,MATCH(L106,Raceways!$A$2:$A$18,0)))</f>
        <v>0.8</v>
      </c>
      <c r="AM106" s="26" t="n">
        <f aca="false">INDEX('Cable Types'!$D$2:$D$41,MATCH(I106,'Cable Types'!$A$2:$A$41,0))</f>
        <v>1</v>
      </c>
      <c r="AN106" s="26" t="n">
        <f aca="false">IF(INDEX('Cable Types'!$E$2:$E$41,MATCH(I106,'Cable Types'!$A$2:$A$41,0))="","",INDEX('Cable Types'!$E$2:$E$41,MATCH(I106,'Cable Types'!$A$2:$A$41,0)))</f>
        <v>25</v>
      </c>
      <c r="AO106" s="26" t="n">
        <f aca="false">IF(INDEX('Cable Types'!$F$2:$F$41,MATCH(I106,'Cable Types'!$A$2:$A$41,0))="","",INDEX('Cable Types'!$F$2:$F$41,MATCH(I106,'Cable Types'!$A$2:$A$41,0)))</f>
        <v>180</v>
      </c>
      <c r="AP106" s="33" t="n">
        <f aca="false">IF(INDEX('Cable Types'!$G$2:$G$41,MATCH(I106,'Cable Types'!$A$2:$A$41,0))="","",INDEX('Cable Types'!$G$2:$G$41,MATCH(I106,'Cable Types'!$A$2:$A$41,0)))</f>
        <v>1.35</v>
      </c>
    </row>
    <row r="107" customFormat="false" ht="15" hidden="false" customHeight="false" outlineLevel="0" collapsed="false">
      <c r="A107" s="25" t="s">
        <v>852</v>
      </c>
      <c r="B107" s="25" t="s">
        <v>451</v>
      </c>
      <c r="C107" s="25" t="s">
        <v>71</v>
      </c>
      <c r="D107" s="25" t="s">
        <v>853</v>
      </c>
      <c r="E107" s="25" t="s">
        <v>464</v>
      </c>
      <c r="F107" s="26" t="str">
        <f aca="false">INDEX(Equipment!$B$2:$B$137,MATCH(E107,Equipment!$A$2:$A$137,0))</f>
        <v>230 V AC UPS</v>
      </c>
      <c r="G107" s="25" t="s">
        <v>458</v>
      </c>
      <c r="H107" s="26" t="str">
        <f aca="false">INDEX(Equipment!$B$2:$B$137,MATCH(G107,Equipment!$A$2:$A$137,0))</f>
        <v>DCS servers / central control room</v>
      </c>
      <c r="I107" s="25" t="s">
        <v>529</v>
      </c>
      <c r="J107" s="26" t="str">
        <f aca="false">INDEX('Cable Types'!$B$2:$B$41,MATCH(I107,'Cable Types'!$A$2:$A$41,0))</f>
        <v>0.6/1 kV 2C 10 mm2 Cu/XLPE/SWA/PVC</v>
      </c>
      <c r="K107" s="25" t="n">
        <v>1</v>
      </c>
      <c r="L107" s="25" t="s">
        <v>649</v>
      </c>
      <c r="M107" s="25" t="s">
        <v>638</v>
      </c>
      <c r="N107" s="25"/>
      <c r="O107" s="27" t="n">
        <f aca="false">IF(N107&lt;&gt;"",N107,IF(M107="D",ROUNDUP(SQRT((AH107-AE107)^2+(AI107-AF107)^2+(AJ107-AG107)^2)*(1+'Design Basis'!$C$6),0),ROUNDUP((ABS(AH107-AE107)+ABS(AI107-AF107)+ABS(AK107-AG107)+ABS(AK107-AJ107))*(1+'Design Basis'!$C$4)+2*'Design Basis'!$C$5,0)))</f>
        <v>11</v>
      </c>
      <c r="P107" s="27" t="n">
        <f aca="false">O107*K107*AM107</f>
        <v>11</v>
      </c>
      <c r="Q107" s="28" t="n">
        <v>230</v>
      </c>
      <c r="R107" s="25" t="n">
        <v>1</v>
      </c>
      <c r="S107" s="28" t="n">
        <v>10</v>
      </c>
      <c r="T107" s="29" t="n">
        <v>1</v>
      </c>
      <c r="U107" s="27" t="n">
        <f aca="false">IF(OR(S107="",Q107=""),"",IF(R107=3,S107*1000/(SQRT(3)*Q107*T107),S107*1000/(Q107*T107)))</f>
        <v>43.4782608695652</v>
      </c>
      <c r="V107" s="27" t="n">
        <f aca="false">IF(OR(AO107="",AL107=""),"",AO107*AL107)</f>
        <v>68</v>
      </c>
      <c r="W107" s="27" t="n">
        <f aca="false">IF(V107="","",V107*K107)</f>
        <v>68</v>
      </c>
      <c r="X107" s="30" t="n">
        <f aca="false">IF(OR(U107="",W107=""),"",U107/W107)</f>
        <v>0.639386189258312</v>
      </c>
      <c r="Y107" s="30" t="n">
        <f aca="false">IF(OR(U107="",AP107=""),"",AP107*(U107/K107)*O107/1000/Q107)</f>
        <v>0.00956521739130435</v>
      </c>
      <c r="Z107" s="30" t="n">
        <f aca="false">IF(U107="","",IFERROR(IF(INDEX('Design Basis'!$C$13:$C$21,MATCH(C107,'Design Basis'!$A$13:$A$21,0))="","",INDEX('Design Basis'!$C$13:$C$21,MATCH(C107,'Design Basis'!$A$13:$A$21,0))),""))</f>
        <v>0.03</v>
      </c>
      <c r="AA107" s="31" t="str">
        <f aca="false">IF(U107="","n/a",IF(W107="","CHECK",IF(AND(X107&lt;=1,OR(Y107="",Z107="",Y107&lt;=Z107)),"OK","CHECK")))</f>
        <v>OK</v>
      </c>
      <c r="AB107" s="27" t="n">
        <f aca="false">IF(AN107="","",K107*AM107*PI()/4*AN107^2)</f>
        <v>226.980069221863</v>
      </c>
      <c r="AC107" s="31"/>
      <c r="AE107" s="32" t="n">
        <f aca="false">INDEX(Equipment!$D$2:$D$137,MATCH(E107,Equipment!$A$2:$A$137,0))</f>
        <v>43</v>
      </c>
      <c r="AF107" s="32" t="n">
        <f aca="false">INDEX(Equipment!$E$2:$E$137,MATCH(E107,Equipment!$A$2:$A$137,0))</f>
        <v>55</v>
      </c>
      <c r="AG107" s="32" t="n">
        <f aca="false">INDEX(Equipment!$F$2:$F$137,MATCH(E107,Equipment!$A$2:$A$137,0))</f>
        <v>0.5</v>
      </c>
      <c r="AH107" s="32" t="n">
        <f aca="false">INDEX(Equipment!$D$2:$D$137,MATCH(G107,Equipment!$A$2:$A$137,0))</f>
        <v>40</v>
      </c>
      <c r="AI107" s="32" t="n">
        <f aca="false">INDEX(Equipment!$E$2:$E$137,MATCH(G107,Equipment!$A$2:$A$137,0))</f>
        <v>55</v>
      </c>
      <c r="AJ107" s="32" t="n">
        <f aca="false">INDEX(Equipment!$F$2:$F$137,MATCH(G107,Equipment!$A$2:$A$137,0))</f>
        <v>0.5</v>
      </c>
      <c r="AK107" s="32" t="n">
        <f aca="false">IF(INDEX(Raceways!$D$2:$D$18,MATCH(L107,Raceways!$A$2:$A$18,0))="",0,INDEX(Raceways!$D$2:$D$18,MATCH(L107,Raceways!$A$2:$A$18,0)))</f>
        <v>1</v>
      </c>
      <c r="AL107" s="33" t="n">
        <f aca="false">IF(INDEX(Raceways!$I$2:$I$18,MATCH(L107,Raceways!$A$2:$A$18,0))="","",INDEX(Raceways!$I$2:$I$18,MATCH(L107,Raceways!$A$2:$A$18,0)))</f>
        <v>0.8</v>
      </c>
      <c r="AM107" s="26" t="n">
        <f aca="false">INDEX('Cable Types'!$D$2:$D$41,MATCH(I107,'Cable Types'!$A$2:$A$41,0))</f>
        <v>1</v>
      </c>
      <c r="AN107" s="26" t="n">
        <f aca="false">IF(INDEX('Cable Types'!$E$2:$E$41,MATCH(I107,'Cable Types'!$A$2:$A$41,0))="","",INDEX('Cable Types'!$E$2:$E$41,MATCH(I107,'Cable Types'!$A$2:$A$41,0)))</f>
        <v>17</v>
      </c>
      <c r="AO107" s="26" t="n">
        <f aca="false">IF(INDEX('Cable Types'!$F$2:$F$41,MATCH(I107,'Cable Types'!$A$2:$A$41,0))="","",INDEX('Cable Types'!$F$2:$F$41,MATCH(I107,'Cable Types'!$A$2:$A$41,0)))</f>
        <v>85</v>
      </c>
      <c r="AP107" s="33" t="n">
        <f aca="false">IF(INDEX('Cable Types'!$G$2:$G$41,MATCH(I107,'Cable Types'!$A$2:$A$41,0))="","",INDEX('Cable Types'!$G$2:$G$41,MATCH(I107,'Cable Types'!$A$2:$A$41,0)))</f>
        <v>4.6</v>
      </c>
    </row>
    <row r="108" customFormat="false" ht="15" hidden="false" customHeight="false" outlineLevel="0" collapsed="false">
      <c r="A108" s="25" t="s">
        <v>854</v>
      </c>
      <c r="B108" s="25" t="s">
        <v>133</v>
      </c>
      <c r="C108" s="25" t="s">
        <v>71</v>
      </c>
      <c r="D108" s="25" t="s">
        <v>855</v>
      </c>
      <c r="E108" s="25" t="s">
        <v>464</v>
      </c>
      <c r="F108" s="26" t="str">
        <f aca="false">INDEX(Equipment!$B$2:$B$137,MATCH(E108,Equipment!$A$2:$A$137,0))</f>
        <v>230 V AC UPS</v>
      </c>
      <c r="G108" s="25" t="s">
        <v>164</v>
      </c>
      <c r="H108" s="26" t="str">
        <f aca="false">INDEX(Equipment!$B$2:$B$137,MATCH(G108,Equipment!$A$2:$A$137,0))</f>
        <v>GT control panel (in PEECC)</v>
      </c>
      <c r="I108" s="25" t="s">
        <v>532</v>
      </c>
      <c r="J108" s="26" t="str">
        <f aca="false">INDEX('Cable Types'!$B$2:$B$41,MATCH(I108,'Cable Types'!$A$2:$A$41,0))</f>
        <v>0.6/1 kV 2C 35 mm2 Cu/XLPE/SWA/PVC</v>
      </c>
      <c r="K108" s="25" t="n">
        <v>1</v>
      </c>
      <c r="L108" s="25" t="s">
        <v>665</v>
      </c>
      <c r="M108" s="25" t="s">
        <v>638</v>
      </c>
      <c r="N108" s="25"/>
      <c r="O108" s="27" t="n">
        <f aca="false">IF(N108&lt;&gt;"",N108,IF(M108="D",ROUNDUP(SQRT((AH108-AE108)^2+(AI108-AF108)^2+(AJ108-AG108)^2)*(1+'Design Basis'!$C$6),0),ROUNDUP((ABS(AH108-AE108)+ABS(AI108-AF108)+ABS(AK108-AG108)+ABS(AK108-AJ108))*(1+'Design Basis'!$C$4)+2*'Design Basis'!$C$5,0)))</f>
        <v>87</v>
      </c>
      <c r="P108" s="27" t="n">
        <f aca="false">O108*K108*AM108</f>
        <v>87</v>
      </c>
      <c r="Q108" s="28" t="n">
        <v>230</v>
      </c>
      <c r="R108" s="25" t="n">
        <v>1</v>
      </c>
      <c r="S108" s="28" t="n">
        <v>5</v>
      </c>
      <c r="T108" s="29" t="n">
        <v>1</v>
      </c>
      <c r="U108" s="27" t="n">
        <f aca="false">IF(OR(S108="",Q108=""),"",IF(R108=3,S108*1000/(SQRT(3)*Q108*T108),S108*1000/(Q108*T108)))</f>
        <v>21.7391304347826</v>
      </c>
      <c r="V108" s="27" t="n">
        <f aca="false">IF(OR(AO108="",AL108=""),"",AO108*AL108)</f>
        <v>144</v>
      </c>
      <c r="W108" s="27" t="n">
        <f aca="false">IF(V108="","",V108*K108)</f>
        <v>144</v>
      </c>
      <c r="X108" s="30" t="n">
        <f aca="false">IF(OR(U108="",W108=""),"",U108/W108)</f>
        <v>0.150966183574879</v>
      </c>
      <c r="Y108" s="30" t="n">
        <f aca="false">IF(OR(U108="",AP108=""),"",AP108*(U108/K108)*O108/1000/Q108)</f>
        <v>0.0111011342155009</v>
      </c>
      <c r="Z108" s="30" t="n">
        <f aca="false">IF(U108="","",IFERROR(IF(INDEX('Design Basis'!$C$13:$C$21,MATCH(C108,'Design Basis'!$A$13:$A$21,0))="","",INDEX('Design Basis'!$C$13:$C$21,MATCH(C108,'Design Basis'!$A$13:$A$21,0))),""))</f>
        <v>0.03</v>
      </c>
      <c r="AA108" s="31" t="str">
        <f aca="false">IF(U108="","n/a",IF(W108="","CHECK",IF(AND(X108&lt;=1,OR(Y108="",Z108="",Y108&lt;=Z108)),"OK","CHECK")))</f>
        <v>OK</v>
      </c>
      <c r="AB108" s="27" t="n">
        <f aca="false">IF(AN108="","",K108*AM108*PI()/4*AN108^2)</f>
        <v>490.873852123405</v>
      </c>
      <c r="AC108" s="31"/>
      <c r="AE108" s="32" t="n">
        <f aca="false">INDEX(Equipment!$D$2:$D$137,MATCH(E108,Equipment!$A$2:$A$137,0))</f>
        <v>43</v>
      </c>
      <c r="AF108" s="32" t="n">
        <f aca="false">INDEX(Equipment!$E$2:$E$137,MATCH(E108,Equipment!$A$2:$A$137,0))</f>
        <v>55</v>
      </c>
      <c r="AG108" s="32" t="n">
        <f aca="false">INDEX(Equipment!$F$2:$F$137,MATCH(E108,Equipment!$A$2:$A$137,0))</f>
        <v>0.5</v>
      </c>
      <c r="AH108" s="32" t="n">
        <f aca="false">INDEX(Equipment!$D$2:$D$137,MATCH(G108,Equipment!$A$2:$A$137,0))</f>
        <v>46</v>
      </c>
      <c r="AI108" s="32" t="n">
        <f aca="false">INDEX(Equipment!$E$2:$E$137,MATCH(G108,Equipment!$A$2:$A$137,0))</f>
        <v>-6</v>
      </c>
      <c r="AJ108" s="32" t="n">
        <f aca="false">INDEX(Equipment!$F$2:$F$137,MATCH(G108,Equipment!$A$2:$A$137,0))</f>
        <v>0.5</v>
      </c>
      <c r="AK108" s="32" t="n">
        <f aca="false">IF(INDEX(Raceways!$D$2:$D$18,MATCH(L108,Raceways!$A$2:$A$18,0))="",0,INDEX(Raceways!$D$2:$D$18,MATCH(L108,Raceways!$A$2:$A$18,0)))</f>
        <v>5</v>
      </c>
      <c r="AL108" s="33" t="n">
        <f aca="false">IF(INDEX(Raceways!$I$2:$I$18,MATCH(L108,Raceways!$A$2:$A$18,0))="","",INDEX(Raceways!$I$2:$I$18,MATCH(L108,Raceways!$A$2:$A$18,0)))</f>
        <v>0.8</v>
      </c>
      <c r="AM108" s="26" t="n">
        <f aca="false">INDEX('Cable Types'!$D$2:$D$41,MATCH(I108,'Cable Types'!$A$2:$A$41,0))</f>
        <v>1</v>
      </c>
      <c r="AN108" s="26" t="n">
        <f aca="false">IF(INDEX('Cable Types'!$E$2:$E$41,MATCH(I108,'Cable Types'!$A$2:$A$41,0))="","",INDEX('Cable Types'!$E$2:$E$41,MATCH(I108,'Cable Types'!$A$2:$A$41,0)))</f>
        <v>25</v>
      </c>
      <c r="AO108" s="26" t="n">
        <f aca="false">IF(INDEX('Cable Types'!$F$2:$F$41,MATCH(I108,'Cable Types'!$A$2:$A$41,0))="","",INDEX('Cable Types'!$F$2:$F$41,MATCH(I108,'Cable Types'!$A$2:$A$41,0)))</f>
        <v>180</v>
      </c>
      <c r="AP108" s="33" t="n">
        <f aca="false">IF(INDEX('Cable Types'!$G$2:$G$41,MATCH(I108,'Cable Types'!$A$2:$A$41,0))="","",INDEX('Cable Types'!$G$2:$G$41,MATCH(I108,'Cable Types'!$A$2:$A$41,0)))</f>
        <v>1.35</v>
      </c>
    </row>
    <row r="109" customFormat="false" ht="15" hidden="false" customHeight="false" outlineLevel="0" collapsed="false">
      <c r="A109" s="25" t="s">
        <v>856</v>
      </c>
      <c r="B109" s="25" t="s">
        <v>133</v>
      </c>
      <c r="C109" s="25" t="s">
        <v>71</v>
      </c>
      <c r="D109" s="25" t="s">
        <v>857</v>
      </c>
      <c r="E109" s="25" t="s">
        <v>464</v>
      </c>
      <c r="F109" s="26" t="str">
        <f aca="false">INDEX(Equipment!$B$2:$B$137,MATCH(E109,Equipment!$A$2:$A$137,0))</f>
        <v>230 V AC UPS</v>
      </c>
      <c r="G109" s="25" t="s">
        <v>206</v>
      </c>
      <c r="H109" s="26" t="str">
        <f aca="false">INDEX(Equipment!$B$2:$B$137,MATCH(G109,Equipment!$A$2:$A$137,0))</f>
        <v>ST control panel</v>
      </c>
      <c r="I109" s="25" t="s">
        <v>532</v>
      </c>
      <c r="J109" s="26" t="str">
        <f aca="false">INDEX('Cable Types'!$B$2:$B$41,MATCH(I109,'Cable Types'!$A$2:$A$41,0))</f>
        <v>0.6/1 kV 2C 35 mm2 Cu/XLPE/SWA/PVC</v>
      </c>
      <c r="K109" s="25" t="n">
        <v>1</v>
      </c>
      <c r="L109" s="25" t="s">
        <v>659</v>
      </c>
      <c r="M109" s="25" t="s">
        <v>638</v>
      </c>
      <c r="N109" s="25"/>
      <c r="O109" s="27" t="n">
        <f aca="false">IF(N109&lt;&gt;"",N109,IF(M109="D",ROUNDUP(SQRT((AH109-AE109)^2+(AI109-AF109)^2+(AJ109-AG109)^2)*(1+'Design Basis'!$C$6),0),ROUNDUP((ABS(AH109-AE109)+ABS(AI109-AF109)+ABS(AK109-AG109)+ABS(AK109-AJ109))*(1+'Design Basis'!$C$4)+2*'Design Basis'!$C$5,0)))</f>
        <v>79</v>
      </c>
      <c r="P109" s="27" t="n">
        <f aca="false">O109*K109*AM109</f>
        <v>79</v>
      </c>
      <c r="Q109" s="28" t="n">
        <v>230</v>
      </c>
      <c r="R109" s="25" t="n">
        <v>1</v>
      </c>
      <c r="S109" s="28" t="n">
        <v>5</v>
      </c>
      <c r="T109" s="29" t="n">
        <v>1</v>
      </c>
      <c r="U109" s="27" t="n">
        <f aca="false">IF(OR(S109="",Q109=""),"",IF(R109=3,S109*1000/(SQRT(3)*Q109*T109),S109*1000/(Q109*T109)))</f>
        <v>21.7391304347826</v>
      </c>
      <c r="V109" s="27" t="n">
        <f aca="false">IF(OR(AO109="",AL109=""),"",AO109*AL109)</f>
        <v>144</v>
      </c>
      <c r="W109" s="27" t="n">
        <f aca="false">IF(V109="","",V109*K109)</f>
        <v>144</v>
      </c>
      <c r="X109" s="30" t="n">
        <f aca="false">IF(OR(U109="",W109=""),"",U109/W109)</f>
        <v>0.150966183574879</v>
      </c>
      <c r="Y109" s="30" t="n">
        <f aca="false">IF(OR(U109="",AP109=""),"",AP109*(U109/K109)*O109/1000/Q109)</f>
        <v>0.0100803402646503</v>
      </c>
      <c r="Z109" s="30" t="n">
        <f aca="false">IF(U109="","",IFERROR(IF(INDEX('Design Basis'!$C$13:$C$21,MATCH(C109,'Design Basis'!$A$13:$A$21,0))="","",INDEX('Design Basis'!$C$13:$C$21,MATCH(C109,'Design Basis'!$A$13:$A$21,0))),""))</f>
        <v>0.03</v>
      </c>
      <c r="AA109" s="31" t="str">
        <f aca="false">IF(U109="","n/a",IF(W109="","CHECK",IF(AND(X109&lt;=1,OR(Y109="",Z109="",Y109&lt;=Z109)),"OK","CHECK")))</f>
        <v>OK</v>
      </c>
      <c r="AB109" s="27" t="n">
        <f aca="false">IF(AN109="","",K109*AM109*PI()/4*AN109^2)</f>
        <v>490.873852123405</v>
      </c>
      <c r="AC109" s="31"/>
      <c r="AE109" s="32" t="n">
        <f aca="false">INDEX(Equipment!$D$2:$D$137,MATCH(E109,Equipment!$A$2:$A$137,0))</f>
        <v>43</v>
      </c>
      <c r="AF109" s="32" t="n">
        <f aca="false">INDEX(Equipment!$E$2:$E$137,MATCH(E109,Equipment!$A$2:$A$137,0))</f>
        <v>55</v>
      </c>
      <c r="AG109" s="32" t="n">
        <f aca="false">INDEX(Equipment!$F$2:$F$137,MATCH(E109,Equipment!$A$2:$A$137,0))</f>
        <v>0.5</v>
      </c>
      <c r="AH109" s="32" t="n">
        <f aca="false">INDEX(Equipment!$D$2:$D$137,MATCH(G109,Equipment!$A$2:$A$137,0))</f>
        <v>85</v>
      </c>
      <c r="AI109" s="32" t="n">
        <f aca="false">INDEX(Equipment!$E$2:$E$137,MATCH(G109,Equipment!$A$2:$A$137,0))</f>
        <v>40</v>
      </c>
      <c r="AJ109" s="32" t="n">
        <f aca="false">INDEX(Equipment!$F$2:$F$137,MATCH(G109,Equipment!$A$2:$A$137,0))</f>
        <v>0.5</v>
      </c>
      <c r="AK109" s="32" t="n">
        <f aca="false">IF(INDEX(Raceways!$D$2:$D$18,MATCH(L109,Raceways!$A$2:$A$18,0))="",0,INDEX(Raceways!$D$2:$D$18,MATCH(L109,Raceways!$A$2:$A$18,0)))</f>
        <v>5</v>
      </c>
      <c r="AL109" s="33" t="n">
        <f aca="false">IF(INDEX(Raceways!$I$2:$I$18,MATCH(L109,Raceways!$A$2:$A$18,0))="","",INDEX(Raceways!$I$2:$I$18,MATCH(L109,Raceways!$A$2:$A$18,0)))</f>
        <v>0.8</v>
      </c>
      <c r="AM109" s="26" t="n">
        <f aca="false">INDEX('Cable Types'!$D$2:$D$41,MATCH(I109,'Cable Types'!$A$2:$A$41,0))</f>
        <v>1</v>
      </c>
      <c r="AN109" s="26" t="n">
        <f aca="false">IF(INDEX('Cable Types'!$E$2:$E$41,MATCH(I109,'Cable Types'!$A$2:$A$41,0))="","",INDEX('Cable Types'!$E$2:$E$41,MATCH(I109,'Cable Types'!$A$2:$A$41,0)))</f>
        <v>25</v>
      </c>
      <c r="AO109" s="26" t="n">
        <f aca="false">IF(INDEX('Cable Types'!$F$2:$F$41,MATCH(I109,'Cable Types'!$A$2:$A$41,0))="","",INDEX('Cable Types'!$F$2:$F$41,MATCH(I109,'Cable Types'!$A$2:$A$41,0)))</f>
        <v>180</v>
      </c>
      <c r="AP109" s="33" t="n">
        <f aca="false">IF(INDEX('Cable Types'!$G$2:$G$41,MATCH(I109,'Cable Types'!$A$2:$A$41,0))="","",INDEX('Cable Types'!$G$2:$G$41,MATCH(I109,'Cable Types'!$A$2:$A$41,0)))</f>
        <v>1.35</v>
      </c>
    </row>
    <row r="110" customFormat="false" ht="15" hidden="false" customHeight="false" outlineLevel="0" collapsed="false">
      <c r="A110" s="25" t="s">
        <v>858</v>
      </c>
      <c r="B110" s="25" t="s">
        <v>133</v>
      </c>
      <c r="C110" s="25" t="s">
        <v>71</v>
      </c>
      <c r="D110" s="25" t="s">
        <v>859</v>
      </c>
      <c r="E110" s="25" t="s">
        <v>464</v>
      </c>
      <c r="F110" s="26" t="str">
        <f aca="false">INDEX(Equipment!$B$2:$B$137,MATCH(E110,Equipment!$A$2:$A$137,0))</f>
        <v>230 V AC UPS</v>
      </c>
      <c r="G110" s="25" t="s">
        <v>223</v>
      </c>
      <c r="H110" s="26" t="str">
        <f aca="false">INDEX(Equipment!$B$2:$B$137,MATCH(G110,Equipment!$A$2:$A$137,0))</f>
        <v>DCS remote I/O cabinet - power block</v>
      </c>
      <c r="I110" s="25" t="s">
        <v>529</v>
      </c>
      <c r="J110" s="26" t="str">
        <f aca="false">INDEX('Cable Types'!$B$2:$B$41,MATCH(I110,'Cable Types'!$A$2:$A$41,0))</f>
        <v>0.6/1 kV 2C 10 mm2 Cu/XLPE/SWA/PVC</v>
      </c>
      <c r="K110" s="25" t="n">
        <v>1</v>
      </c>
      <c r="L110" s="25" t="s">
        <v>665</v>
      </c>
      <c r="M110" s="25" t="s">
        <v>638</v>
      </c>
      <c r="N110" s="25"/>
      <c r="O110" s="27" t="n">
        <f aca="false">IF(N110&lt;&gt;"",N110,IF(M110="D",ROUNDUP(SQRT((AH110-AE110)^2+(AI110-AF110)^2+(AJ110-AG110)^2)*(1+'Design Basis'!$C$6),0),ROUNDUP((ABS(AH110-AE110)+ABS(AI110-AF110)+ABS(AK110-AG110)+ABS(AK110-AJ110))*(1+'Design Basis'!$C$4)+2*'Design Basis'!$C$5,0)))</f>
        <v>80</v>
      </c>
      <c r="P110" s="27" t="n">
        <f aca="false">O110*K110*AM110</f>
        <v>80</v>
      </c>
      <c r="Q110" s="28" t="n">
        <v>230</v>
      </c>
      <c r="R110" s="25" t="n">
        <v>1</v>
      </c>
      <c r="S110" s="28" t="n">
        <v>3</v>
      </c>
      <c r="T110" s="29" t="n">
        <v>1</v>
      </c>
      <c r="U110" s="27" t="n">
        <f aca="false">IF(OR(S110="",Q110=""),"",IF(R110=3,S110*1000/(SQRT(3)*Q110*T110),S110*1000/(Q110*T110)))</f>
        <v>13.0434782608696</v>
      </c>
      <c r="V110" s="27" t="n">
        <f aca="false">IF(OR(AO110="",AL110=""),"",AO110*AL110)</f>
        <v>68</v>
      </c>
      <c r="W110" s="27" t="n">
        <f aca="false">IF(V110="","",V110*K110)</f>
        <v>68</v>
      </c>
      <c r="X110" s="30" t="n">
        <f aca="false">IF(OR(U110="",W110=""),"",U110/W110)</f>
        <v>0.191815856777494</v>
      </c>
      <c r="Y110" s="30" t="n">
        <f aca="false">IF(OR(U110="",AP110=""),"",AP110*(U110/K110)*O110/1000/Q110)</f>
        <v>0.0208695652173913</v>
      </c>
      <c r="Z110" s="30" t="n">
        <f aca="false">IF(U110="","",IFERROR(IF(INDEX('Design Basis'!$C$13:$C$21,MATCH(C110,'Design Basis'!$A$13:$A$21,0))="","",INDEX('Design Basis'!$C$13:$C$21,MATCH(C110,'Design Basis'!$A$13:$A$21,0))),""))</f>
        <v>0.03</v>
      </c>
      <c r="AA110" s="31" t="str">
        <f aca="false">IF(U110="","n/a",IF(W110="","CHECK",IF(AND(X110&lt;=1,OR(Y110="",Z110="",Y110&lt;=Z110)),"OK","CHECK")))</f>
        <v>OK</v>
      </c>
      <c r="AB110" s="27" t="n">
        <f aca="false">IF(AN110="","",K110*AM110*PI()/4*AN110^2)</f>
        <v>226.980069221863</v>
      </c>
      <c r="AC110" s="31"/>
      <c r="AE110" s="32" t="n">
        <f aca="false">INDEX(Equipment!$D$2:$D$137,MATCH(E110,Equipment!$A$2:$A$137,0))</f>
        <v>43</v>
      </c>
      <c r="AF110" s="32" t="n">
        <f aca="false">INDEX(Equipment!$E$2:$E$137,MATCH(E110,Equipment!$A$2:$A$137,0))</f>
        <v>55</v>
      </c>
      <c r="AG110" s="32" t="n">
        <f aca="false">INDEX(Equipment!$F$2:$F$137,MATCH(E110,Equipment!$A$2:$A$137,0))</f>
        <v>0.5</v>
      </c>
      <c r="AH110" s="32" t="n">
        <f aca="false">INDEX(Equipment!$D$2:$D$137,MATCH(G110,Equipment!$A$2:$A$137,0))</f>
        <v>68</v>
      </c>
      <c r="AI110" s="32" t="n">
        <f aca="false">INDEX(Equipment!$E$2:$E$137,MATCH(G110,Equipment!$A$2:$A$137,0))</f>
        <v>22</v>
      </c>
      <c r="AJ110" s="32" t="n">
        <f aca="false">INDEX(Equipment!$F$2:$F$137,MATCH(G110,Equipment!$A$2:$A$137,0))</f>
        <v>0.5</v>
      </c>
      <c r="AK110" s="32" t="n">
        <f aca="false">IF(INDEX(Raceways!$D$2:$D$18,MATCH(L110,Raceways!$A$2:$A$18,0))="",0,INDEX(Raceways!$D$2:$D$18,MATCH(L110,Raceways!$A$2:$A$18,0)))</f>
        <v>5</v>
      </c>
      <c r="AL110" s="33" t="n">
        <f aca="false">IF(INDEX(Raceways!$I$2:$I$18,MATCH(L110,Raceways!$A$2:$A$18,0))="","",INDEX(Raceways!$I$2:$I$18,MATCH(L110,Raceways!$A$2:$A$18,0)))</f>
        <v>0.8</v>
      </c>
      <c r="AM110" s="26" t="n">
        <f aca="false">INDEX('Cable Types'!$D$2:$D$41,MATCH(I110,'Cable Types'!$A$2:$A$41,0))</f>
        <v>1</v>
      </c>
      <c r="AN110" s="26" t="n">
        <f aca="false">IF(INDEX('Cable Types'!$E$2:$E$41,MATCH(I110,'Cable Types'!$A$2:$A$41,0))="","",INDEX('Cable Types'!$E$2:$E$41,MATCH(I110,'Cable Types'!$A$2:$A$41,0)))</f>
        <v>17</v>
      </c>
      <c r="AO110" s="26" t="n">
        <f aca="false">IF(INDEX('Cable Types'!$F$2:$F$41,MATCH(I110,'Cable Types'!$A$2:$A$41,0))="","",INDEX('Cable Types'!$F$2:$F$41,MATCH(I110,'Cable Types'!$A$2:$A$41,0)))</f>
        <v>85</v>
      </c>
      <c r="AP110" s="33" t="n">
        <f aca="false">IF(INDEX('Cable Types'!$G$2:$G$41,MATCH(I110,'Cable Types'!$A$2:$A$41,0))="","",INDEX('Cable Types'!$G$2:$G$41,MATCH(I110,'Cable Types'!$A$2:$A$41,0)))</f>
        <v>4.6</v>
      </c>
    </row>
    <row r="111" customFormat="false" ht="15" hidden="false" customHeight="false" outlineLevel="0" collapsed="false">
      <c r="A111" s="25" t="s">
        <v>860</v>
      </c>
      <c r="B111" s="25" t="s">
        <v>285</v>
      </c>
      <c r="C111" s="25" t="s">
        <v>71</v>
      </c>
      <c r="D111" s="25" t="s">
        <v>861</v>
      </c>
      <c r="E111" s="25" t="s">
        <v>464</v>
      </c>
      <c r="F111" s="26" t="str">
        <f aca="false">INDEX(Equipment!$B$2:$B$137,MATCH(E111,Equipment!$A$2:$A$137,0))</f>
        <v>230 V AC UPS</v>
      </c>
      <c r="G111" s="25" t="s">
        <v>292</v>
      </c>
      <c r="H111" s="26" t="str">
        <f aca="false">INDEX(Equipment!$B$2:$B$137,MATCH(G111,Equipment!$A$2:$A$137,0))</f>
        <v>DCS remote I/O cabinet - CCS</v>
      </c>
      <c r="I111" s="25" t="s">
        <v>532</v>
      </c>
      <c r="J111" s="26" t="str">
        <f aca="false">INDEX('Cable Types'!$B$2:$B$41,MATCH(I111,'Cable Types'!$A$2:$A$41,0))</f>
        <v>0.6/1 kV 2C 35 mm2 Cu/XLPE/SWA/PVC</v>
      </c>
      <c r="K111" s="25" t="n">
        <v>1</v>
      </c>
      <c r="L111" s="25" t="s">
        <v>659</v>
      </c>
      <c r="M111" s="25" t="s">
        <v>638</v>
      </c>
      <c r="N111" s="25"/>
      <c r="O111" s="27" t="n">
        <f aca="false">IF(N111&lt;&gt;"",N111,IF(M111="D",ROUNDUP(SQRT((AH111-AE111)^2+(AI111-AF111)^2+(AJ111-AG111)^2)*(1+'Design Basis'!$C$6),0),ROUNDUP((ABS(AH111-AE111)+ABS(AI111-AF111)+ABS(AK111-AG111)+ABS(AK111-AJ111))*(1+'Design Basis'!$C$4)+2*'Design Basis'!$C$5,0)))</f>
        <v>164</v>
      </c>
      <c r="P111" s="27" t="n">
        <f aca="false">O111*K111*AM111</f>
        <v>164</v>
      </c>
      <c r="Q111" s="28" t="n">
        <v>230</v>
      </c>
      <c r="R111" s="25" t="n">
        <v>1</v>
      </c>
      <c r="S111" s="28" t="n">
        <v>5</v>
      </c>
      <c r="T111" s="29" t="n">
        <v>1</v>
      </c>
      <c r="U111" s="27" t="n">
        <f aca="false">IF(OR(S111="",Q111=""),"",IF(R111=3,S111*1000/(SQRT(3)*Q111*T111),S111*1000/(Q111*T111)))</f>
        <v>21.7391304347826</v>
      </c>
      <c r="V111" s="27" t="n">
        <f aca="false">IF(OR(AO111="",AL111=""),"",AO111*AL111)</f>
        <v>144</v>
      </c>
      <c r="W111" s="27" t="n">
        <f aca="false">IF(V111="","",V111*K111)</f>
        <v>144</v>
      </c>
      <c r="X111" s="30" t="n">
        <f aca="false">IF(OR(U111="",W111=""),"",U111/W111)</f>
        <v>0.150966183574879</v>
      </c>
      <c r="Y111" s="30" t="n">
        <f aca="false">IF(OR(U111="",AP111=""),"",AP111*(U111/K111)*O111/1000/Q111)</f>
        <v>0.0209262759924386</v>
      </c>
      <c r="Z111" s="30" t="n">
        <f aca="false">IF(U111="","",IFERROR(IF(INDEX('Design Basis'!$C$13:$C$21,MATCH(C111,'Design Basis'!$A$13:$A$21,0))="","",INDEX('Design Basis'!$C$13:$C$21,MATCH(C111,'Design Basis'!$A$13:$A$21,0))),""))</f>
        <v>0.03</v>
      </c>
      <c r="AA111" s="31" t="str">
        <f aca="false">IF(U111="","n/a",IF(W111="","CHECK",IF(AND(X111&lt;=1,OR(Y111="",Z111="",Y111&lt;=Z111)),"OK","CHECK")))</f>
        <v>OK</v>
      </c>
      <c r="AB111" s="27" t="n">
        <f aca="false">IF(AN111="","",K111*AM111*PI()/4*AN111^2)</f>
        <v>490.873852123405</v>
      </c>
      <c r="AC111" s="31"/>
      <c r="AE111" s="32" t="n">
        <f aca="false">INDEX(Equipment!$D$2:$D$137,MATCH(E111,Equipment!$A$2:$A$137,0))</f>
        <v>43</v>
      </c>
      <c r="AF111" s="32" t="n">
        <f aca="false">INDEX(Equipment!$E$2:$E$137,MATCH(E111,Equipment!$A$2:$A$137,0))</f>
        <v>55</v>
      </c>
      <c r="AG111" s="32" t="n">
        <f aca="false">INDEX(Equipment!$F$2:$F$137,MATCH(E111,Equipment!$A$2:$A$137,0))</f>
        <v>0.5</v>
      </c>
      <c r="AH111" s="32" t="n">
        <f aca="false">INDEX(Equipment!$D$2:$D$137,MATCH(G111,Equipment!$A$2:$A$137,0))</f>
        <v>174</v>
      </c>
      <c r="AI111" s="32" t="n">
        <f aca="false">INDEX(Equipment!$E$2:$E$137,MATCH(G111,Equipment!$A$2:$A$137,0))</f>
        <v>58</v>
      </c>
      <c r="AJ111" s="32" t="n">
        <f aca="false">INDEX(Equipment!$F$2:$F$137,MATCH(G111,Equipment!$A$2:$A$137,0))</f>
        <v>0.5</v>
      </c>
      <c r="AK111" s="32" t="n">
        <f aca="false">IF(INDEX(Raceways!$D$2:$D$18,MATCH(L111,Raceways!$A$2:$A$18,0))="",0,INDEX(Raceways!$D$2:$D$18,MATCH(L111,Raceways!$A$2:$A$18,0)))</f>
        <v>5</v>
      </c>
      <c r="AL111" s="33" t="n">
        <f aca="false">IF(INDEX(Raceways!$I$2:$I$18,MATCH(L111,Raceways!$A$2:$A$18,0))="","",INDEX(Raceways!$I$2:$I$18,MATCH(L111,Raceways!$A$2:$A$18,0)))</f>
        <v>0.8</v>
      </c>
      <c r="AM111" s="26" t="n">
        <f aca="false">INDEX('Cable Types'!$D$2:$D$41,MATCH(I111,'Cable Types'!$A$2:$A$41,0))</f>
        <v>1</v>
      </c>
      <c r="AN111" s="26" t="n">
        <f aca="false">IF(INDEX('Cable Types'!$E$2:$E$41,MATCH(I111,'Cable Types'!$A$2:$A$41,0))="","",INDEX('Cable Types'!$E$2:$E$41,MATCH(I111,'Cable Types'!$A$2:$A$41,0)))</f>
        <v>25</v>
      </c>
      <c r="AO111" s="26" t="n">
        <f aca="false">IF(INDEX('Cable Types'!$F$2:$F$41,MATCH(I111,'Cable Types'!$A$2:$A$41,0))="","",INDEX('Cable Types'!$F$2:$F$41,MATCH(I111,'Cable Types'!$A$2:$A$41,0)))</f>
        <v>180</v>
      </c>
      <c r="AP111" s="33" t="n">
        <f aca="false">IF(INDEX('Cable Types'!$G$2:$G$41,MATCH(I111,'Cable Types'!$A$2:$A$41,0))="","",INDEX('Cable Types'!$G$2:$G$41,MATCH(I111,'Cable Types'!$A$2:$A$41,0)))</f>
        <v>1.35</v>
      </c>
    </row>
    <row r="112" customFormat="false" ht="15" hidden="false" customHeight="false" outlineLevel="0" collapsed="false">
      <c r="A112" s="25" t="s">
        <v>862</v>
      </c>
      <c r="B112" s="25" t="s">
        <v>395</v>
      </c>
      <c r="C112" s="25" t="s">
        <v>71</v>
      </c>
      <c r="D112" s="25" t="s">
        <v>863</v>
      </c>
      <c r="E112" s="25" t="s">
        <v>464</v>
      </c>
      <c r="F112" s="26" t="str">
        <f aca="false">INDEX(Equipment!$B$2:$B$137,MATCH(E112,Equipment!$A$2:$A$137,0))</f>
        <v>230 V AC UPS</v>
      </c>
      <c r="G112" s="25" t="s">
        <v>422</v>
      </c>
      <c r="H112" s="26" t="str">
        <f aca="false">INDEX(Equipment!$B$2:$B$137,MATCH(G112,Equipment!$A$2:$A$137,0))</f>
        <v>DCS remote I/O cabinet - gas station (shelter)</v>
      </c>
      <c r="I112" s="25" t="s">
        <v>532</v>
      </c>
      <c r="J112" s="26" t="str">
        <f aca="false">INDEX('Cable Types'!$B$2:$B$41,MATCH(I112,'Cable Types'!$A$2:$A$41,0))</f>
        <v>0.6/1 kV 2C 35 mm2 Cu/XLPE/SWA/PVC</v>
      </c>
      <c r="K112" s="25" t="n">
        <v>1</v>
      </c>
      <c r="L112" s="25" t="s">
        <v>685</v>
      </c>
      <c r="M112" s="25" t="s">
        <v>638</v>
      </c>
      <c r="N112" s="25"/>
      <c r="O112" s="27" t="n">
        <f aca="false">IF(N112&lt;&gt;"",N112,IF(M112="D",ROUNDUP(SQRT((AH112-AE112)^2+(AI112-AF112)^2+(AJ112-AG112)^2)*(1+'Design Basis'!$C$6),0),ROUNDUP((ABS(AH112-AE112)+ABS(AI112-AF112)+ABS(AK112-AG112)+ABS(AK112-AJ112))*(1+'Design Basis'!$C$4)+2*'Design Basis'!$C$5,0)))</f>
        <v>131</v>
      </c>
      <c r="P112" s="27" t="n">
        <f aca="false">O112*K112*AM112</f>
        <v>131</v>
      </c>
      <c r="Q112" s="28" t="n">
        <v>230</v>
      </c>
      <c r="R112" s="25" t="n">
        <v>1</v>
      </c>
      <c r="S112" s="28" t="n">
        <v>3</v>
      </c>
      <c r="T112" s="29" t="n">
        <v>1</v>
      </c>
      <c r="U112" s="27" t="n">
        <f aca="false">IF(OR(S112="",Q112=""),"",IF(R112=3,S112*1000/(SQRT(3)*Q112*T112),S112*1000/(Q112*T112)))</f>
        <v>13.0434782608696</v>
      </c>
      <c r="V112" s="27" t="n">
        <f aca="false">IF(OR(AO112="",AL112=""),"",AO112*AL112)</f>
        <v>144</v>
      </c>
      <c r="W112" s="27" t="n">
        <f aca="false">IF(V112="","",V112*K112)</f>
        <v>144</v>
      </c>
      <c r="X112" s="30" t="n">
        <f aca="false">IF(OR(U112="",W112=""),"",U112/W112)</f>
        <v>0.0905797101449275</v>
      </c>
      <c r="Y112" s="30" t="n">
        <f aca="false">IF(OR(U112="",AP112=""),"",AP112*(U112/K112)*O112/1000/Q112)</f>
        <v>0.0100293005671078</v>
      </c>
      <c r="Z112" s="30" t="n">
        <f aca="false">IF(U112="","",IFERROR(IF(INDEX('Design Basis'!$C$13:$C$21,MATCH(C112,'Design Basis'!$A$13:$A$21,0))="","",INDEX('Design Basis'!$C$13:$C$21,MATCH(C112,'Design Basis'!$A$13:$A$21,0))),""))</f>
        <v>0.03</v>
      </c>
      <c r="AA112" s="31" t="str">
        <f aca="false">IF(U112="","n/a",IF(W112="","CHECK",IF(AND(X112&lt;=1,OR(Y112="",Z112="",Y112&lt;=Z112)),"OK","CHECK")))</f>
        <v>OK</v>
      </c>
      <c r="AB112" s="27" t="n">
        <f aca="false">IF(AN112="","",K112*AM112*PI()/4*AN112^2)</f>
        <v>490.873852123405</v>
      </c>
      <c r="AC112" s="31"/>
      <c r="AE112" s="32" t="n">
        <f aca="false">INDEX(Equipment!$D$2:$D$137,MATCH(E112,Equipment!$A$2:$A$137,0))</f>
        <v>43</v>
      </c>
      <c r="AF112" s="32" t="n">
        <f aca="false">INDEX(Equipment!$E$2:$E$137,MATCH(E112,Equipment!$A$2:$A$137,0))</f>
        <v>55</v>
      </c>
      <c r="AG112" s="32" t="n">
        <f aca="false">INDEX(Equipment!$F$2:$F$137,MATCH(E112,Equipment!$A$2:$A$137,0))</f>
        <v>0.5</v>
      </c>
      <c r="AH112" s="32" t="n">
        <f aca="false">INDEX(Equipment!$D$2:$D$137,MATCH(G112,Equipment!$A$2:$A$137,0))</f>
        <v>-18</v>
      </c>
      <c r="AI112" s="32" t="n">
        <f aca="false">INDEX(Equipment!$E$2:$E$137,MATCH(G112,Equipment!$A$2:$A$137,0))</f>
        <v>12</v>
      </c>
      <c r="AJ112" s="32" t="n">
        <f aca="false">INDEX(Equipment!$F$2:$F$137,MATCH(G112,Equipment!$A$2:$A$137,0))</f>
        <v>0.5</v>
      </c>
      <c r="AK112" s="32" t="n">
        <f aca="false">IF(INDEX(Raceways!$D$2:$D$18,MATCH(L112,Raceways!$A$2:$A$18,0))="",0,INDEX(Raceways!$D$2:$D$18,MATCH(L112,Raceways!$A$2:$A$18,0)))</f>
        <v>5</v>
      </c>
      <c r="AL112" s="33" t="n">
        <f aca="false">IF(INDEX(Raceways!$I$2:$I$18,MATCH(L112,Raceways!$A$2:$A$18,0))="","",INDEX(Raceways!$I$2:$I$18,MATCH(L112,Raceways!$A$2:$A$18,0)))</f>
        <v>0.8</v>
      </c>
      <c r="AM112" s="26" t="n">
        <f aca="false">INDEX('Cable Types'!$D$2:$D$41,MATCH(I112,'Cable Types'!$A$2:$A$41,0))</f>
        <v>1</v>
      </c>
      <c r="AN112" s="26" t="n">
        <f aca="false">IF(INDEX('Cable Types'!$E$2:$E$41,MATCH(I112,'Cable Types'!$A$2:$A$41,0))="","",INDEX('Cable Types'!$E$2:$E$41,MATCH(I112,'Cable Types'!$A$2:$A$41,0)))</f>
        <v>25</v>
      </c>
      <c r="AO112" s="26" t="n">
        <f aca="false">IF(INDEX('Cable Types'!$F$2:$F$41,MATCH(I112,'Cable Types'!$A$2:$A$41,0))="","",INDEX('Cable Types'!$F$2:$F$41,MATCH(I112,'Cable Types'!$A$2:$A$41,0)))</f>
        <v>180</v>
      </c>
      <c r="AP112" s="33" t="n">
        <f aca="false">IF(INDEX('Cable Types'!$G$2:$G$41,MATCH(I112,'Cable Types'!$A$2:$A$41,0))="","",INDEX('Cable Types'!$G$2:$G$41,MATCH(I112,'Cable Types'!$A$2:$A$41,0)))</f>
        <v>1.35</v>
      </c>
    </row>
    <row r="113" customFormat="false" ht="15" hidden="false" customHeight="false" outlineLevel="0" collapsed="false">
      <c r="A113" s="25" t="s">
        <v>864</v>
      </c>
      <c r="B113" s="25" t="s">
        <v>102</v>
      </c>
      <c r="C113" s="25" t="s">
        <v>74</v>
      </c>
      <c r="D113" s="25" t="s">
        <v>865</v>
      </c>
      <c r="E113" s="25" t="s">
        <v>100</v>
      </c>
      <c r="F113" s="26" t="str">
        <f aca="false">INDEX(Equipment!$B$2:$B$137,MATCH(E113,Equipment!$A$2:$A$137,0))</f>
        <v>230 kV bay 1 - RICE transformer bay (gantry dead-end)</v>
      </c>
      <c r="G113" s="25" t="s">
        <v>122</v>
      </c>
      <c r="H113" s="26" t="str">
        <f aca="false">INDEX(Equipment!$B$2:$B$137,MATCH(G113,Equipment!$A$2:$A$137,0))</f>
        <v>Switchyard relay &amp; control building</v>
      </c>
      <c r="I113" s="25" t="s">
        <v>541</v>
      </c>
      <c r="J113" s="26" t="str">
        <f aca="false">INDEX('Cable Types'!$B$2:$B$41,MATCH(I113,'Cable Types'!$A$2:$A$41,0))</f>
        <v>0.6/1 kV 24C 1.5 mm2 Cu/PVC/SWA/PVC control</v>
      </c>
      <c r="K113" s="25" t="n">
        <v>2</v>
      </c>
      <c r="L113" s="25" t="s">
        <v>866</v>
      </c>
      <c r="M113" s="25" t="s">
        <v>638</v>
      </c>
      <c r="N113" s="25"/>
      <c r="O113" s="27" t="n">
        <f aca="false">IF(N113&lt;&gt;"",N113,IF(M113="D",ROUNDUP(SQRT((AH113-AE113)^2+(AI113-AF113)^2+(AJ113-AG113)^2)*(1+'Design Basis'!$C$6),0),ROUNDUP((ABS(AH113-AE113)+ABS(AI113-AF113)+ABS(AK113-AG113)+ABS(AK113-AJ113))*(1+'Design Basis'!$C$4)+2*'Design Basis'!$C$5,0)))</f>
        <v>116</v>
      </c>
      <c r="P113" s="27" t="n">
        <f aca="false">O113*K113*AM113</f>
        <v>232</v>
      </c>
      <c r="Q113" s="28"/>
      <c r="R113" s="25"/>
      <c r="S113" s="28"/>
      <c r="T113" s="29"/>
      <c r="U113" s="27" t="str">
        <f aca="false">IF(OR(S113="",Q113=""),"",IF(R113=3,S113*1000/(SQRT(3)*Q113*T113),S113*1000/(Q113*T113)))</f>
        <v/>
      </c>
      <c r="V113" s="27" t="str">
        <f aca="false">IF(OR(AO113="",AL113=""),"",AO113*AL113)</f>
        <v/>
      </c>
      <c r="W113" s="27" t="str">
        <f aca="false">IF(V113="","",V113*K113)</f>
        <v/>
      </c>
      <c r="X113" s="30" t="str">
        <f aca="false">IF(OR(U113="",W113=""),"",U113/W113)</f>
        <v/>
      </c>
      <c r="Y113" s="30" t="str">
        <f aca="false">IF(OR(U113="",AP113=""),"",AP113*(U113/K113)*O113/1000/Q113)</f>
        <v/>
      </c>
      <c r="Z113" s="30" t="str">
        <f aca="false">IF(U113="","",IFERROR(IF(INDEX('Design Basis'!$C$13:$C$21,MATCH(C113,'Design Basis'!$A$13:$A$21,0))="","",INDEX('Design Basis'!$C$13:$C$21,MATCH(C113,'Design Basis'!$A$13:$A$21,0))),""))</f>
        <v/>
      </c>
      <c r="AA113" s="31" t="str">
        <f aca="false">IF(U113="","n/a",IF(W113="","CHECK",IF(AND(X113&lt;=1,OR(Y113="",Z113="",Y113&lt;=Z113)),"OK","CHECK")))</f>
        <v>n/a</v>
      </c>
      <c r="AB113" s="27" t="n">
        <f aca="false">IF(AN113="","",K113*AM113*PI()/4*AN113^2)</f>
        <v>904.77868423386</v>
      </c>
      <c r="AC113" s="31"/>
      <c r="AE113" s="32" t="n">
        <f aca="false">INDEX(Equipment!$D$2:$D$137,MATCH(E113,Equipment!$A$2:$A$137,0))</f>
        <v>20</v>
      </c>
      <c r="AF113" s="32" t="n">
        <f aca="false">INDEX(Equipment!$E$2:$E$137,MATCH(E113,Equipment!$A$2:$A$137,0))</f>
        <v>137.5</v>
      </c>
      <c r="AG113" s="32" t="n">
        <f aca="false">INDEX(Equipment!$F$2:$F$137,MATCH(E113,Equipment!$A$2:$A$137,0))</f>
        <v>12.5</v>
      </c>
      <c r="AH113" s="32" t="n">
        <f aca="false">INDEX(Equipment!$D$2:$D$137,MATCH(G113,Equipment!$A$2:$A$137,0))</f>
        <v>95</v>
      </c>
      <c r="AI113" s="32" t="n">
        <f aca="false">INDEX(Equipment!$E$2:$E$137,MATCH(G113,Equipment!$A$2:$A$137,0))</f>
        <v>128</v>
      </c>
      <c r="AJ113" s="32" t="n">
        <f aca="false">INDEX(Equipment!$F$2:$F$137,MATCH(G113,Equipment!$A$2:$A$137,0))</f>
        <v>0.5</v>
      </c>
      <c r="AK113" s="32" t="n">
        <f aca="false">IF(INDEX(Raceways!$D$2:$D$18,MATCH(L113,Raceways!$A$2:$A$18,0))="",0,INDEX(Raceways!$D$2:$D$18,MATCH(L113,Raceways!$A$2:$A$18,0)))</f>
        <v>-0.8</v>
      </c>
      <c r="AL113" s="33" t="n">
        <f aca="false">IF(INDEX(Raceways!$I$2:$I$18,MATCH(L113,Raceways!$A$2:$A$18,0))="","",INDEX(Raceways!$I$2:$I$18,MATCH(L113,Raceways!$A$2:$A$18,0)))</f>
        <v>0.8</v>
      </c>
      <c r="AM113" s="26" t="n">
        <f aca="false">INDEX('Cable Types'!$D$2:$D$41,MATCH(I113,'Cable Types'!$A$2:$A$41,0))</f>
        <v>1</v>
      </c>
      <c r="AN113" s="26" t="n">
        <f aca="false">IF(INDEX('Cable Types'!$E$2:$E$41,MATCH(I113,'Cable Types'!$A$2:$A$41,0))="","",INDEX('Cable Types'!$E$2:$E$41,MATCH(I113,'Cable Types'!$A$2:$A$41,0)))</f>
        <v>24</v>
      </c>
      <c r="AO113" s="26" t="str">
        <f aca="false">IF(INDEX('Cable Types'!$F$2:$F$41,MATCH(I113,'Cable Types'!$A$2:$A$41,0))="","",INDEX('Cable Types'!$F$2:$F$41,MATCH(I113,'Cable Types'!$A$2:$A$41,0)))</f>
        <v/>
      </c>
      <c r="AP113" s="33" t="str">
        <f aca="false">IF(INDEX('Cable Types'!$G$2:$G$41,MATCH(I113,'Cable Types'!$A$2:$A$41,0))="","",INDEX('Cable Types'!$G$2:$G$41,MATCH(I113,'Cable Types'!$A$2:$A$41,0)))</f>
        <v/>
      </c>
    </row>
    <row r="114" customFormat="false" ht="15" hidden="false" customHeight="false" outlineLevel="0" collapsed="false">
      <c r="A114" s="25" t="s">
        <v>867</v>
      </c>
      <c r="B114" s="25" t="s">
        <v>102</v>
      </c>
      <c r="C114" s="25" t="s">
        <v>74</v>
      </c>
      <c r="D114" s="25" t="s">
        <v>868</v>
      </c>
      <c r="E114" s="25" t="s">
        <v>100</v>
      </c>
      <c r="F114" s="26" t="str">
        <f aca="false">INDEX(Equipment!$B$2:$B$137,MATCH(E114,Equipment!$A$2:$A$137,0))</f>
        <v>230 kV bay 1 - RICE transformer bay (gantry dead-end)</v>
      </c>
      <c r="G114" s="25" t="s">
        <v>122</v>
      </c>
      <c r="H114" s="26" t="str">
        <f aca="false">INDEX(Equipment!$B$2:$B$137,MATCH(G114,Equipment!$A$2:$A$137,0))</f>
        <v>Switchyard relay &amp; control building</v>
      </c>
      <c r="I114" s="25" t="s">
        <v>543</v>
      </c>
      <c r="J114" s="26" t="str">
        <f aca="false">INDEX('Cable Types'!$B$2:$B$41,MATCH(I114,'Cable Types'!$A$2:$A$41,0))</f>
        <v>0.6/1 kV 12C 4 mm2 Cu/PVC/SWA/PVC (CT/VT circuits)</v>
      </c>
      <c r="K114" s="25" t="n">
        <v>2</v>
      </c>
      <c r="L114" s="25" t="s">
        <v>866</v>
      </c>
      <c r="M114" s="25" t="s">
        <v>638</v>
      </c>
      <c r="N114" s="25"/>
      <c r="O114" s="27" t="n">
        <f aca="false">IF(N114&lt;&gt;"",N114,IF(M114="D",ROUNDUP(SQRT((AH114-AE114)^2+(AI114-AF114)^2+(AJ114-AG114)^2)*(1+'Design Basis'!$C$6),0),ROUNDUP((ABS(AH114-AE114)+ABS(AI114-AF114)+ABS(AK114-AG114)+ABS(AK114-AJ114))*(1+'Design Basis'!$C$4)+2*'Design Basis'!$C$5,0)))</f>
        <v>116</v>
      </c>
      <c r="P114" s="27" t="n">
        <f aca="false">O114*K114*AM114</f>
        <v>232</v>
      </c>
      <c r="Q114" s="28"/>
      <c r="R114" s="25"/>
      <c r="S114" s="28"/>
      <c r="T114" s="29"/>
      <c r="U114" s="27" t="str">
        <f aca="false">IF(OR(S114="",Q114=""),"",IF(R114=3,S114*1000/(SQRT(3)*Q114*T114),S114*1000/(Q114*T114)))</f>
        <v/>
      </c>
      <c r="V114" s="27" t="str">
        <f aca="false">IF(OR(AO114="",AL114=""),"",AO114*AL114)</f>
        <v/>
      </c>
      <c r="W114" s="27" t="str">
        <f aca="false">IF(V114="","",V114*K114)</f>
        <v/>
      </c>
      <c r="X114" s="30" t="str">
        <f aca="false">IF(OR(U114="",W114=""),"",U114/W114)</f>
        <v/>
      </c>
      <c r="Y114" s="30" t="str">
        <f aca="false">IF(OR(U114="",AP114=""),"",AP114*(U114/K114)*O114/1000/Q114)</f>
        <v/>
      </c>
      <c r="Z114" s="30" t="str">
        <f aca="false">IF(U114="","",IFERROR(IF(INDEX('Design Basis'!$C$13:$C$21,MATCH(C114,'Design Basis'!$A$13:$A$21,0))="","",INDEX('Design Basis'!$C$13:$C$21,MATCH(C114,'Design Basis'!$A$13:$A$21,0))),""))</f>
        <v/>
      </c>
      <c r="AA114" s="31" t="str">
        <f aca="false">IF(U114="","n/a",IF(W114="","CHECK",IF(AND(X114&lt;=1,OR(Y114="",Z114="",Y114&lt;=Z114)),"OK","CHECK")))</f>
        <v>n/a</v>
      </c>
      <c r="AB114" s="27" t="n">
        <f aca="false">IF(AN114="","",K114*AM114*PI()/4*AN114^2)</f>
        <v>981.74770424681</v>
      </c>
      <c r="AC114" s="31" t="s">
        <v>869</v>
      </c>
      <c r="AE114" s="32" t="n">
        <f aca="false">INDEX(Equipment!$D$2:$D$137,MATCH(E114,Equipment!$A$2:$A$137,0))</f>
        <v>20</v>
      </c>
      <c r="AF114" s="32" t="n">
        <f aca="false">INDEX(Equipment!$E$2:$E$137,MATCH(E114,Equipment!$A$2:$A$137,0))</f>
        <v>137.5</v>
      </c>
      <c r="AG114" s="32" t="n">
        <f aca="false">INDEX(Equipment!$F$2:$F$137,MATCH(E114,Equipment!$A$2:$A$137,0))</f>
        <v>12.5</v>
      </c>
      <c r="AH114" s="32" t="n">
        <f aca="false">INDEX(Equipment!$D$2:$D$137,MATCH(G114,Equipment!$A$2:$A$137,0))</f>
        <v>95</v>
      </c>
      <c r="AI114" s="32" t="n">
        <f aca="false">INDEX(Equipment!$E$2:$E$137,MATCH(G114,Equipment!$A$2:$A$137,0))</f>
        <v>128</v>
      </c>
      <c r="AJ114" s="32" t="n">
        <f aca="false">INDEX(Equipment!$F$2:$F$137,MATCH(G114,Equipment!$A$2:$A$137,0))</f>
        <v>0.5</v>
      </c>
      <c r="AK114" s="32" t="n">
        <f aca="false">IF(INDEX(Raceways!$D$2:$D$18,MATCH(L114,Raceways!$A$2:$A$18,0))="",0,INDEX(Raceways!$D$2:$D$18,MATCH(L114,Raceways!$A$2:$A$18,0)))</f>
        <v>-0.8</v>
      </c>
      <c r="AL114" s="33" t="n">
        <f aca="false">IF(INDEX(Raceways!$I$2:$I$18,MATCH(L114,Raceways!$A$2:$A$18,0))="","",INDEX(Raceways!$I$2:$I$18,MATCH(L114,Raceways!$A$2:$A$18,0)))</f>
        <v>0.8</v>
      </c>
      <c r="AM114" s="26" t="n">
        <f aca="false">INDEX('Cable Types'!$D$2:$D$41,MATCH(I114,'Cable Types'!$A$2:$A$41,0))</f>
        <v>1</v>
      </c>
      <c r="AN114" s="26" t="n">
        <f aca="false">IF(INDEX('Cable Types'!$E$2:$E$41,MATCH(I114,'Cable Types'!$A$2:$A$41,0))="","",INDEX('Cable Types'!$E$2:$E$41,MATCH(I114,'Cable Types'!$A$2:$A$41,0)))</f>
        <v>25</v>
      </c>
      <c r="AO114" s="26" t="str">
        <f aca="false">IF(INDEX('Cable Types'!$F$2:$F$41,MATCH(I114,'Cable Types'!$A$2:$A$41,0))="","",INDEX('Cable Types'!$F$2:$F$41,MATCH(I114,'Cable Types'!$A$2:$A$41,0)))</f>
        <v/>
      </c>
      <c r="AP114" s="33" t="str">
        <f aca="false">IF(INDEX('Cable Types'!$G$2:$G$41,MATCH(I114,'Cable Types'!$A$2:$A$41,0))="","",INDEX('Cable Types'!$G$2:$G$41,MATCH(I114,'Cable Types'!$A$2:$A$41,0)))</f>
        <v/>
      </c>
    </row>
    <row r="115" customFormat="false" ht="15" hidden="false" customHeight="false" outlineLevel="0" collapsed="false">
      <c r="A115" s="25" t="s">
        <v>870</v>
      </c>
      <c r="B115" s="25" t="s">
        <v>102</v>
      </c>
      <c r="C115" s="25" t="s">
        <v>74</v>
      </c>
      <c r="D115" s="25" t="s">
        <v>871</v>
      </c>
      <c r="E115" s="25" t="s">
        <v>104</v>
      </c>
      <c r="F115" s="26" t="str">
        <f aca="false">INDEX(Equipment!$B$2:$B$137,MATCH(E115,Equipment!$A$2:$A$137,0))</f>
        <v>230 kV bay 2 - bus coupler (gantry dead-end)</v>
      </c>
      <c r="G115" s="25" t="s">
        <v>122</v>
      </c>
      <c r="H115" s="26" t="str">
        <f aca="false">INDEX(Equipment!$B$2:$B$137,MATCH(G115,Equipment!$A$2:$A$137,0))</f>
        <v>Switchyard relay &amp; control building</v>
      </c>
      <c r="I115" s="25" t="s">
        <v>541</v>
      </c>
      <c r="J115" s="26" t="str">
        <f aca="false">INDEX('Cable Types'!$B$2:$B$41,MATCH(I115,'Cable Types'!$A$2:$A$41,0))</f>
        <v>0.6/1 kV 24C 1.5 mm2 Cu/PVC/SWA/PVC control</v>
      </c>
      <c r="K115" s="25" t="n">
        <v>2</v>
      </c>
      <c r="L115" s="25" t="s">
        <v>866</v>
      </c>
      <c r="M115" s="25" t="s">
        <v>638</v>
      </c>
      <c r="N115" s="25"/>
      <c r="O115" s="27" t="n">
        <f aca="false">IF(N115&lt;&gt;"",N115,IF(M115="D",ROUNDUP(SQRT((AH115-AE115)^2+(AI115-AF115)^2+(AJ115-AG115)^2)*(1+'Design Basis'!$C$6),0),ROUNDUP((ABS(AH115-AE115)+ABS(AI115-AF115)+ABS(AK115-AG115)+ABS(AK115-AJ115))*(1+'Design Basis'!$C$4)+2*'Design Basis'!$C$5,0)))</f>
        <v>94</v>
      </c>
      <c r="P115" s="27" t="n">
        <f aca="false">O115*K115*AM115</f>
        <v>188</v>
      </c>
      <c r="Q115" s="28"/>
      <c r="R115" s="25"/>
      <c r="S115" s="28"/>
      <c r="T115" s="29"/>
      <c r="U115" s="27" t="str">
        <f aca="false">IF(OR(S115="",Q115=""),"",IF(R115=3,S115*1000/(SQRT(3)*Q115*T115),S115*1000/(Q115*T115)))</f>
        <v/>
      </c>
      <c r="V115" s="27" t="str">
        <f aca="false">IF(OR(AO115="",AL115=""),"",AO115*AL115)</f>
        <v/>
      </c>
      <c r="W115" s="27" t="str">
        <f aca="false">IF(V115="","",V115*K115)</f>
        <v/>
      </c>
      <c r="X115" s="30" t="str">
        <f aca="false">IF(OR(U115="",W115=""),"",U115/W115)</f>
        <v/>
      </c>
      <c r="Y115" s="30" t="str">
        <f aca="false">IF(OR(U115="",AP115=""),"",AP115*(U115/K115)*O115/1000/Q115)</f>
        <v/>
      </c>
      <c r="Z115" s="30" t="str">
        <f aca="false">IF(U115="","",IFERROR(IF(INDEX('Design Basis'!$C$13:$C$21,MATCH(C115,'Design Basis'!$A$13:$A$21,0))="","",INDEX('Design Basis'!$C$13:$C$21,MATCH(C115,'Design Basis'!$A$13:$A$21,0))),""))</f>
        <v/>
      </c>
      <c r="AA115" s="31" t="str">
        <f aca="false">IF(U115="","n/a",IF(W115="","CHECK",IF(AND(X115&lt;=1,OR(Y115="",Z115="",Y115&lt;=Z115)),"OK","CHECK")))</f>
        <v>n/a</v>
      </c>
      <c r="AB115" s="27" t="n">
        <f aca="false">IF(AN115="","",K115*AM115*PI()/4*AN115^2)</f>
        <v>904.77868423386</v>
      </c>
      <c r="AC115" s="31"/>
      <c r="AE115" s="32" t="n">
        <f aca="false">INDEX(Equipment!$D$2:$D$137,MATCH(E115,Equipment!$A$2:$A$137,0))</f>
        <v>40</v>
      </c>
      <c r="AF115" s="32" t="n">
        <f aca="false">INDEX(Equipment!$E$2:$E$137,MATCH(E115,Equipment!$A$2:$A$137,0))</f>
        <v>137.5</v>
      </c>
      <c r="AG115" s="32" t="n">
        <f aca="false">INDEX(Equipment!$F$2:$F$137,MATCH(E115,Equipment!$A$2:$A$137,0))</f>
        <v>12.5</v>
      </c>
      <c r="AH115" s="32" t="n">
        <f aca="false">INDEX(Equipment!$D$2:$D$137,MATCH(G115,Equipment!$A$2:$A$137,0))</f>
        <v>95</v>
      </c>
      <c r="AI115" s="32" t="n">
        <f aca="false">INDEX(Equipment!$E$2:$E$137,MATCH(G115,Equipment!$A$2:$A$137,0))</f>
        <v>128</v>
      </c>
      <c r="AJ115" s="32" t="n">
        <f aca="false">INDEX(Equipment!$F$2:$F$137,MATCH(G115,Equipment!$A$2:$A$137,0))</f>
        <v>0.5</v>
      </c>
      <c r="AK115" s="32" t="n">
        <f aca="false">IF(INDEX(Raceways!$D$2:$D$18,MATCH(L115,Raceways!$A$2:$A$18,0))="",0,INDEX(Raceways!$D$2:$D$18,MATCH(L115,Raceways!$A$2:$A$18,0)))</f>
        <v>-0.8</v>
      </c>
      <c r="AL115" s="33" t="n">
        <f aca="false">IF(INDEX(Raceways!$I$2:$I$18,MATCH(L115,Raceways!$A$2:$A$18,0))="","",INDEX(Raceways!$I$2:$I$18,MATCH(L115,Raceways!$A$2:$A$18,0)))</f>
        <v>0.8</v>
      </c>
      <c r="AM115" s="26" t="n">
        <f aca="false">INDEX('Cable Types'!$D$2:$D$41,MATCH(I115,'Cable Types'!$A$2:$A$41,0))</f>
        <v>1</v>
      </c>
      <c r="AN115" s="26" t="n">
        <f aca="false">IF(INDEX('Cable Types'!$E$2:$E$41,MATCH(I115,'Cable Types'!$A$2:$A$41,0))="","",INDEX('Cable Types'!$E$2:$E$41,MATCH(I115,'Cable Types'!$A$2:$A$41,0)))</f>
        <v>24</v>
      </c>
      <c r="AO115" s="26" t="str">
        <f aca="false">IF(INDEX('Cable Types'!$F$2:$F$41,MATCH(I115,'Cable Types'!$A$2:$A$41,0))="","",INDEX('Cable Types'!$F$2:$F$41,MATCH(I115,'Cable Types'!$A$2:$A$41,0)))</f>
        <v/>
      </c>
      <c r="AP115" s="33" t="str">
        <f aca="false">IF(INDEX('Cable Types'!$G$2:$G$41,MATCH(I115,'Cable Types'!$A$2:$A$41,0))="","",INDEX('Cable Types'!$G$2:$G$41,MATCH(I115,'Cable Types'!$A$2:$A$41,0)))</f>
        <v/>
      </c>
    </row>
    <row r="116" customFormat="false" ht="15" hidden="false" customHeight="false" outlineLevel="0" collapsed="false">
      <c r="A116" s="25" t="s">
        <v>872</v>
      </c>
      <c r="B116" s="25" t="s">
        <v>102</v>
      </c>
      <c r="C116" s="25" t="s">
        <v>74</v>
      </c>
      <c r="D116" s="25" t="s">
        <v>873</v>
      </c>
      <c r="E116" s="25" t="s">
        <v>104</v>
      </c>
      <c r="F116" s="26" t="str">
        <f aca="false">INDEX(Equipment!$B$2:$B$137,MATCH(E116,Equipment!$A$2:$A$137,0))</f>
        <v>230 kV bay 2 - bus coupler (gantry dead-end)</v>
      </c>
      <c r="G116" s="25" t="s">
        <v>122</v>
      </c>
      <c r="H116" s="26" t="str">
        <f aca="false">INDEX(Equipment!$B$2:$B$137,MATCH(G116,Equipment!$A$2:$A$137,0))</f>
        <v>Switchyard relay &amp; control building</v>
      </c>
      <c r="I116" s="25" t="s">
        <v>543</v>
      </c>
      <c r="J116" s="26" t="str">
        <f aca="false">INDEX('Cable Types'!$B$2:$B$41,MATCH(I116,'Cable Types'!$A$2:$A$41,0))</f>
        <v>0.6/1 kV 12C 4 mm2 Cu/PVC/SWA/PVC (CT/VT circuits)</v>
      </c>
      <c r="K116" s="25" t="n">
        <v>2</v>
      </c>
      <c r="L116" s="25" t="s">
        <v>866</v>
      </c>
      <c r="M116" s="25" t="s">
        <v>638</v>
      </c>
      <c r="N116" s="25"/>
      <c r="O116" s="27" t="n">
        <f aca="false">IF(N116&lt;&gt;"",N116,IF(M116="D",ROUNDUP(SQRT((AH116-AE116)^2+(AI116-AF116)^2+(AJ116-AG116)^2)*(1+'Design Basis'!$C$6),0),ROUNDUP((ABS(AH116-AE116)+ABS(AI116-AF116)+ABS(AK116-AG116)+ABS(AK116-AJ116))*(1+'Design Basis'!$C$4)+2*'Design Basis'!$C$5,0)))</f>
        <v>94</v>
      </c>
      <c r="P116" s="27" t="n">
        <f aca="false">O116*K116*AM116</f>
        <v>188</v>
      </c>
      <c r="Q116" s="28"/>
      <c r="R116" s="25"/>
      <c r="S116" s="28"/>
      <c r="T116" s="29"/>
      <c r="U116" s="27" t="str">
        <f aca="false">IF(OR(S116="",Q116=""),"",IF(R116=3,S116*1000/(SQRT(3)*Q116*T116),S116*1000/(Q116*T116)))</f>
        <v/>
      </c>
      <c r="V116" s="27" t="str">
        <f aca="false">IF(OR(AO116="",AL116=""),"",AO116*AL116)</f>
        <v/>
      </c>
      <c r="W116" s="27" t="str">
        <f aca="false">IF(V116="","",V116*K116)</f>
        <v/>
      </c>
      <c r="X116" s="30" t="str">
        <f aca="false">IF(OR(U116="",W116=""),"",U116/W116)</f>
        <v/>
      </c>
      <c r="Y116" s="30" t="str">
        <f aca="false">IF(OR(U116="",AP116=""),"",AP116*(U116/K116)*O116/1000/Q116)</f>
        <v/>
      </c>
      <c r="Z116" s="30" t="str">
        <f aca="false">IF(U116="","",IFERROR(IF(INDEX('Design Basis'!$C$13:$C$21,MATCH(C116,'Design Basis'!$A$13:$A$21,0))="","",INDEX('Design Basis'!$C$13:$C$21,MATCH(C116,'Design Basis'!$A$13:$A$21,0))),""))</f>
        <v/>
      </c>
      <c r="AA116" s="31" t="str">
        <f aca="false">IF(U116="","n/a",IF(W116="","CHECK",IF(AND(X116&lt;=1,OR(Y116="",Z116="",Y116&lt;=Z116)),"OK","CHECK")))</f>
        <v>n/a</v>
      </c>
      <c r="AB116" s="27" t="n">
        <f aca="false">IF(AN116="","",K116*AM116*PI()/4*AN116^2)</f>
        <v>981.74770424681</v>
      </c>
      <c r="AC116" s="31" t="s">
        <v>869</v>
      </c>
      <c r="AE116" s="32" t="n">
        <f aca="false">INDEX(Equipment!$D$2:$D$137,MATCH(E116,Equipment!$A$2:$A$137,0))</f>
        <v>40</v>
      </c>
      <c r="AF116" s="32" t="n">
        <f aca="false">INDEX(Equipment!$E$2:$E$137,MATCH(E116,Equipment!$A$2:$A$137,0))</f>
        <v>137.5</v>
      </c>
      <c r="AG116" s="32" t="n">
        <f aca="false">INDEX(Equipment!$F$2:$F$137,MATCH(E116,Equipment!$A$2:$A$137,0))</f>
        <v>12.5</v>
      </c>
      <c r="AH116" s="32" t="n">
        <f aca="false">INDEX(Equipment!$D$2:$D$137,MATCH(G116,Equipment!$A$2:$A$137,0))</f>
        <v>95</v>
      </c>
      <c r="AI116" s="32" t="n">
        <f aca="false">INDEX(Equipment!$E$2:$E$137,MATCH(G116,Equipment!$A$2:$A$137,0))</f>
        <v>128</v>
      </c>
      <c r="AJ116" s="32" t="n">
        <f aca="false">INDEX(Equipment!$F$2:$F$137,MATCH(G116,Equipment!$A$2:$A$137,0))</f>
        <v>0.5</v>
      </c>
      <c r="AK116" s="32" t="n">
        <f aca="false">IF(INDEX(Raceways!$D$2:$D$18,MATCH(L116,Raceways!$A$2:$A$18,0))="",0,INDEX(Raceways!$D$2:$D$18,MATCH(L116,Raceways!$A$2:$A$18,0)))</f>
        <v>-0.8</v>
      </c>
      <c r="AL116" s="33" t="n">
        <f aca="false">IF(INDEX(Raceways!$I$2:$I$18,MATCH(L116,Raceways!$A$2:$A$18,0))="","",INDEX(Raceways!$I$2:$I$18,MATCH(L116,Raceways!$A$2:$A$18,0)))</f>
        <v>0.8</v>
      </c>
      <c r="AM116" s="26" t="n">
        <f aca="false">INDEX('Cable Types'!$D$2:$D$41,MATCH(I116,'Cable Types'!$A$2:$A$41,0))</f>
        <v>1</v>
      </c>
      <c r="AN116" s="26" t="n">
        <f aca="false">IF(INDEX('Cable Types'!$E$2:$E$41,MATCH(I116,'Cable Types'!$A$2:$A$41,0))="","",INDEX('Cable Types'!$E$2:$E$41,MATCH(I116,'Cable Types'!$A$2:$A$41,0)))</f>
        <v>25</v>
      </c>
      <c r="AO116" s="26" t="str">
        <f aca="false">IF(INDEX('Cable Types'!$F$2:$F$41,MATCH(I116,'Cable Types'!$A$2:$A$41,0))="","",INDEX('Cable Types'!$F$2:$F$41,MATCH(I116,'Cable Types'!$A$2:$A$41,0)))</f>
        <v/>
      </c>
      <c r="AP116" s="33" t="str">
        <f aca="false">IF(INDEX('Cable Types'!$G$2:$G$41,MATCH(I116,'Cable Types'!$A$2:$A$41,0))="","",INDEX('Cable Types'!$G$2:$G$41,MATCH(I116,'Cable Types'!$A$2:$A$41,0)))</f>
        <v/>
      </c>
    </row>
    <row r="117" customFormat="false" ht="15" hidden="false" customHeight="false" outlineLevel="0" collapsed="false">
      <c r="A117" s="25" t="s">
        <v>874</v>
      </c>
      <c r="B117" s="25" t="s">
        <v>102</v>
      </c>
      <c r="C117" s="25" t="s">
        <v>74</v>
      </c>
      <c r="D117" s="25" t="s">
        <v>875</v>
      </c>
      <c r="E117" s="25" t="s">
        <v>107</v>
      </c>
      <c r="F117" s="26" t="str">
        <f aca="false">INDEX(Equipment!$B$2:$B$137,MATCH(E117,Equipment!$A$2:$A$137,0))</f>
        <v>230 kV bay 3 - GT generator bay (gantry dead-end)</v>
      </c>
      <c r="G117" s="25" t="s">
        <v>122</v>
      </c>
      <c r="H117" s="26" t="str">
        <f aca="false">INDEX(Equipment!$B$2:$B$137,MATCH(G117,Equipment!$A$2:$A$137,0))</f>
        <v>Switchyard relay &amp; control building</v>
      </c>
      <c r="I117" s="25" t="s">
        <v>541</v>
      </c>
      <c r="J117" s="26" t="str">
        <f aca="false">INDEX('Cable Types'!$B$2:$B$41,MATCH(I117,'Cable Types'!$A$2:$A$41,0))</f>
        <v>0.6/1 kV 24C 1.5 mm2 Cu/PVC/SWA/PVC control</v>
      </c>
      <c r="K117" s="25" t="n">
        <v>2</v>
      </c>
      <c r="L117" s="25" t="s">
        <v>866</v>
      </c>
      <c r="M117" s="25" t="s">
        <v>638</v>
      </c>
      <c r="N117" s="25"/>
      <c r="O117" s="27" t="n">
        <f aca="false">IF(N117&lt;&gt;"",N117,IF(M117="D",ROUNDUP(SQRT((AH117-AE117)^2+(AI117-AF117)^2+(AJ117-AG117)^2)*(1+'Design Basis'!$C$6),0),ROUNDUP((ABS(AH117-AE117)+ABS(AI117-AF117)+ABS(AK117-AG117)+ABS(AK117-AJ117))*(1+'Design Basis'!$C$4)+2*'Design Basis'!$C$5,0)))</f>
        <v>72</v>
      </c>
      <c r="P117" s="27" t="n">
        <f aca="false">O117*K117*AM117</f>
        <v>144</v>
      </c>
      <c r="Q117" s="28"/>
      <c r="R117" s="25"/>
      <c r="S117" s="28"/>
      <c r="T117" s="29"/>
      <c r="U117" s="27" t="str">
        <f aca="false">IF(OR(S117="",Q117=""),"",IF(R117=3,S117*1000/(SQRT(3)*Q117*T117),S117*1000/(Q117*T117)))</f>
        <v/>
      </c>
      <c r="V117" s="27" t="str">
        <f aca="false">IF(OR(AO117="",AL117=""),"",AO117*AL117)</f>
        <v/>
      </c>
      <c r="W117" s="27" t="str">
        <f aca="false">IF(V117="","",V117*K117)</f>
        <v/>
      </c>
      <c r="X117" s="30" t="str">
        <f aca="false">IF(OR(U117="",W117=""),"",U117/W117)</f>
        <v/>
      </c>
      <c r="Y117" s="30" t="str">
        <f aca="false">IF(OR(U117="",AP117=""),"",AP117*(U117/K117)*O117/1000/Q117)</f>
        <v/>
      </c>
      <c r="Z117" s="30" t="str">
        <f aca="false">IF(U117="","",IFERROR(IF(INDEX('Design Basis'!$C$13:$C$21,MATCH(C117,'Design Basis'!$A$13:$A$21,0))="","",INDEX('Design Basis'!$C$13:$C$21,MATCH(C117,'Design Basis'!$A$13:$A$21,0))),""))</f>
        <v/>
      </c>
      <c r="AA117" s="31" t="str">
        <f aca="false">IF(U117="","n/a",IF(W117="","CHECK",IF(AND(X117&lt;=1,OR(Y117="",Z117="",Y117&lt;=Z117)),"OK","CHECK")))</f>
        <v>n/a</v>
      </c>
      <c r="AB117" s="27" t="n">
        <f aca="false">IF(AN117="","",K117*AM117*PI()/4*AN117^2)</f>
        <v>904.77868423386</v>
      </c>
      <c r="AC117" s="31"/>
      <c r="AE117" s="32" t="n">
        <f aca="false">INDEX(Equipment!$D$2:$D$137,MATCH(E117,Equipment!$A$2:$A$137,0))</f>
        <v>60</v>
      </c>
      <c r="AF117" s="32" t="n">
        <f aca="false">INDEX(Equipment!$E$2:$E$137,MATCH(E117,Equipment!$A$2:$A$137,0))</f>
        <v>137.5</v>
      </c>
      <c r="AG117" s="32" t="n">
        <f aca="false">INDEX(Equipment!$F$2:$F$137,MATCH(E117,Equipment!$A$2:$A$137,0))</f>
        <v>12.5</v>
      </c>
      <c r="AH117" s="32" t="n">
        <f aca="false">INDEX(Equipment!$D$2:$D$137,MATCH(G117,Equipment!$A$2:$A$137,0))</f>
        <v>95</v>
      </c>
      <c r="AI117" s="32" t="n">
        <f aca="false">INDEX(Equipment!$E$2:$E$137,MATCH(G117,Equipment!$A$2:$A$137,0))</f>
        <v>128</v>
      </c>
      <c r="AJ117" s="32" t="n">
        <f aca="false">INDEX(Equipment!$F$2:$F$137,MATCH(G117,Equipment!$A$2:$A$137,0))</f>
        <v>0.5</v>
      </c>
      <c r="AK117" s="32" t="n">
        <f aca="false">IF(INDEX(Raceways!$D$2:$D$18,MATCH(L117,Raceways!$A$2:$A$18,0))="",0,INDEX(Raceways!$D$2:$D$18,MATCH(L117,Raceways!$A$2:$A$18,0)))</f>
        <v>-0.8</v>
      </c>
      <c r="AL117" s="33" t="n">
        <f aca="false">IF(INDEX(Raceways!$I$2:$I$18,MATCH(L117,Raceways!$A$2:$A$18,0))="","",INDEX(Raceways!$I$2:$I$18,MATCH(L117,Raceways!$A$2:$A$18,0)))</f>
        <v>0.8</v>
      </c>
      <c r="AM117" s="26" t="n">
        <f aca="false">INDEX('Cable Types'!$D$2:$D$41,MATCH(I117,'Cable Types'!$A$2:$A$41,0))</f>
        <v>1</v>
      </c>
      <c r="AN117" s="26" t="n">
        <f aca="false">IF(INDEX('Cable Types'!$E$2:$E$41,MATCH(I117,'Cable Types'!$A$2:$A$41,0))="","",INDEX('Cable Types'!$E$2:$E$41,MATCH(I117,'Cable Types'!$A$2:$A$41,0)))</f>
        <v>24</v>
      </c>
      <c r="AO117" s="26" t="str">
        <f aca="false">IF(INDEX('Cable Types'!$F$2:$F$41,MATCH(I117,'Cable Types'!$A$2:$A$41,0))="","",INDEX('Cable Types'!$F$2:$F$41,MATCH(I117,'Cable Types'!$A$2:$A$41,0)))</f>
        <v/>
      </c>
      <c r="AP117" s="33" t="str">
        <f aca="false">IF(INDEX('Cable Types'!$G$2:$G$41,MATCH(I117,'Cable Types'!$A$2:$A$41,0))="","",INDEX('Cable Types'!$G$2:$G$41,MATCH(I117,'Cable Types'!$A$2:$A$41,0)))</f>
        <v/>
      </c>
    </row>
    <row r="118" customFormat="false" ht="15" hidden="false" customHeight="false" outlineLevel="0" collapsed="false">
      <c r="A118" s="25" t="s">
        <v>876</v>
      </c>
      <c r="B118" s="25" t="s">
        <v>102</v>
      </c>
      <c r="C118" s="25" t="s">
        <v>74</v>
      </c>
      <c r="D118" s="25" t="s">
        <v>877</v>
      </c>
      <c r="E118" s="25" t="s">
        <v>107</v>
      </c>
      <c r="F118" s="26" t="str">
        <f aca="false">INDEX(Equipment!$B$2:$B$137,MATCH(E118,Equipment!$A$2:$A$137,0))</f>
        <v>230 kV bay 3 - GT generator bay (gantry dead-end)</v>
      </c>
      <c r="G118" s="25" t="s">
        <v>122</v>
      </c>
      <c r="H118" s="26" t="str">
        <f aca="false">INDEX(Equipment!$B$2:$B$137,MATCH(G118,Equipment!$A$2:$A$137,0))</f>
        <v>Switchyard relay &amp; control building</v>
      </c>
      <c r="I118" s="25" t="s">
        <v>543</v>
      </c>
      <c r="J118" s="26" t="str">
        <f aca="false">INDEX('Cable Types'!$B$2:$B$41,MATCH(I118,'Cable Types'!$A$2:$A$41,0))</f>
        <v>0.6/1 kV 12C 4 mm2 Cu/PVC/SWA/PVC (CT/VT circuits)</v>
      </c>
      <c r="K118" s="25" t="n">
        <v>2</v>
      </c>
      <c r="L118" s="25" t="s">
        <v>866</v>
      </c>
      <c r="M118" s="25" t="s">
        <v>638</v>
      </c>
      <c r="N118" s="25"/>
      <c r="O118" s="27" t="n">
        <f aca="false">IF(N118&lt;&gt;"",N118,IF(M118="D",ROUNDUP(SQRT((AH118-AE118)^2+(AI118-AF118)^2+(AJ118-AG118)^2)*(1+'Design Basis'!$C$6),0),ROUNDUP((ABS(AH118-AE118)+ABS(AI118-AF118)+ABS(AK118-AG118)+ABS(AK118-AJ118))*(1+'Design Basis'!$C$4)+2*'Design Basis'!$C$5,0)))</f>
        <v>72</v>
      </c>
      <c r="P118" s="27" t="n">
        <f aca="false">O118*K118*AM118</f>
        <v>144</v>
      </c>
      <c r="Q118" s="28"/>
      <c r="R118" s="25"/>
      <c r="S118" s="28"/>
      <c r="T118" s="29"/>
      <c r="U118" s="27" t="str">
        <f aca="false">IF(OR(S118="",Q118=""),"",IF(R118=3,S118*1000/(SQRT(3)*Q118*T118),S118*1000/(Q118*T118)))</f>
        <v/>
      </c>
      <c r="V118" s="27" t="str">
        <f aca="false">IF(OR(AO118="",AL118=""),"",AO118*AL118)</f>
        <v/>
      </c>
      <c r="W118" s="27" t="str">
        <f aca="false">IF(V118="","",V118*K118)</f>
        <v/>
      </c>
      <c r="X118" s="30" t="str">
        <f aca="false">IF(OR(U118="",W118=""),"",U118/W118)</f>
        <v/>
      </c>
      <c r="Y118" s="30" t="str">
        <f aca="false">IF(OR(U118="",AP118=""),"",AP118*(U118/K118)*O118/1000/Q118)</f>
        <v/>
      </c>
      <c r="Z118" s="30" t="str">
        <f aca="false">IF(U118="","",IFERROR(IF(INDEX('Design Basis'!$C$13:$C$21,MATCH(C118,'Design Basis'!$A$13:$A$21,0))="","",INDEX('Design Basis'!$C$13:$C$21,MATCH(C118,'Design Basis'!$A$13:$A$21,0))),""))</f>
        <v/>
      </c>
      <c r="AA118" s="31" t="str">
        <f aca="false">IF(U118="","n/a",IF(W118="","CHECK",IF(AND(X118&lt;=1,OR(Y118="",Z118="",Y118&lt;=Z118)),"OK","CHECK")))</f>
        <v>n/a</v>
      </c>
      <c r="AB118" s="27" t="n">
        <f aca="false">IF(AN118="","",K118*AM118*PI()/4*AN118^2)</f>
        <v>981.74770424681</v>
      </c>
      <c r="AC118" s="31" t="s">
        <v>869</v>
      </c>
      <c r="AE118" s="32" t="n">
        <f aca="false">INDEX(Equipment!$D$2:$D$137,MATCH(E118,Equipment!$A$2:$A$137,0))</f>
        <v>60</v>
      </c>
      <c r="AF118" s="32" t="n">
        <f aca="false">INDEX(Equipment!$E$2:$E$137,MATCH(E118,Equipment!$A$2:$A$137,0))</f>
        <v>137.5</v>
      </c>
      <c r="AG118" s="32" t="n">
        <f aca="false">INDEX(Equipment!$F$2:$F$137,MATCH(E118,Equipment!$A$2:$A$137,0))</f>
        <v>12.5</v>
      </c>
      <c r="AH118" s="32" t="n">
        <f aca="false">INDEX(Equipment!$D$2:$D$137,MATCH(G118,Equipment!$A$2:$A$137,0))</f>
        <v>95</v>
      </c>
      <c r="AI118" s="32" t="n">
        <f aca="false">INDEX(Equipment!$E$2:$E$137,MATCH(G118,Equipment!$A$2:$A$137,0))</f>
        <v>128</v>
      </c>
      <c r="AJ118" s="32" t="n">
        <f aca="false">INDEX(Equipment!$F$2:$F$137,MATCH(G118,Equipment!$A$2:$A$137,0))</f>
        <v>0.5</v>
      </c>
      <c r="AK118" s="32" t="n">
        <f aca="false">IF(INDEX(Raceways!$D$2:$D$18,MATCH(L118,Raceways!$A$2:$A$18,0))="",0,INDEX(Raceways!$D$2:$D$18,MATCH(L118,Raceways!$A$2:$A$18,0)))</f>
        <v>-0.8</v>
      </c>
      <c r="AL118" s="33" t="n">
        <f aca="false">IF(INDEX(Raceways!$I$2:$I$18,MATCH(L118,Raceways!$A$2:$A$18,0))="","",INDEX(Raceways!$I$2:$I$18,MATCH(L118,Raceways!$A$2:$A$18,0)))</f>
        <v>0.8</v>
      </c>
      <c r="AM118" s="26" t="n">
        <f aca="false">INDEX('Cable Types'!$D$2:$D$41,MATCH(I118,'Cable Types'!$A$2:$A$41,0))</f>
        <v>1</v>
      </c>
      <c r="AN118" s="26" t="n">
        <f aca="false">IF(INDEX('Cable Types'!$E$2:$E$41,MATCH(I118,'Cable Types'!$A$2:$A$41,0))="","",INDEX('Cable Types'!$E$2:$E$41,MATCH(I118,'Cable Types'!$A$2:$A$41,0)))</f>
        <v>25</v>
      </c>
      <c r="AO118" s="26" t="str">
        <f aca="false">IF(INDEX('Cable Types'!$F$2:$F$41,MATCH(I118,'Cable Types'!$A$2:$A$41,0))="","",INDEX('Cable Types'!$F$2:$F$41,MATCH(I118,'Cable Types'!$A$2:$A$41,0)))</f>
        <v/>
      </c>
      <c r="AP118" s="33" t="str">
        <f aca="false">IF(INDEX('Cable Types'!$G$2:$G$41,MATCH(I118,'Cable Types'!$A$2:$A$41,0))="","",INDEX('Cable Types'!$G$2:$G$41,MATCH(I118,'Cable Types'!$A$2:$A$41,0)))</f>
        <v/>
      </c>
    </row>
    <row r="119" customFormat="false" ht="15" hidden="false" customHeight="false" outlineLevel="0" collapsed="false">
      <c r="A119" s="25" t="s">
        <v>878</v>
      </c>
      <c r="B119" s="25" t="s">
        <v>102</v>
      </c>
      <c r="C119" s="25" t="s">
        <v>74</v>
      </c>
      <c r="D119" s="25" t="s">
        <v>879</v>
      </c>
      <c r="E119" s="25" t="s">
        <v>110</v>
      </c>
      <c r="F119" s="26" t="str">
        <f aca="false">INDEX(Equipment!$B$2:$B$137,MATCH(E119,Equipment!$A$2:$A$137,0))</f>
        <v>230 kV bay 4 - ST generator bay / line exit (gantry dead-end)</v>
      </c>
      <c r="G119" s="25" t="s">
        <v>122</v>
      </c>
      <c r="H119" s="26" t="str">
        <f aca="false">INDEX(Equipment!$B$2:$B$137,MATCH(G119,Equipment!$A$2:$A$137,0))</f>
        <v>Switchyard relay &amp; control building</v>
      </c>
      <c r="I119" s="25" t="s">
        <v>541</v>
      </c>
      <c r="J119" s="26" t="str">
        <f aca="false">INDEX('Cable Types'!$B$2:$B$41,MATCH(I119,'Cable Types'!$A$2:$A$41,0))</f>
        <v>0.6/1 kV 24C 1.5 mm2 Cu/PVC/SWA/PVC control</v>
      </c>
      <c r="K119" s="25" t="n">
        <v>2</v>
      </c>
      <c r="L119" s="25" t="s">
        <v>866</v>
      </c>
      <c r="M119" s="25" t="s">
        <v>638</v>
      </c>
      <c r="N119" s="25"/>
      <c r="O119" s="27" t="n">
        <f aca="false">IF(N119&lt;&gt;"",N119,IF(M119="D",ROUNDUP(SQRT((AH119-AE119)^2+(AI119-AF119)^2+(AJ119-AG119)^2)*(1+'Design Basis'!$C$6),0),ROUNDUP((ABS(AH119-AE119)+ABS(AI119-AF119)+ABS(AK119-AG119)+ABS(AK119-AJ119))*(1+'Design Basis'!$C$4)+2*'Design Basis'!$C$5,0)))</f>
        <v>50</v>
      </c>
      <c r="P119" s="27" t="n">
        <f aca="false">O119*K119*AM119</f>
        <v>100</v>
      </c>
      <c r="Q119" s="28"/>
      <c r="R119" s="25"/>
      <c r="S119" s="28"/>
      <c r="T119" s="29"/>
      <c r="U119" s="27" t="str">
        <f aca="false">IF(OR(S119="",Q119=""),"",IF(R119=3,S119*1000/(SQRT(3)*Q119*T119),S119*1000/(Q119*T119)))</f>
        <v/>
      </c>
      <c r="V119" s="27" t="str">
        <f aca="false">IF(OR(AO119="",AL119=""),"",AO119*AL119)</f>
        <v/>
      </c>
      <c r="W119" s="27" t="str">
        <f aca="false">IF(V119="","",V119*K119)</f>
        <v/>
      </c>
      <c r="X119" s="30" t="str">
        <f aca="false">IF(OR(U119="",W119=""),"",U119/W119)</f>
        <v/>
      </c>
      <c r="Y119" s="30" t="str">
        <f aca="false">IF(OR(U119="",AP119=""),"",AP119*(U119/K119)*O119/1000/Q119)</f>
        <v/>
      </c>
      <c r="Z119" s="30" t="str">
        <f aca="false">IF(U119="","",IFERROR(IF(INDEX('Design Basis'!$C$13:$C$21,MATCH(C119,'Design Basis'!$A$13:$A$21,0))="","",INDEX('Design Basis'!$C$13:$C$21,MATCH(C119,'Design Basis'!$A$13:$A$21,0))),""))</f>
        <v/>
      </c>
      <c r="AA119" s="31" t="str">
        <f aca="false">IF(U119="","n/a",IF(W119="","CHECK",IF(AND(X119&lt;=1,OR(Y119="",Z119="",Y119&lt;=Z119)),"OK","CHECK")))</f>
        <v>n/a</v>
      </c>
      <c r="AB119" s="27" t="n">
        <f aca="false">IF(AN119="","",K119*AM119*PI()/4*AN119^2)</f>
        <v>904.77868423386</v>
      </c>
      <c r="AC119" s="31"/>
      <c r="AE119" s="32" t="n">
        <f aca="false">INDEX(Equipment!$D$2:$D$137,MATCH(E119,Equipment!$A$2:$A$137,0))</f>
        <v>80</v>
      </c>
      <c r="AF119" s="32" t="n">
        <f aca="false">INDEX(Equipment!$E$2:$E$137,MATCH(E119,Equipment!$A$2:$A$137,0))</f>
        <v>137.5</v>
      </c>
      <c r="AG119" s="32" t="n">
        <f aca="false">INDEX(Equipment!$F$2:$F$137,MATCH(E119,Equipment!$A$2:$A$137,0))</f>
        <v>12.5</v>
      </c>
      <c r="AH119" s="32" t="n">
        <f aca="false">INDEX(Equipment!$D$2:$D$137,MATCH(G119,Equipment!$A$2:$A$137,0))</f>
        <v>95</v>
      </c>
      <c r="AI119" s="32" t="n">
        <f aca="false">INDEX(Equipment!$E$2:$E$137,MATCH(G119,Equipment!$A$2:$A$137,0))</f>
        <v>128</v>
      </c>
      <c r="AJ119" s="32" t="n">
        <f aca="false">INDEX(Equipment!$F$2:$F$137,MATCH(G119,Equipment!$A$2:$A$137,0))</f>
        <v>0.5</v>
      </c>
      <c r="AK119" s="32" t="n">
        <f aca="false">IF(INDEX(Raceways!$D$2:$D$18,MATCH(L119,Raceways!$A$2:$A$18,0))="",0,INDEX(Raceways!$D$2:$D$18,MATCH(L119,Raceways!$A$2:$A$18,0)))</f>
        <v>-0.8</v>
      </c>
      <c r="AL119" s="33" t="n">
        <f aca="false">IF(INDEX(Raceways!$I$2:$I$18,MATCH(L119,Raceways!$A$2:$A$18,0))="","",INDEX(Raceways!$I$2:$I$18,MATCH(L119,Raceways!$A$2:$A$18,0)))</f>
        <v>0.8</v>
      </c>
      <c r="AM119" s="26" t="n">
        <f aca="false">INDEX('Cable Types'!$D$2:$D$41,MATCH(I119,'Cable Types'!$A$2:$A$41,0))</f>
        <v>1</v>
      </c>
      <c r="AN119" s="26" t="n">
        <f aca="false">IF(INDEX('Cable Types'!$E$2:$E$41,MATCH(I119,'Cable Types'!$A$2:$A$41,0))="","",INDEX('Cable Types'!$E$2:$E$41,MATCH(I119,'Cable Types'!$A$2:$A$41,0)))</f>
        <v>24</v>
      </c>
      <c r="AO119" s="26" t="str">
        <f aca="false">IF(INDEX('Cable Types'!$F$2:$F$41,MATCH(I119,'Cable Types'!$A$2:$A$41,0))="","",INDEX('Cable Types'!$F$2:$F$41,MATCH(I119,'Cable Types'!$A$2:$A$41,0)))</f>
        <v/>
      </c>
      <c r="AP119" s="33" t="str">
        <f aca="false">IF(INDEX('Cable Types'!$G$2:$G$41,MATCH(I119,'Cable Types'!$A$2:$A$41,0))="","",INDEX('Cable Types'!$G$2:$G$41,MATCH(I119,'Cable Types'!$A$2:$A$41,0)))</f>
        <v/>
      </c>
    </row>
    <row r="120" customFormat="false" ht="15" hidden="false" customHeight="false" outlineLevel="0" collapsed="false">
      <c r="A120" s="25" t="s">
        <v>880</v>
      </c>
      <c r="B120" s="25" t="s">
        <v>102</v>
      </c>
      <c r="C120" s="25" t="s">
        <v>74</v>
      </c>
      <c r="D120" s="25" t="s">
        <v>881</v>
      </c>
      <c r="E120" s="25" t="s">
        <v>110</v>
      </c>
      <c r="F120" s="26" t="str">
        <f aca="false">INDEX(Equipment!$B$2:$B$137,MATCH(E120,Equipment!$A$2:$A$137,0))</f>
        <v>230 kV bay 4 - ST generator bay / line exit (gantry dead-end)</v>
      </c>
      <c r="G120" s="25" t="s">
        <v>122</v>
      </c>
      <c r="H120" s="26" t="str">
        <f aca="false">INDEX(Equipment!$B$2:$B$137,MATCH(G120,Equipment!$A$2:$A$137,0))</f>
        <v>Switchyard relay &amp; control building</v>
      </c>
      <c r="I120" s="25" t="s">
        <v>543</v>
      </c>
      <c r="J120" s="26" t="str">
        <f aca="false">INDEX('Cable Types'!$B$2:$B$41,MATCH(I120,'Cable Types'!$A$2:$A$41,0))</f>
        <v>0.6/1 kV 12C 4 mm2 Cu/PVC/SWA/PVC (CT/VT circuits)</v>
      </c>
      <c r="K120" s="25" t="n">
        <v>2</v>
      </c>
      <c r="L120" s="25" t="s">
        <v>866</v>
      </c>
      <c r="M120" s="25" t="s">
        <v>638</v>
      </c>
      <c r="N120" s="25"/>
      <c r="O120" s="27" t="n">
        <f aca="false">IF(N120&lt;&gt;"",N120,IF(M120="D",ROUNDUP(SQRT((AH120-AE120)^2+(AI120-AF120)^2+(AJ120-AG120)^2)*(1+'Design Basis'!$C$6),0),ROUNDUP((ABS(AH120-AE120)+ABS(AI120-AF120)+ABS(AK120-AG120)+ABS(AK120-AJ120))*(1+'Design Basis'!$C$4)+2*'Design Basis'!$C$5,0)))</f>
        <v>50</v>
      </c>
      <c r="P120" s="27" t="n">
        <f aca="false">O120*K120*AM120</f>
        <v>100</v>
      </c>
      <c r="Q120" s="28"/>
      <c r="R120" s="25"/>
      <c r="S120" s="28"/>
      <c r="T120" s="29"/>
      <c r="U120" s="27" t="str">
        <f aca="false">IF(OR(S120="",Q120=""),"",IF(R120=3,S120*1000/(SQRT(3)*Q120*T120),S120*1000/(Q120*T120)))</f>
        <v/>
      </c>
      <c r="V120" s="27" t="str">
        <f aca="false">IF(OR(AO120="",AL120=""),"",AO120*AL120)</f>
        <v/>
      </c>
      <c r="W120" s="27" t="str">
        <f aca="false">IF(V120="","",V120*K120)</f>
        <v/>
      </c>
      <c r="X120" s="30" t="str">
        <f aca="false">IF(OR(U120="",W120=""),"",U120/W120)</f>
        <v/>
      </c>
      <c r="Y120" s="30" t="str">
        <f aca="false">IF(OR(U120="",AP120=""),"",AP120*(U120/K120)*O120/1000/Q120)</f>
        <v/>
      </c>
      <c r="Z120" s="30" t="str">
        <f aca="false">IF(U120="","",IFERROR(IF(INDEX('Design Basis'!$C$13:$C$21,MATCH(C120,'Design Basis'!$A$13:$A$21,0))="","",INDEX('Design Basis'!$C$13:$C$21,MATCH(C120,'Design Basis'!$A$13:$A$21,0))),""))</f>
        <v/>
      </c>
      <c r="AA120" s="31" t="str">
        <f aca="false">IF(U120="","n/a",IF(W120="","CHECK",IF(AND(X120&lt;=1,OR(Y120="",Z120="",Y120&lt;=Z120)),"OK","CHECK")))</f>
        <v>n/a</v>
      </c>
      <c r="AB120" s="27" t="n">
        <f aca="false">IF(AN120="","",K120*AM120*PI()/4*AN120^2)</f>
        <v>981.74770424681</v>
      </c>
      <c r="AC120" s="31" t="s">
        <v>869</v>
      </c>
      <c r="AE120" s="32" t="n">
        <f aca="false">INDEX(Equipment!$D$2:$D$137,MATCH(E120,Equipment!$A$2:$A$137,0))</f>
        <v>80</v>
      </c>
      <c r="AF120" s="32" t="n">
        <f aca="false">INDEX(Equipment!$E$2:$E$137,MATCH(E120,Equipment!$A$2:$A$137,0))</f>
        <v>137.5</v>
      </c>
      <c r="AG120" s="32" t="n">
        <f aca="false">INDEX(Equipment!$F$2:$F$137,MATCH(E120,Equipment!$A$2:$A$137,0))</f>
        <v>12.5</v>
      </c>
      <c r="AH120" s="32" t="n">
        <f aca="false">INDEX(Equipment!$D$2:$D$137,MATCH(G120,Equipment!$A$2:$A$137,0))</f>
        <v>95</v>
      </c>
      <c r="AI120" s="32" t="n">
        <f aca="false">INDEX(Equipment!$E$2:$E$137,MATCH(G120,Equipment!$A$2:$A$137,0))</f>
        <v>128</v>
      </c>
      <c r="AJ120" s="32" t="n">
        <f aca="false">INDEX(Equipment!$F$2:$F$137,MATCH(G120,Equipment!$A$2:$A$137,0))</f>
        <v>0.5</v>
      </c>
      <c r="AK120" s="32" t="n">
        <f aca="false">IF(INDEX(Raceways!$D$2:$D$18,MATCH(L120,Raceways!$A$2:$A$18,0))="",0,INDEX(Raceways!$D$2:$D$18,MATCH(L120,Raceways!$A$2:$A$18,0)))</f>
        <v>-0.8</v>
      </c>
      <c r="AL120" s="33" t="n">
        <f aca="false">IF(INDEX(Raceways!$I$2:$I$18,MATCH(L120,Raceways!$A$2:$A$18,0))="","",INDEX(Raceways!$I$2:$I$18,MATCH(L120,Raceways!$A$2:$A$18,0)))</f>
        <v>0.8</v>
      </c>
      <c r="AM120" s="26" t="n">
        <f aca="false">INDEX('Cable Types'!$D$2:$D$41,MATCH(I120,'Cable Types'!$A$2:$A$41,0))</f>
        <v>1</v>
      </c>
      <c r="AN120" s="26" t="n">
        <f aca="false">IF(INDEX('Cable Types'!$E$2:$E$41,MATCH(I120,'Cable Types'!$A$2:$A$41,0))="","",INDEX('Cable Types'!$E$2:$E$41,MATCH(I120,'Cable Types'!$A$2:$A$41,0)))</f>
        <v>25</v>
      </c>
      <c r="AO120" s="26" t="str">
        <f aca="false">IF(INDEX('Cable Types'!$F$2:$F$41,MATCH(I120,'Cable Types'!$A$2:$A$41,0))="","",INDEX('Cable Types'!$F$2:$F$41,MATCH(I120,'Cable Types'!$A$2:$A$41,0)))</f>
        <v/>
      </c>
      <c r="AP120" s="33" t="str">
        <f aca="false">IF(INDEX('Cable Types'!$G$2:$G$41,MATCH(I120,'Cable Types'!$A$2:$A$41,0))="","",INDEX('Cable Types'!$G$2:$G$41,MATCH(I120,'Cable Types'!$A$2:$A$41,0)))</f>
        <v/>
      </c>
    </row>
    <row r="121" customFormat="false" ht="15" hidden="false" customHeight="false" outlineLevel="0" collapsed="false">
      <c r="A121" s="25" t="s">
        <v>882</v>
      </c>
      <c r="B121" s="25" t="s">
        <v>133</v>
      </c>
      <c r="C121" s="25" t="s">
        <v>74</v>
      </c>
      <c r="D121" s="25" t="s">
        <v>883</v>
      </c>
      <c r="E121" s="25" t="s">
        <v>141</v>
      </c>
      <c r="F121" s="26" t="str">
        <f aca="false">INDEX(Equipment!$B$2:$B$137,MATCH(E121,Equipment!$A$2:$A$137,0))</f>
        <v>GT step-up transformer - LV bushings / marshalling box</v>
      </c>
      <c r="G121" s="25" t="s">
        <v>460</v>
      </c>
      <c r="H121" s="26" t="str">
        <f aca="false">INDEX(Equipment!$B$2:$B$137,MATCH(G121,Equipment!$A$2:$A$137,0))</f>
        <v>Generator &amp; transformer protection panels</v>
      </c>
      <c r="I121" s="25" t="s">
        <v>543</v>
      </c>
      <c r="J121" s="26" t="str">
        <f aca="false">INDEX('Cable Types'!$B$2:$B$41,MATCH(I121,'Cable Types'!$A$2:$A$41,0))</f>
        <v>0.6/1 kV 12C 4 mm2 Cu/PVC/SWA/PVC (CT/VT circuits)</v>
      </c>
      <c r="K121" s="25" t="n">
        <v>2</v>
      </c>
      <c r="L121" s="25" t="s">
        <v>655</v>
      </c>
      <c r="M121" s="25" t="s">
        <v>638</v>
      </c>
      <c r="N121" s="25"/>
      <c r="O121" s="27" t="n">
        <f aca="false">IF(N121&lt;&gt;"",N121,IF(M121="D",ROUNDUP(SQRT((AH121-AE121)^2+(AI121-AF121)^2+(AJ121-AG121)^2)*(1+'Design Basis'!$C$6),0),ROUNDUP((ABS(AH121-AE121)+ABS(AI121-AF121)+ABS(AK121-AG121)+ABS(AK121-AJ121))*(1+'Design Basis'!$C$4)+2*'Design Basis'!$C$5,0)))</f>
        <v>38</v>
      </c>
      <c r="P121" s="27" t="n">
        <f aca="false">O121*K121*AM121</f>
        <v>76</v>
      </c>
      <c r="Q121" s="28"/>
      <c r="R121" s="25"/>
      <c r="S121" s="28"/>
      <c r="T121" s="29"/>
      <c r="U121" s="27" t="str">
        <f aca="false">IF(OR(S121="",Q121=""),"",IF(R121=3,S121*1000/(SQRT(3)*Q121*T121),S121*1000/(Q121*T121)))</f>
        <v/>
      </c>
      <c r="V121" s="27" t="str">
        <f aca="false">IF(OR(AO121="",AL121=""),"",AO121*AL121)</f>
        <v/>
      </c>
      <c r="W121" s="27" t="str">
        <f aca="false">IF(V121="","",V121*K121)</f>
        <v/>
      </c>
      <c r="X121" s="30" t="str">
        <f aca="false">IF(OR(U121="",W121=""),"",U121/W121)</f>
        <v/>
      </c>
      <c r="Y121" s="30" t="str">
        <f aca="false">IF(OR(U121="",AP121=""),"",AP121*(U121/K121)*O121/1000/Q121)</f>
        <v/>
      </c>
      <c r="Z121" s="30" t="str">
        <f aca="false">IF(U121="","",IFERROR(IF(INDEX('Design Basis'!$C$13:$C$21,MATCH(C121,'Design Basis'!$A$13:$A$21,0))="","",INDEX('Design Basis'!$C$13:$C$21,MATCH(C121,'Design Basis'!$A$13:$A$21,0))),""))</f>
        <v/>
      </c>
      <c r="AA121" s="31" t="str">
        <f aca="false">IF(U121="","n/a",IF(W121="","CHECK",IF(AND(X121&lt;=1,OR(Y121="",Z121="",Y121&lt;=Z121)),"OK","CHECK")))</f>
        <v>n/a</v>
      </c>
      <c r="AB121" s="27" t="n">
        <f aca="false">IF(AN121="","",K121*AM121*PI()/4*AN121^2)</f>
        <v>981.74770424681</v>
      </c>
      <c r="AC121" s="31"/>
      <c r="AE121" s="32" t="n">
        <f aca="false">INDEX(Equipment!$D$2:$D$137,MATCH(E121,Equipment!$A$2:$A$137,0))</f>
        <v>54</v>
      </c>
      <c r="AF121" s="32" t="n">
        <f aca="false">INDEX(Equipment!$E$2:$E$137,MATCH(E121,Equipment!$A$2:$A$137,0))</f>
        <v>60</v>
      </c>
      <c r="AG121" s="32" t="n">
        <f aca="false">INDEX(Equipment!$F$2:$F$137,MATCH(E121,Equipment!$A$2:$A$137,0))</f>
        <v>4.5</v>
      </c>
      <c r="AH121" s="32" t="n">
        <f aca="false">INDEX(Equipment!$D$2:$D$137,MATCH(G121,Equipment!$A$2:$A$137,0))</f>
        <v>38</v>
      </c>
      <c r="AI121" s="32" t="n">
        <f aca="false">INDEX(Equipment!$E$2:$E$137,MATCH(G121,Equipment!$A$2:$A$137,0))</f>
        <v>55</v>
      </c>
      <c r="AJ121" s="32" t="n">
        <f aca="false">INDEX(Equipment!$F$2:$F$137,MATCH(G121,Equipment!$A$2:$A$137,0))</f>
        <v>0.5</v>
      </c>
      <c r="AK121" s="32" t="n">
        <f aca="false">IF(INDEX(Raceways!$D$2:$D$18,MATCH(L121,Raceways!$A$2:$A$18,0))="",0,INDEX(Raceways!$D$2:$D$18,MATCH(L121,Raceways!$A$2:$A$18,0)))</f>
        <v>-1.2</v>
      </c>
      <c r="AL121" s="33" t="n">
        <f aca="false">IF(INDEX(Raceways!$I$2:$I$18,MATCH(L121,Raceways!$A$2:$A$18,0))="","",INDEX(Raceways!$I$2:$I$18,MATCH(L121,Raceways!$A$2:$A$18,0)))</f>
        <v>0.7</v>
      </c>
      <c r="AM121" s="26" t="n">
        <f aca="false">INDEX('Cable Types'!$D$2:$D$41,MATCH(I121,'Cable Types'!$A$2:$A$41,0))</f>
        <v>1</v>
      </c>
      <c r="AN121" s="26" t="n">
        <f aca="false">IF(INDEX('Cable Types'!$E$2:$E$41,MATCH(I121,'Cable Types'!$A$2:$A$41,0))="","",INDEX('Cable Types'!$E$2:$E$41,MATCH(I121,'Cable Types'!$A$2:$A$41,0)))</f>
        <v>25</v>
      </c>
      <c r="AO121" s="26" t="str">
        <f aca="false">IF(INDEX('Cable Types'!$F$2:$F$41,MATCH(I121,'Cable Types'!$A$2:$A$41,0))="","",INDEX('Cable Types'!$F$2:$F$41,MATCH(I121,'Cable Types'!$A$2:$A$41,0)))</f>
        <v/>
      </c>
      <c r="AP121" s="33" t="str">
        <f aca="false">IF(INDEX('Cable Types'!$G$2:$G$41,MATCH(I121,'Cable Types'!$A$2:$A$41,0))="","",INDEX('Cable Types'!$G$2:$G$41,MATCH(I121,'Cable Types'!$A$2:$A$41,0)))</f>
        <v/>
      </c>
    </row>
    <row r="122" customFormat="false" ht="15" hidden="false" customHeight="false" outlineLevel="0" collapsed="false">
      <c r="A122" s="25" t="s">
        <v>884</v>
      </c>
      <c r="B122" s="25" t="s">
        <v>133</v>
      </c>
      <c r="C122" s="25" t="s">
        <v>74</v>
      </c>
      <c r="D122" s="25" t="s">
        <v>885</v>
      </c>
      <c r="E122" s="25" t="s">
        <v>141</v>
      </c>
      <c r="F122" s="26" t="str">
        <f aca="false">INDEX(Equipment!$B$2:$B$137,MATCH(E122,Equipment!$A$2:$A$137,0))</f>
        <v>GT step-up transformer - LV bushings / marshalling box</v>
      </c>
      <c r="G122" s="25" t="s">
        <v>460</v>
      </c>
      <c r="H122" s="26" t="str">
        <f aca="false">INDEX(Equipment!$B$2:$B$137,MATCH(G122,Equipment!$A$2:$A$137,0))</f>
        <v>Generator &amp; transformer protection panels</v>
      </c>
      <c r="I122" s="25" t="s">
        <v>541</v>
      </c>
      <c r="J122" s="26" t="str">
        <f aca="false">INDEX('Cable Types'!$B$2:$B$41,MATCH(I122,'Cable Types'!$A$2:$A$41,0))</f>
        <v>0.6/1 kV 24C 1.5 mm2 Cu/PVC/SWA/PVC control</v>
      </c>
      <c r="K122" s="25" t="n">
        <v>1</v>
      </c>
      <c r="L122" s="25" t="s">
        <v>655</v>
      </c>
      <c r="M122" s="25" t="s">
        <v>638</v>
      </c>
      <c r="N122" s="25"/>
      <c r="O122" s="27" t="n">
        <f aca="false">IF(N122&lt;&gt;"",N122,IF(M122="D",ROUNDUP(SQRT((AH122-AE122)^2+(AI122-AF122)^2+(AJ122-AG122)^2)*(1+'Design Basis'!$C$6),0),ROUNDUP((ABS(AH122-AE122)+ABS(AI122-AF122)+ABS(AK122-AG122)+ABS(AK122-AJ122))*(1+'Design Basis'!$C$4)+2*'Design Basis'!$C$5,0)))</f>
        <v>38</v>
      </c>
      <c r="P122" s="27" t="n">
        <f aca="false">O122*K122*AM122</f>
        <v>38</v>
      </c>
      <c r="Q122" s="28"/>
      <c r="R122" s="25"/>
      <c r="S122" s="28"/>
      <c r="T122" s="29"/>
      <c r="U122" s="27" t="str">
        <f aca="false">IF(OR(S122="",Q122=""),"",IF(R122=3,S122*1000/(SQRT(3)*Q122*T122),S122*1000/(Q122*T122)))</f>
        <v/>
      </c>
      <c r="V122" s="27" t="str">
        <f aca="false">IF(OR(AO122="",AL122=""),"",AO122*AL122)</f>
        <v/>
      </c>
      <c r="W122" s="27" t="str">
        <f aca="false">IF(V122="","",V122*K122)</f>
        <v/>
      </c>
      <c r="X122" s="30" t="str">
        <f aca="false">IF(OR(U122="",W122=""),"",U122/W122)</f>
        <v/>
      </c>
      <c r="Y122" s="30" t="str">
        <f aca="false">IF(OR(U122="",AP122=""),"",AP122*(U122/K122)*O122/1000/Q122)</f>
        <v/>
      </c>
      <c r="Z122" s="30" t="str">
        <f aca="false">IF(U122="","",IFERROR(IF(INDEX('Design Basis'!$C$13:$C$21,MATCH(C122,'Design Basis'!$A$13:$A$21,0))="","",INDEX('Design Basis'!$C$13:$C$21,MATCH(C122,'Design Basis'!$A$13:$A$21,0))),""))</f>
        <v/>
      </c>
      <c r="AA122" s="31" t="str">
        <f aca="false">IF(U122="","n/a",IF(W122="","CHECK",IF(AND(X122&lt;=1,OR(Y122="",Z122="",Y122&lt;=Z122)),"OK","CHECK")))</f>
        <v>n/a</v>
      </c>
      <c r="AB122" s="27" t="n">
        <f aca="false">IF(AN122="","",K122*AM122*PI()/4*AN122^2)</f>
        <v>452.38934211693</v>
      </c>
      <c r="AC122" s="31"/>
      <c r="AE122" s="32" t="n">
        <f aca="false">INDEX(Equipment!$D$2:$D$137,MATCH(E122,Equipment!$A$2:$A$137,0))</f>
        <v>54</v>
      </c>
      <c r="AF122" s="32" t="n">
        <f aca="false">INDEX(Equipment!$E$2:$E$137,MATCH(E122,Equipment!$A$2:$A$137,0))</f>
        <v>60</v>
      </c>
      <c r="AG122" s="32" t="n">
        <f aca="false">INDEX(Equipment!$F$2:$F$137,MATCH(E122,Equipment!$A$2:$A$137,0))</f>
        <v>4.5</v>
      </c>
      <c r="AH122" s="32" t="n">
        <f aca="false">INDEX(Equipment!$D$2:$D$137,MATCH(G122,Equipment!$A$2:$A$137,0))</f>
        <v>38</v>
      </c>
      <c r="AI122" s="32" t="n">
        <f aca="false">INDEX(Equipment!$E$2:$E$137,MATCH(G122,Equipment!$A$2:$A$137,0))</f>
        <v>55</v>
      </c>
      <c r="AJ122" s="32" t="n">
        <f aca="false">INDEX(Equipment!$F$2:$F$137,MATCH(G122,Equipment!$A$2:$A$137,0))</f>
        <v>0.5</v>
      </c>
      <c r="AK122" s="32" t="n">
        <f aca="false">IF(INDEX(Raceways!$D$2:$D$18,MATCH(L122,Raceways!$A$2:$A$18,0))="",0,INDEX(Raceways!$D$2:$D$18,MATCH(L122,Raceways!$A$2:$A$18,0)))</f>
        <v>-1.2</v>
      </c>
      <c r="AL122" s="33" t="n">
        <f aca="false">IF(INDEX(Raceways!$I$2:$I$18,MATCH(L122,Raceways!$A$2:$A$18,0))="","",INDEX(Raceways!$I$2:$I$18,MATCH(L122,Raceways!$A$2:$A$18,0)))</f>
        <v>0.7</v>
      </c>
      <c r="AM122" s="26" t="n">
        <f aca="false">INDEX('Cable Types'!$D$2:$D$41,MATCH(I122,'Cable Types'!$A$2:$A$41,0))</f>
        <v>1</v>
      </c>
      <c r="AN122" s="26" t="n">
        <f aca="false">IF(INDEX('Cable Types'!$E$2:$E$41,MATCH(I122,'Cable Types'!$A$2:$A$41,0))="","",INDEX('Cable Types'!$E$2:$E$41,MATCH(I122,'Cable Types'!$A$2:$A$41,0)))</f>
        <v>24</v>
      </c>
      <c r="AO122" s="26" t="str">
        <f aca="false">IF(INDEX('Cable Types'!$F$2:$F$41,MATCH(I122,'Cable Types'!$A$2:$A$41,0))="","",INDEX('Cable Types'!$F$2:$F$41,MATCH(I122,'Cable Types'!$A$2:$A$41,0)))</f>
        <v/>
      </c>
      <c r="AP122" s="33" t="str">
        <f aca="false">IF(INDEX('Cable Types'!$G$2:$G$41,MATCH(I122,'Cable Types'!$A$2:$A$41,0))="","",INDEX('Cable Types'!$G$2:$G$41,MATCH(I122,'Cable Types'!$A$2:$A$41,0)))</f>
        <v/>
      </c>
    </row>
    <row r="123" customFormat="false" ht="15" hidden="false" customHeight="false" outlineLevel="0" collapsed="false">
      <c r="A123" s="25" t="s">
        <v>886</v>
      </c>
      <c r="B123" s="25" t="s">
        <v>133</v>
      </c>
      <c r="C123" s="25" t="s">
        <v>74</v>
      </c>
      <c r="D123" s="25" t="s">
        <v>887</v>
      </c>
      <c r="E123" s="25" t="s">
        <v>146</v>
      </c>
      <c r="F123" s="26" t="str">
        <f aca="false">INDEX(Equipment!$B$2:$B$137,MATCH(E123,Equipment!$A$2:$A$137,0))</f>
        <v>ST step-up transformer - LV bushings / marshalling box</v>
      </c>
      <c r="G123" s="25" t="s">
        <v>460</v>
      </c>
      <c r="H123" s="26" t="str">
        <f aca="false">INDEX(Equipment!$B$2:$B$137,MATCH(G123,Equipment!$A$2:$A$137,0))</f>
        <v>Generator &amp; transformer protection panels</v>
      </c>
      <c r="I123" s="25" t="s">
        <v>543</v>
      </c>
      <c r="J123" s="26" t="str">
        <f aca="false">INDEX('Cable Types'!$B$2:$B$41,MATCH(I123,'Cable Types'!$A$2:$A$41,0))</f>
        <v>0.6/1 kV 12C 4 mm2 Cu/PVC/SWA/PVC (CT/VT circuits)</v>
      </c>
      <c r="K123" s="25" t="n">
        <v>2</v>
      </c>
      <c r="L123" s="25" t="s">
        <v>655</v>
      </c>
      <c r="M123" s="25" t="s">
        <v>638</v>
      </c>
      <c r="N123" s="25"/>
      <c r="O123" s="27" t="n">
        <f aca="false">IF(N123&lt;&gt;"",N123,IF(M123="D",ROUNDUP(SQRT((AH123-AE123)^2+(AI123-AF123)^2+(AJ123-AG123)^2)*(1+'Design Basis'!$C$6),0),ROUNDUP((ABS(AH123-AE123)+ABS(AI123-AF123)+ABS(AK123-AG123)+ABS(AK123-AJ123))*(1+'Design Basis'!$C$4)+2*'Design Basis'!$C$5,0)))</f>
        <v>60</v>
      </c>
      <c r="P123" s="27" t="n">
        <f aca="false">O123*K123*AM123</f>
        <v>120</v>
      </c>
      <c r="Q123" s="28"/>
      <c r="R123" s="25"/>
      <c r="S123" s="28"/>
      <c r="T123" s="29"/>
      <c r="U123" s="27" t="str">
        <f aca="false">IF(OR(S123="",Q123=""),"",IF(R123=3,S123*1000/(SQRT(3)*Q123*T123),S123*1000/(Q123*T123)))</f>
        <v/>
      </c>
      <c r="V123" s="27" t="str">
        <f aca="false">IF(OR(AO123="",AL123=""),"",AO123*AL123)</f>
        <v/>
      </c>
      <c r="W123" s="27" t="str">
        <f aca="false">IF(V123="","",V123*K123)</f>
        <v/>
      </c>
      <c r="X123" s="30" t="str">
        <f aca="false">IF(OR(U123="",W123=""),"",U123/W123)</f>
        <v/>
      </c>
      <c r="Y123" s="30" t="str">
        <f aca="false">IF(OR(U123="",AP123=""),"",AP123*(U123/K123)*O123/1000/Q123)</f>
        <v/>
      </c>
      <c r="Z123" s="30" t="str">
        <f aca="false">IF(U123="","",IFERROR(IF(INDEX('Design Basis'!$C$13:$C$21,MATCH(C123,'Design Basis'!$A$13:$A$21,0))="","",INDEX('Design Basis'!$C$13:$C$21,MATCH(C123,'Design Basis'!$A$13:$A$21,0))),""))</f>
        <v/>
      </c>
      <c r="AA123" s="31" t="str">
        <f aca="false">IF(U123="","n/a",IF(W123="","CHECK",IF(AND(X123&lt;=1,OR(Y123="",Z123="",Y123&lt;=Z123)),"OK","CHECK")))</f>
        <v>n/a</v>
      </c>
      <c r="AB123" s="27" t="n">
        <f aca="false">IF(AN123="","",K123*AM123*PI()/4*AN123^2)</f>
        <v>981.74770424681</v>
      </c>
      <c r="AC123" s="31"/>
      <c r="AE123" s="32" t="n">
        <f aca="false">INDEX(Equipment!$D$2:$D$137,MATCH(E123,Equipment!$A$2:$A$137,0))</f>
        <v>74</v>
      </c>
      <c r="AF123" s="32" t="n">
        <f aca="false">INDEX(Equipment!$E$2:$E$137,MATCH(E123,Equipment!$A$2:$A$137,0))</f>
        <v>60</v>
      </c>
      <c r="AG123" s="32" t="n">
        <f aca="false">INDEX(Equipment!$F$2:$F$137,MATCH(E123,Equipment!$A$2:$A$137,0))</f>
        <v>4.5</v>
      </c>
      <c r="AH123" s="32" t="n">
        <f aca="false">INDEX(Equipment!$D$2:$D$137,MATCH(G123,Equipment!$A$2:$A$137,0))</f>
        <v>38</v>
      </c>
      <c r="AI123" s="32" t="n">
        <f aca="false">INDEX(Equipment!$E$2:$E$137,MATCH(G123,Equipment!$A$2:$A$137,0))</f>
        <v>55</v>
      </c>
      <c r="AJ123" s="32" t="n">
        <f aca="false">INDEX(Equipment!$F$2:$F$137,MATCH(G123,Equipment!$A$2:$A$137,0))</f>
        <v>0.5</v>
      </c>
      <c r="AK123" s="32" t="n">
        <f aca="false">IF(INDEX(Raceways!$D$2:$D$18,MATCH(L123,Raceways!$A$2:$A$18,0))="",0,INDEX(Raceways!$D$2:$D$18,MATCH(L123,Raceways!$A$2:$A$18,0)))</f>
        <v>-1.2</v>
      </c>
      <c r="AL123" s="33" t="n">
        <f aca="false">IF(INDEX(Raceways!$I$2:$I$18,MATCH(L123,Raceways!$A$2:$A$18,0))="","",INDEX(Raceways!$I$2:$I$18,MATCH(L123,Raceways!$A$2:$A$18,0)))</f>
        <v>0.7</v>
      </c>
      <c r="AM123" s="26" t="n">
        <f aca="false">INDEX('Cable Types'!$D$2:$D$41,MATCH(I123,'Cable Types'!$A$2:$A$41,0))</f>
        <v>1</v>
      </c>
      <c r="AN123" s="26" t="n">
        <f aca="false">IF(INDEX('Cable Types'!$E$2:$E$41,MATCH(I123,'Cable Types'!$A$2:$A$41,0))="","",INDEX('Cable Types'!$E$2:$E$41,MATCH(I123,'Cable Types'!$A$2:$A$41,0)))</f>
        <v>25</v>
      </c>
      <c r="AO123" s="26" t="str">
        <f aca="false">IF(INDEX('Cable Types'!$F$2:$F$41,MATCH(I123,'Cable Types'!$A$2:$A$41,0))="","",INDEX('Cable Types'!$F$2:$F$41,MATCH(I123,'Cable Types'!$A$2:$A$41,0)))</f>
        <v/>
      </c>
      <c r="AP123" s="33" t="str">
        <f aca="false">IF(INDEX('Cable Types'!$G$2:$G$41,MATCH(I123,'Cable Types'!$A$2:$A$41,0))="","",INDEX('Cable Types'!$G$2:$G$41,MATCH(I123,'Cable Types'!$A$2:$A$41,0)))</f>
        <v/>
      </c>
    </row>
    <row r="124" customFormat="false" ht="15" hidden="false" customHeight="false" outlineLevel="0" collapsed="false">
      <c r="A124" s="25" t="s">
        <v>888</v>
      </c>
      <c r="B124" s="25" t="s">
        <v>133</v>
      </c>
      <c r="C124" s="25" t="s">
        <v>74</v>
      </c>
      <c r="D124" s="25" t="s">
        <v>889</v>
      </c>
      <c r="E124" s="25" t="s">
        <v>146</v>
      </c>
      <c r="F124" s="26" t="str">
        <f aca="false">INDEX(Equipment!$B$2:$B$137,MATCH(E124,Equipment!$A$2:$A$137,0))</f>
        <v>ST step-up transformer - LV bushings / marshalling box</v>
      </c>
      <c r="G124" s="25" t="s">
        <v>460</v>
      </c>
      <c r="H124" s="26" t="str">
        <f aca="false">INDEX(Equipment!$B$2:$B$137,MATCH(G124,Equipment!$A$2:$A$137,0))</f>
        <v>Generator &amp; transformer protection panels</v>
      </c>
      <c r="I124" s="25" t="s">
        <v>541</v>
      </c>
      <c r="J124" s="26" t="str">
        <f aca="false">INDEX('Cable Types'!$B$2:$B$41,MATCH(I124,'Cable Types'!$A$2:$A$41,0))</f>
        <v>0.6/1 kV 24C 1.5 mm2 Cu/PVC/SWA/PVC control</v>
      </c>
      <c r="K124" s="25" t="n">
        <v>1</v>
      </c>
      <c r="L124" s="25" t="s">
        <v>655</v>
      </c>
      <c r="M124" s="25" t="s">
        <v>638</v>
      </c>
      <c r="N124" s="25"/>
      <c r="O124" s="27" t="n">
        <f aca="false">IF(N124&lt;&gt;"",N124,IF(M124="D",ROUNDUP(SQRT((AH124-AE124)^2+(AI124-AF124)^2+(AJ124-AG124)^2)*(1+'Design Basis'!$C$6),0),ROUNDUP((ABS(AH124-AE124)+ABS(AI124-AF124)+ABS(AK124-AG124)+ABS(AK124-AJ124))*(1+'Design Basis'!$C$4)+2*'Design Basis'!$C$5,0)))</f>
        <v>60</v>
      </c>
      <c r="P124" s="27" t="n">
        <f aca="false">O124*K124*AM124</f>
        <v>60</v>
      </c>
      <c r="Q124" s="28"/>
      <c r="R124" s="25"/>
      <c r="S124" s="28"/>
      <c r="T124" s="29"/>
      <c r="U124" s="27" t="str">
        <f aca="false">IF(OR(S124="",Q124=""),"",IF(R124=3,S124*1000/(SQRT(3)*Q124*T124),S124*1000/(Q124*T124)))</f>
        <v/>
      </c>
      <c r="V124" s="27" t="str">
        <f aca="false">IF(OR(AO124="",AL124=""),"",AO124*AL124)</f>
        <v/>
      </c>
      <c r="W124" s="27" t="str">
        <f aca="false">IF(V124="","",V124*K124)</f>
        <v/>
      </c>
      <c r="X124" s="30" t="str">
        <f aca="false">IF(OR(U124="",W124=""),"",U124/W124)</f>
        <v/>
      </c>
      <c r="Y124" s="30" t="str">
        <f aca="false">IF(OR(U124="",AP124=""),"",AP124*(U124/K124)*O124/1000/Q124)</f>
        <v/>
      </c>
      <c r="Z124" s="30" t="str">
        <f aca="false">IF(U124="","",IFERROR(IF(INDEX('Design Basis'!$C$13:$C$21,MATCH(C124,'Design Basis'!$A$13:$A$21,0))="","",INDEX('Design Basis'!$C$13:$C$21,MATCH(C124,'Design Basis'!$A$13:$A$21,0))),""))</f>
        <v/>
      </c>
      <c r="AA124" s="31" t="str">
        <f aca="false">IF(U124="","n/a",IF(W124="","CHECK",IF(AND(X124&lt;=1,OR(Y124="",Z124="",Y124&lt;=Z124)),"OK","CHECK")))</f>
        <v>n/a</v>
      </c>
      <c r="AB124" s="27" t="n">
        <f aca="false">IF(AN124="","",K124*AM124*PI()/4*AN124^2)</f>
        <v>452.38934211693</v>
      </c>
      <c r="AC124" s="31"/>
      <c r="AE124" s="32" t="n">
        <f aca="false">INDEX(Equipment!$D$2:$D$137,MATCH(E124,Equipment!$A$2:$A$137,0))</f>
        <v>74</v>
      </c>
      <c r="AF124" s="32" t="n">
        <f aca="false">INDEX(Equipment!$E$2:$E$137,MATCH(E124,Equipment!$A$2:$A$137,0))</f>
        <v>60</v>
      </c>
      <c r="AG124" s="32" t="n">
        <f aca="false">INDEX(Equipment!$F$2:$F$137,MATCH(E124,Equipment!$A$2:$A$137,0))</f>
        <v>4.5</v>
      </c>
      <c r="AH124" s="32" t="n">
        <f aca="false">INDEX(Equipment!$D$2:$D$137,MATCH(G124,Equipment!$A$2:$A$137,0))</f>
        <v>38</v>
      </c>
      <c r="AI124" s="32" t="n">
        <f aca="false">INDEX(Equipment!$E$2:$E$137,MATCH(G124,Equipment!$A$2:$A$137,0))</f>
        <v>55</v>
      </c>
      <c r="AJ124" s="32" t="n">
        <f aca="false">INDEX(Equipment!$F$2:$F$137,MATCH(G124,Equipment!$A$2:$A$137,0))</f>
        <v>0.5</v>
      </c>
      <c r="AK124" s="32" t="n">
        <f aca="false">IF(INDEX(Raceways!$D$2:$D$18,MATCH(L124,Raceways!$A$2:$A$18,0))="",0,INDEX(Raceways!$D$2:$D$18,MATCH(L124,Raceways!$A$2:$A$18,0)))</f>
        <v>-1.2</v>
      </c>
      <c r="AL124" s="33" t="n">
        <f aca="false">IF(INDEX(Raceways!$I$2:$I$18,MATCH(L124,Raceways!$A$2:$A$18,0))="","",INDEX(Raceways!$I$2:$I$18,MATCH(L124,Raceways!$A$2:$A$18,0)))</f>
        <v>0.7</v>
      </c>
      <c r="AM124" s="26" t="n">
        <f aca="false">INDEX('Cable Types'!$D$2:$D$41,MATCH(I124,'Cable Types'!$A$2:$A$41,0))</f>
        <v>1</v>
      </c>
      <c r="AN124" s="26" t="n">
        <f aca="false">IF(INDEX('Cable Types'!$E$2:$E$41,MATCH(I124,'Cable Types'!$A$2:$A$41,0))="","",INDEX('Cable Types'!$E$2:$E$41,MATCH(I124,'Cable Types'!$A$2:$A$41,0)))</f>
        <v>24</v>
      </c>
      <c r="AO124" s="26" t="str">
        <f aca="false">IF(INDEX('Cable Types'!$F$2:$F$41,MATCH(I124,'Cable Types'!$A$2:$A$41,0))="","",INDEX('Cable Types'!$F$2:$F$41,MATCH(I124,'Cable Types'!$A$2:$A$41,0)))</f>
        <v/>
      </c>
      <c r="AP124" s="33" t="str">
        <f aca="false">IF(INDEX('Cable Types'!$G$2:$G$41,MATCH(I124,'Cable Types'!$A$2:$A$41,0))="","",INDEX('Cable Types'!$G$2:$G$41,MATCH(I124,'Cable Types'!$A$2:$A$41,0)))</f>
        <v/>
      </c>
    </row>
    <row r="125" customFormat="false" ht="15" hidden="false" customHeight="false" outlineLevel="0" collapsed="false">
      <c r="A125" s="25" t="s">
        <v>890</v>
      </c>
      <c r="B125" s="25" t="s">
        <v>133</v>
      </c>
      <c r="C125" s="25" t="s">
        <v>74</v>
      </c>
      <c r="D125" s="25" t="s">
        <v>891</v>
      </c>
      <c r="E125" s="25" t="s">
        <v>148</v>
      </c>
      <c r="F125" s="26" t="str">
        <f aca="false">INDEX(Equipment!$B$2:$B$137,MATCH(E125,Equipment!$A$2:$A$137,0))</f>
        <v>Unit auxiliary transformer 1, 19/11.5 kV 45 MVA</v>
      </c>
      <c r="G125" s="25" t="s">
        <v>460</v>
      </c>
      <c r="H125" s="26" t="str">
        <f aca="false">INDEX(Equipment!$B$2:$B$137,MATCH(G125,Equipment!$A$2:$A$137,0))</f>
        <v>Generator &amp; transformer protection panels</v>
      </c>
      <c r="I125" s="25" t="s">
        <v>543</v>
      </c>
      <c r="J125" s="26" t="str">
        <f aca="false">INDEX('Cable Types'!$B$2:$B$41,MATCH(I125,'Cable Types'!$A$2:$A$41,0))</f>
        <v>0.6/1 kV 12C 4 mm2 Cu/PVC/SWA/PVC (CT/VT circuits)</v>
      </c>
      <c r="K125" s="25" t="n">
        <v>1</v>
      </c>
      <c r="L125" s="25" t="s">
        <v>655</v>
      </c>
      <c r="M125" s="25" t="s">
        <v>638</v>
      </c>
      <c r="N125" s="25"/>
      <c r="O125" s="27" t="n">
        <f aca="false">IF(N125&lt;&gt;"",N125,IF(M125="D",ROUNDUP(SQRT((AH125-AE125)^2+(AI125-AF125)^2+(AJ125-AG125)^2)*(1+'Design Basis'!$C$6),0),ROUNDUP((ABS(AH125-AE125)+ABS(AI125-AF125)+ABS(AK125-AG125)+ABS(AK125-AJ125))*(1+'Design Basis'!$C$4)+2*'Design Basis'!$C$5,0)))</f>
        <v>29</v>
      </c>
      <c r="P125" s="27" t="n">
        <f aca="false">O125*K125*AM125</f>
        <v>29</v>
      </c>
      <c r="Q125" s="28"/>
      <c r="R125" s="25"/>
      <c r="S125" s="28"/>
      <c r="T125" s="29"/>
      <c r="U125" s="27" t="str">
        <f aca="false">IF(OR(S125="",Q125=""),"",IF(R125=3,S125*1000/(SQRT(3)*Q125*T125),S125*1000/(Q125*T125)))</f>
        <v/>
      </c>
      <c r="V125" s="27" t="str">
        <f aca="false">IF(OR(AO125="",AL125=""),"",AO125*AL125)</f>
        <v/>
      </c>
      <c r="W125" s="27" t="str">
        <f aca="false">IF(V125="","",V125*K125)</f>
        <v/>
      </c>
      <c r="X125" s="30" t="str">
        <f aca="false">IF(OR(U125="",W125=""),"",U125/W125)</f>
        <v/>
      </c>
      <c r="Y125" s="30" t="str">
        <f aca="false">IF(OR(U125="",AP125=""),"",AP125*(U125/K125)*O125/1000/Q125)</f>
        <v/>
      </c>
      <c r="Z125" s="30" t="str">
        <f aca="false">IF(U125="","",IFERROR(IF(INDEX('Design Basis'!$C$13:$C$21,MATCH(C125,'Design Basis'!$A$13:$A$21,0))="","",INDEX('Design Basis'!$C$13:$C$21,MATCH(C125,'Design Basis'!$A$13:$A$21,0))),""))</f>
        <v/>
      </c>
      <c r="AA125" s="31" t="str">
        <f aca="false">IF(U125="","n/a",IF(W125="","CHECK",IF(AND(X125&lt;=1,OR(Y125="",Z125="",Y125&lt;=Z125)),"OK","CHECK")))</f>
        <v>n/a</v>
      </c>
      <c r="AB125" s="27" t="n">
        <f aca="false">IF(AN125="","",K125*AM125*PI()/4*AN125^2)</f>
        <v>490.873852123405</v>
      </c>
      <c r="AC125" s="31"/>
      <c r="AE125" s="32" t="n">
        <f aca="false">INDEX(Equipment!$D$2:$D$137,MATCH(E125,Equipment!$A$2:$A$137,0))</f>
        <v>44</v>
      </c>
      <c r="AF125" s="32" t="n">
        <f aca="false">INDEX(Equipment!$E$2:$E$137,MATCH(E125,Equipment!$A$2:$A$137,0))</f>
        <v>64</v>
      </c>
      <c r="AG125" s="32" t="n">
        <f aca="false">INDEX(Equipment!$F$2:$F$137,MATCH(E125,Equipment!$A$2:$A$137,0))</f>
        <v>3</v>
      </c>
      <c r="AH125" s="32" t="n">
        <f aca="false">INDEX(Equipment!$D$2:$D$137,MATCH(G125,Equipment!$A$2:$A$137,0))</f>
        <v>38</v>
      </c>
      <c r="AI125" s="32" t="n">
        <f aca="false">INDEX(Equipment!$E$2:$E$137,MATCH(G125,Equipment!$A$2:$A$137,0))</f>
        <v>55</v>
      </c>
      <c r="AJ125" s="32" t="n">
        <f aca="false">INDEX(Equipment!$F$2:$F$137,MATCH(G125,Equipment!$A$2:$A$137,0))</f>
        <v>0.5</v>
      </c>
      <c r="AK125" s="32" t="n">
        <f aca="false">IF(INDEX(Raceways!$D$2:$D$18,MATCH(L125,Raceways!$A$2:$A$18,0))="",0,INDEX(Raceways!$D$2:$D$18,MATCH(L125,Raceways!$A$2:$A$18,0)))</f>
        <v>-1.2</v>
      </c>
      <c r="AL125" s="33" t="n">
        <f aca="false">IF(INDEX(Raceways!$I$2:$I$18,MATCH(L125,Raceways!$A$2:$A$18,0))="","",INDEX(Raceways!$I$2:$I$18,MATCH(L125,Raceways!$A$2:$A$18,0)))</f>
        <v>0.7</v>
      </c>
      <c r="AM125" s="26" t="n">
        <f aca="false">INDEX('Cable Types'!$D$2:$D$41,MATCH(I125,'Cable Types'!$A$2:$A$41,0))</f>
        <v>1</v>
      </c>
      <c r="AN125" s="26" t="n">
        <f aca="false">IF(INDEX('Cable Types'!$E$2:$E$41,MATCH(I125,'Cable Types'!$A$2:$A$41,0))="","",INDEX('Cable Types'!$E$2:$E$41,MATCH(I125,'Cable Types'!$A$2:$A$41,0)))</f>
        <v>25</v>
      </c>
      <c r="AO125" s="26" t="str">
        <f aca="false">IF(INDEX('Cable Types'!$F$2:$F$41,MATCH(I125,'Cable Types'!$A$2:$A$41,0))="","",INDEX('Cable Types'!$F$2:$F$41,MATCH(I125,'Cable Types'!$A$2:$A$41,0)))</f>
        <v/>
      </c>
      <c r="AP125" s="33" t="str">
        <f aca="false">IF(INDEX('Cable Types'!$G$2:$G$41,MATCH(I125,'Cable Types'!$A$2:$A$41,0))="","",INDEX('Cable Types'!$G$2:$G$41,MATCH(I125,'Cable Types'!$A$2:$A$41,0)))</f>
        <v/>
      </c>
    </row>
    <row r="126" customFormat="false" ht="15" hidden="false" customHeight="false" outlineLevel="0" collapsed="false">
      <c r="A126" s="25" t="s">
        <v>892</v>
      </c>
      <c r="B126" s="25" t="s">
        <v>133</v>
      </c>
      <c r="C126" s="25" t="s">
        <v>74</v>
      </c>
      <c r="D126" s="25" t="s">
        <v>893</v>
      </c>
      <c r="E126" s="25" t="s">
        <v>151</v>
      </c>
      <c r="F126" s="26" t="str">
        <f aca="false">INDEX(Equipment!$B$2:$B$137,MATCH(E126,Equipment!$A$2:$A$137,0))</f>
        <v>Unit auxiliary transformer 2, 18/11.5 kV 30 MVA (feeds CCS)</v>
      </c>
      <c r="G126" s="25" t="s">
        <v>460</v>
      </c>
      <c r="H126" s="26" t="str">
        <f aca="false">INDEX(Equipment!$B$2:$B$137,MATCH(G126,Equipment!$A$2:$A$137,0))</f>
        <v>Generator &amp; transformer protection panels</v>
      </c>
      <c r="I126" s="25" t="s">
        <v>543</v>
      </c>
      <c r="J126" s="26" t="str">
        <f aca="false">INDEX('Cable Types'!$B$2:$B$41,MATCH(I126,'Cable Types'!$A$2:$A$41,0))</f>
        <v>0.6/1 kV 12C 4 mm2 Cu/PVC/SWA/PVC (CT/VT circuits)</v>
      </c>
      <c r="K126" s="25" t="n">
        <v>1</v>
      </c>
      <c r="L126" s="25" t="s">
        <v>655</v>
      </c>
      <c r="M126" s="25" t="s">
        <v>638</v>
      </c>
      <c r="N126" s="25"/>
      <c r="O126" s="27" t="n">
        <f aca="false">IF(N126&lt;&gt;"",N126,IF(M126="D",ROUNDUP(SQRT((AH126-AE126)^2+(AI126-AF126)^2+(AJ126-AG126)^2)*(1+'Design Basis'!$C$6),0),ROUNDUP((ABS(AH126-AE126)+ABS(AI126-AF126)+ABS(AK126-AG126)+ABS(AK126-AJ126))*(1+'Design Basis'!$C$4)+2*'Design Basis'!$C$5,0)))</f>
        <v>76</v>
      </c>
      <c r="P126" s="27" t="n">
        <f aca="false">O126*K126*AM126</f>
        <v>76</v>
      </c>
      <c r="Q126" s="28"/>
      <c r="R126" s="25"/>
      <c r="S126" s="28"/>
      <c r="T126" s="29"/>
      <c r="U126" s="27" t="str">
        <f aca="false">IF(OR(S126="",Q126=""),"",IF(R126=3,S126*1000/(SQRT(3)*Q126*T126),S126*1000/(Q126*T126)))</f>
        <v/>
      </c>
      <c r="V126" s="27" t="str">
        <f aca="false">IF(OR(AO126="",AL126=""),"",AO126*AL126)</f>
        <v/>
      </c>
      <c r="W126" s="27" t="str">
        <f aca="false">IF(V126="","",V126*K126)</f>
        <v/>
      </c>
      <c r="X126" s="30" t="str">
        <f aca="false">IF(OR(U126="",W126=""),"",U126/W126)</f>
        <v/>
      </c>
      <c r="Y126" s="30" t="str">
        <f aca="false">IF(OR(U126="",AP126=""),"",AP126*(U126/K126)*O126/1000/Q126)</f>
        <v/>
      </c>
      <c r="Z126" s="30" t="str">
        <f aca="false">IF(U126="","",IFERROR(IF(INDEX('Design Basis'!$C$13:$C$21,MATCH(C126,'Design Basis'!$A$13:$A$21,0))="","",INDEX('Design Basis'!$C$13:$C$21,MATCH(C126,'Design Basis'!$A$13:$A$21,0))),""))</f>
        <v/>
      </c>
      <c r="AA126" s="31" t="str">
        <f aca="false">IF(U126="","n/a",IF(W126="","CHECK",IF(AND(X126&lt;=1,OR(Y126="",Z126="",Y126&lt;=Z126)),"OK","CHECK")))</f>
        <v>n/a</v>
      </c>
      <c r="AB126" s="27" t="n">
        <f aca="false">IF(AN126="","",K126*AM126*PI()/4*AN126^2)</f>
        <v>490.873852123405</v>
      </c>
      <c r="AC126" s="31"/>
      <c r="AE126" s="32" t="n">
        <f aca="false">INDEX(Equipment!$D$2:$D$137,MATCH(E126,Equipment!$A$2:$A$137,0))</f>
        <v>86</v>
      </c>
      <c r="AF126" s="32" t="n">
        <f aca="false">INDEX(Equipment!$E$2:$E$137,MATCH(E126,Equipment!$A$2:$A$137,0))</f>
        <v>64</v>
      </c>
      <c r="AG126" s="32" t="n">
        <f aca="false">INDEX(Equipment!$F$2:$F$137,MATCH(E126,Equipment!$A$2:$A$137,0))</f>
        <v>3</v>
      </c>
      <c r="AH126" s="32" t="n">
        <f aca="false">INDEX(Equipment!$D$2:$D$137,MATCH(G126,Equipment!$A$2:$A$137,0))</f>
        <v>38</v>
      </c>
      <c r="AI126" s="32" t="n">
        <f aca="false">INDEX(Equipment!$E$2:$E$137,MATCH(G126,Equipment!$A$2:$A$137,0))</f>
        <v>55</v>
      </c>
      <c r="AJ126" s="32" t="n">
        <f aca="false">INDEX(Equipment!$F$2:$F$137,MATCH(G126,Equipment!$A$2:$A$137,0))</f>
        <v>0.5</v>
      </c>
      <c r="AK126" s="32" t="n">
        <f aca="false">IF(INDEX(Raceways!$D$2:$D$18,MATCH(L126,Raceways!$A$2:$A$18,0))="",0,INDEX(Raceways!$D$2:$D$18,MATCH(L126,Raceways!$A$2:$A$18,0)))</f>
        <v>-1.2</v>
      </c>
      <c r="AL126" s="33" t="n">
        <f aca="false">IF(INDEX(Raceways!$I$2:$I$18,MATCH(L126,Raceways!$A$2:$A$18,0))="","",INDEX(Raceways!$I$2:$I$18,MATCH(L126,Raceways!$A$2:$A$18,0)))</f>
        <v>0.7</v>
      </c>
      <c r="AM126" s="26" t="n">
        <f aca="false">INDEX('Cable Types'!$D$2:$D$41,MATCH(I126,'Cable Types'!$A$2:$A$41,0))</f>
        <v>1</v>
      </c>
      <c r="AN126" s="26" t="n">
        <f aca="false">IF(INDEX('Cable Types'!$E$2:$E$41,MATCH(I126,'Cable Types'!$A$2:$A$41,0))="","",INDEX('Cable Types'!$E$2:$E$41,MATCH(I126,'Cable Types'!$A$2:$A$41,0)))</f>
        <v>25</v>
      </c>
      <c r="AO126" s="26" t="str">
        <f aca="false">IF(INDEX('Cable Types'!$F$2:$F$41,MATCH(I126,'Cable Types'!$A$2:$A$41,0))="","",INDEX('Cable Types'!$F$2:$F$41,MATCH(I126,'Cable Types'!$A$2:$A$41,0)))</f>
        <v/>
      </c>
      <c r="AP126" s="33" t="str">
        <f aca="false">IF(INDEX('Cable Types'!$G$2:$G$41,MATCH(I126,'Cable Types'!$A$2:$A$41,0))="","",INDEX('Cable Types'!$G$2:$G$41,MATCH(I126,'Cable Types'!$A$2:$A$41,0)))</f>
        <v/>
      </c>
    </row>
    <row r="127" customFormat="false" ht="15" hidden="false" customHeight="false" outlineLevel="0" collapsed="false">
      <c r="A127" s="25" t="s">
        <v>894</v>
      </c>
      <c r="B127" s="25" t="s">
        <v>133</v>
      </c>
      <c r="C127" s="25" t="s">
        <v>74</v>
      </c>
      <c r="D127" s="25" t="s">
        <v>895</v>
      </c>
      <c r="E127" s="25" t="s">
        <v>131</v>
      </c>
      <c r="F127" s="26" t="str">
        <f aca="false">INDEX(Equipment!$B$2:$B$137,MATCH(E127,Equipment!$A$2:$A$137,0))</f>
        <v>Gas turbine generator ~290 MVA, 19 kV - line terminals</v>
      </c>
      <c r="G127" s="25" t="s">
        <v>460</v>
      </c>
      <c r="H127" s="26" t="str">
        <f aca="false">INDEX(Equipment!$B$2:$B$137,MATCH(G127,Equipment!$A$2:$A$137,0))</f>
        <v>Generator &amp; transformer protection panels</v>
      </c>
      <c r="I127" s="25" t="s">
        <v>543</v>
      </c>
      <c r="J127" s="26" t="str">
        <f aca="false">INDEX('Cable Types'!$B$2:$B$41,MATCH(I127,'Cable Types'!$A$2:$A$41,0))</f>
        <v>0.6/1 kV 12C 4 mm2 Cu/PVC/SWA/PVC (CT/VT circuits)</v>
      </c>
      <c r="K127" s="25" t="n">
        <v>2</v>
      </c>
      <c r="L127" s="25" t="s">
        <v>665</v>
      </c>
      <c r="M127" s="25" t="s">
        <v>638</v>
      </c>
      <c r="N127" s="25"/>
      <c r="O127" s="27" t="n">
        <f aca="false">IF(N127&lt;&gt;"",N127,IF(M127="D",ROUNDUP(SQRT((AH127-AE127)^2+(AI127-AF127)^2+(AJ127-AG127)^2)*(1+'Design Basis'!$C$6),0),ROUNDUP((ABS(AH127-AE127)+ABS(AI127-AF127)+ABS(AK127-AG127)+ABS(AK127-AJ127))*(1+'Design Basis'!$C$4)+2*'Design Basis'!$C$5,0)))</f>
        <v>75</v>
      </c>
      <c r="P127" s="27" t="n">
        <f aca="false">O127*K127*AM127</f>
        <v>150</v>
      </c>
      <c r="Q127" s="28"/>
      <c r="R127" s="25"/>
      <c r="S127" s="28"/>
      <c r="T127" s="29"/>
      <c r="U127" s="27" t="str">
        <f aca="false">IF(OR(S127="",Q127=""),"",IF(R127=3,S127*1000/(SQRT(3)*Q127*T127),S127*1000/(Q127*T127)))</f>
        <v/>
      </c>
      <c r="V127" s="27" t="str">
        <f aca="false">IF(OR(AO127="",AL127=""),"",AO127*AL127)</f>
        <v/>
      </c>
      <c r="W127" s="27" t="str">
        <f aca="false">IF(V127="","",V127*K127)</f>
        <v/>
      </c>
      <c r="X127" s="30" t="str">
        <f aca="false">IF(OR(U127="",W127=""),"",U127/W127)</f>
        <v/>
      </c>
      <c r="Y127" s="30" t="str">
        <f aca="false">IF(OR(U127="",AP127=""),"",AP127*(U127/K127)*O127/1000/Q127)</f>
        <v/>
      </c>
      <c r="Z127" s="30" t="str">
        <f aca="false">IF(U127="","",IFERROR(IF(INDEX('Design Basis'!$C$13:$C$21,MATCH(C127,'Design Basis'!$A$13:$A$21,0))="","",INDEX('Design Basis'!$C$13:$C$21,MATCH(C127,'Design Basis'!$A$13:$A$21,0))),""))</f>
        <v/>
      </c>
      <c r="AA127" s="31" t="str">
        <f aca="false">IF(U127="","n/a",IF(W127="","CHECK",IF(AND(X127&lt;=1,OR(Y127="",Z127="",Y127&lt;=Z127)),"OK","CHECK")))</f>
        <v>n/a</v>
      </c>
      <c r="AB127" s="27" t="n">
        <f aca="false">IF(AN127="","",K127*AM127*PI()/4*AN127^2)</f>
        <v>981.74770424681</v>
      </c>
      <c r="AC127" s="31"/>
      <c r="AE127" s="32" t="n">
        <f aca="false">INDEX(Equipment!$D$2:$D$137,MATCH(E127,Equipment!$A$2:$A$137,0))</f>
        <v>58</v>
      </c>
      <c r="AF127" s="32" t="n">
        <f aca="false">INDEX(Equipment!$E$2:$E$137,MATCH(E127,Equipment!$A$2:$A$137,0))</f>
        <v>18</v>
      </c>
      <c r="AG127" s="32" t="n">
        <f aca="false">INDEX(Equipment!$F$2:$F$137,MATCH(E127,Equipment!$A$2:$A$137,0))</f>
        <v>4</v>
      </c>
      <c r="AH127" s="32" t="n">
        <f aca="false">INDEX(Equipment!$D$2:$D$137,MATCH(G127,Equipment!$A$2:$A$137,0))</f>
        <v>38</v>
      </c>
      <c r="AI127" s="32" t="n">
        <f aca="false">INDEX(Equipment!$E$2:$E$137,MATCH(G127,Equipment!$A$2:$A$137,0))</f>
        <v>55</v>
      </c>
      <c r="AJ127" s="32" t="n">
        <f aca="false">INDEX(Equipment!$F$2:$F$137,MATCH(G127,Equipment!$A$2:$A$137,0))</f>
        <v>0.5</v>
      </c>
      <c r="AK127" s="32" t="n">
        <f aca="false">IF(INDEX(Raceways!$D$2:$D$18,MATCH(L127,Raceways!$A$2:$A$18,0))="",0,INDEX(Raceways!$D$2:$D$18,MATCH(L127,Raceways!$A$2:$A$18,0)))</f>
        <v>5</v>
      </c>
      <c r="AL127" s="33" t="n">
        <f aca="false">IF(INDEX(Raceways!$I$2:$I$18,MATCH(L127,Raceways!$A$2:$A$18,0))="","",INDEX(Raceways!$I$2:$I$18,MATCH(L127,Raceways!$A$2:$A$18,0)))</f>
        <v>0.8</v>
      </c>
      <c r="AM127" s="26" t="n">
        <f aca="false">INDEX('Cable Types'!$D$2:$D$41,MATCH(I127,'Cable Types'!$A$2:$A$41,0))</f>
        <v>1</v>
      </c>
      <c r="AN127" s="26" t="n">
        <f aca="false">IF(INDEX('Cable Types'!$E$2:$E$41,MATCH(I127,'Cable Types'!$A$2:$A$41,0))="","",INDEX('Cable Types'!$E$2:$E$41,MATCH(I127,'Cable Types'!$A$2:$A$41,0)))</f>
        <v>25</v>
      </c>
      <c r="AO127" s="26" t="str">
        <f aca="false">IF(INDEX('Cable Types'!$F$2:$F$41,MATCH(I127,'Cable Types'!$A$2:$A$41,0))="","",INDEX('Cable Types'!$F$2:$F$41,MATCH(I127,'Cable Types'!$A$2:$A$41,0)))</f>
        <v/>
      </c>
      <c r="AP127" s="33" t="str">
        <f aca="false">IF(INDEX('Cable Types'!$G$2:$G$41,MATCH(I127,'Cable Types'!$A$2:$A$41,0))="","",INDEX('Cable Types'!$G$2:$G$41,MATCH(I127,'Cable Types'!$A$2:$A$41,0)))</f>
        <v/>
      </c>
    </row>
    <row r="128" customFormat="false" ht="15" hidden="false" customHeight="false" outlineLevel="0" collapsed="false">
      <c r="A128" s="25" t="s">
        <v>896</v>
      </c>
      <c r="B128" s="25" t="s">
        <v>133</v>
      </c>
      <c r="C128" s="25" t="s">
        <v>74</v>
      </c>
      <c r="D128" s="25" t="s">
        <v>897</v>
      </c>
      <c r="E128" s="25" t="s">
        <v>135</v>
      </c>
      <c r="F128" s="26" t="str">
        <f aca="false">INDEX(Equipment!$B$2:$B$137,MATCH(E128,Equipment!$A$2:$A$137,0))</f>
        <v>Steam turbine generator ~175 MVA, 18 kV - line terminals</v>
      </c>
      <c r="G128" s="25" t="s">
        <v>460</v>
      </c>
      <c r="H128" s="26" t="str">
        <f aca="false">INDEX(Equipment!$B$2:$B$137,MATCH(G128,Equipment!$A$2:$A$137,0))</f>
        <v>Generator &amp; transformer protection panels</v>
      </c>
      <c r="I128" s="25" t="s">
        <v>543</v>
      </c>
      <c r="J128" s="26" t="str">
        <f aca="false">INDEX('Cable Types'!$B$2:$B$41,MATCH(I128,'Cable Types'!$A$2:$A$41,0))</f>
        <v>0.6/1 kV 12C 4 mm2 Cu/PVC/SWA/PVC (CT/VT circuits)</v>
      </c>
      <c r="K128" s="25" t="n">
        <v>2</v>
      </c>
      <c r="L128" s="25" t="s">
        <v>659</v>
      </c>
      <c r="M128" s="25" t="s">
        <v>638</v>
      </c>
      <c r="N128" s="25"/>
      <c r="O128" s="27" t="n">
        <f aca="false">IF(N128&lt;&gt;"",N128,IF(M128="D",ROUNDUP(SQRT((AH128-AE128)^2+(AI128-AF128)^2+(AJ128-AG128)^2)*(1+'Design Basis'!$C$6),0),ROUNDUP((ABS(AH128-AE128)+ABS(AI128-AF128)+ABS(AK128-AG128)+ABS(AK128-AJ128))*(1+'Design Basis'!$C$4)+2*'Design Basis'!$C$5,0)))</f>
        <v>47</v>
      </c>
      <c r="P128" s="27" t="n">
        <f aca="false">O128*K128*AM128</f>
        <v>94</v>
      </c>
      <c r="Q128" s="28"/>
      <c r="R128" s="25"/>
      <c r="S128" s="28"/>
      <c r="T128" s="29"/>
      <c r="U128" s="27" t="str">
        <f aca="false">IF(OR(S128="",Q128=""),"",IF(R128=3,S128*1000/(SQRT(3)*Q128*T128),S128*1000/(Q128*T128)))</f>
        <v/>
      </c>
      <c r="V128" s="27" t="str">
        <f aca="false">IF(OR(AO128="",AL128=""),"",AO128*AL128)</f>
        <v/>
      </c>
      <c r="W128" s="27" t="str">
        <f aca="false">IF(V128="","",V128*K128)</f>
        <v/>
      </c>
      <c r="X128" s="30" t="str">
        <f aca="false">IF(OR(U128="",W128=""),"",U128/W128)</f>
        <v/>
      </c>
      <c r="Y128" s="30" t="str">
        <f aca="false">IF(OR(U128="",AP128=""),"",AP128*(U128/K128)*O128/1000/Q128)</f>
        <v/>
      </c>
      <c r="Z128" s="30" t="str">
        <f aca="false">IF(U128="","",IFERROR(IF(INDEX('Design Basis'!$C$13:$C$21,MATCH(C128,'Design Basis'!$A$13:$A$21,0))="","",INDEX('Design Basis'!$C$13:$C$21,MATCH(C128,'Design Basis'!$A$13:$A$21,0))),""))</f>
        <v/>
      </c>
      <c r="AA128" s="31" t="str">
        <f aca="false">IF(U128="","n/a",IF(W128="","CHECK",IF(AND(X128&lt;=1,OR(Y128="",Z128="",Y128&lt;=Z128)),"OK","CHECK")))</f>
        <v>n/a</v>
      </c>
      <c r="AB128" s="27" t="n">
        <f aca="false">IF(AN128="","",K128*AM128*PI()/4*AN128^2)</f>
        <v>981.74770424681</v>
      </c>
      <c r="AC128" s="31"/>
      <c r="AE128" s="32" t="n">
        <f aca="false">INDEX(Equipment!$D$2:$D$137,MATCH(E128,Equipment!$A$2:$A$137,0))</f>
        <v>60</v>
      </c>
      <c r="AF128" s="32" t="n">
        <f aca="false">INDEX(Equipment!$E$2:$E$137,MATCH(E128,Equipment!$A$2:$A$137,0))</f>
        <v>46</v>
      </c>
      <c r="AG128" s="32" t="n">
        <f aca="false">INDEX(Equipment!$F$2:$F$137,MATCH(E128,Equipment!$A$2:$A$137,0))</f>
        <v>6</v>
      </c>
      <c r="AH128" s="32" t="n">
        <f aca="false">INDEX(Equipment!$D$2:$D$137,MATCH(G128,Equipment!$A$2:$A$137,0))</f>
        <v>38</v>
      </c>
      <c r="AI128" s="32" t="n">
        <f aca="false">INDEX(Equipment!$E$2:$E$137,MATCH(G128,Equipment!$A$2:$A$137,0))</f>
        <v>55</v>
      </c>
      <c r="AJ128" s="32" t="n">
        <f aca="false">INDEX(Equipment!$F$2:$F$137,MATCH(G128,Equipment!$A$2:$A$137,0))</f>
        <v>0.5</v>
      </c>
      <c r="AK128" s="32" t="n">
        <f aca="false">IF(INDEX(Raceways!$D$2:$D$18,MATCH(L128,Raceways!$A$2:$A$18,0))="",0,INDEX(Raceways!$D$2:$D$18,MATCH(L128,Raceways!$A$2:$A$18,0)))</f>
        <v>5</v>
      </c>
      <c r="AL128" s="33" t="n">
        <f aca="false">IF(INDEX(Raceways!$I$2:$I$18,MATCH(L128,Raceways!$A$2:$A$18,0))="","",INDEX(Raceways!$I$2:$I$18,MATCH(L128,Raceways!$A$2:$A$18,0)))</f>
        <v>0.8</v>
      </c>
      <c r="AM128" s="26" t="n">
        <f aca="false">INDEX('Cable Types'!$D$2:$D$41,MATCH(I128,'Cable Types'!$A$2:$A$41,0))</f>
        <v>1</v>
      </c>
      <c r="AN128" s="26" t="n">
        <f aca="false">IF(INDEX('Cable Types'!$E$2:$E$41,MATCH(I128,'Cable Types'!$A$2:$A$41,0))="","",INDEX('Cable Types'!$E$2:$E$41,MATCH(I128,'Cable Types'!$A$2:$A$41,0)))</f>
        <v>25</v>
      </c>
      <c r="AO128" s="26" t="str">
        <f aca="false">IF(INDEX('Cable Types'!$F$2:$F$41,MATCH(I128,'Cable Types'!$A$2:$A$41,0))="","",INDEX('Cable Types'!$F$2:$F$41,MATCH(I128,'Cable Types'!$A$2:$A$41,0)))</f>
        <v/>
      </c>
      <c r="AP128" s="33" t="str">
        <f aca="false">IF(INDEX('Cable Types'!$G$2:$G$41,MATCH(I128,'Cable Types'!$A$2:$A$41,0))="","",INDEX('Cable Types'!$G$2:$G$41,MATCH(I128,'Cable Types'!$A$2:$A$41,0)))</f>
        <v/>
      </c>
    </row>
    <row r="129" customFormat="false" ht="15" hidden="false" customHeight="false" outlineLevel="0" collapsed="false">
      <c r="A129" s="25" t="s">
        <v>898</v>
      </c>
      <c r="B129" s="25" t="s">
        <v>127</v>
      </c>
      <c r="C129" s="25" t="s">
        <v>74</v>
      </c>
      <c r="D129" s="25" t="s">
        <v>899</v>
      </c>
      <c r="E129" s="25" t="s">
        <v>129</v>
      </c>
      <c r="F129" s="26" t="str">
        <f aca="false">INDEX(Equipment!$B$2:$B$137,MATCH(E129,Equipment!$A$2:$A$137,0))</f>
        <v>RICE step-up transformer 11/230 kV 22 MVA - LV cable box</v>
      </c>
      <c r="G129" s="25" t="s">
        <v>349</v>
      </c>
      <c r="H129" s="26" t="str">
        <f aca="false">INDEX(Equipment!$B$2:$B$137,MATCH(G129,Equipment!$A$2:$A$137,0))</f>
        <v>RICE plant controller</v>
      </c>
      <c r="I129" s="25" t="s">
        <v>543</v>
      </c>
      <c r="J129" s="26" t="str">
        <f aca="false">INDEX('Cable Types'!$B$2:$B$41,MATCH(I129,'Cable Types'!$A$2:$A$41,0))</f>
        <v>0.6/1 kV 12C 4 mm2 Cu/PVC/SWA/PVC (CT/VT circuits)</v>
      </c>
      <c r="K129" s="25" t="n">
        <v>1</v>
      </c>
      <c r="L129" s="25" t="s">
        <v>649</v>
      </c>
      <c r="M129" s="25" t="s">
        <v>638</v>
      </c>
      <c r="N129" s="25"/>
      <c r="O129" s="27" t="n">
        <f aca="false">IF(N129&lt;&gt;"",N129,IF(M129="D",ROUNDUP(SQRT((AH129-AE129)^2+(AI129-AF129)^2+(AJ129-AG129)^2)*(1+'Design Basis'!$C$6),0),ROUNDUP((ABS(AH129-AE129)+ABS(AI129-AF129)+ABS(AK129-AG129)+ABS(AK129-AJ129))*(1+'Design Basis'!$C$4)+2*'Design Basis'!$C$5,0)))</f>
        <v>25</v>
      </c>
      <c r="P129" s="27" t="n">
        <f aca="false">O129*K129*AM129</f>
        <v>25</v>
      </c>
      <c r="Q129" s="28"/>
      <c r="R129" s="25"/>
      <c r="S129" s="28"/>
      <c r="T129" s="29"/>
      <c r="U129" s="27" t="str">
        <f aca="false">IF(OR(S129="",Q129=""),"",IF(R129=3,S129*1000/(SQRT(3)*Q129*T129),S129*1000/(Q129*T129)))</f>
        <v/>
      </c>
      <c r="V129" s="27" t="str">
        <f aca="false">IF(OR(AO129="",AL129=""),"",AO129*AL129)</f>
        <v/>
      </c>
      <c r="W129" s="27" t="str">
        <f aca="false">IF(V129="","",V129*K129)</f>
        <v/>
      </c>
      <c r="X129" s="30" t="str">
        <f aca="false">IF(OR(U129="",W129=""),"",U129/W129)</f>
        <v/>
      </c>
      <c r="Y129" s="30" t="str">
        <f aca="false">IF(OR(U129="",AP129=""),"",AP129*(U129/K129)*O129/1000/Q129)</f>
        <v/>
      </c>
      <c r="Z129" s="30" t="str">
        <f aca="false">IF(U129="","",IFERROR(IF(INDEX('Design Basis'!$C$13:$C$21,MATCH(C129,'Design Basis'!$A$13:$A$21,0))="","",INDEX('Design Basis'!$C$13:$C$21,MATCH(C129,'Design Basis'!$A$13:$A$21,0))),""))</f>
        <v/>
      </c>
      <c r="AA129" s="31" t="str">
        <f aca="false">IF(U129="","n/a",IF(W129="","CHECK",IF(AND(X129&lt;=1,OR(Y129="",Z129="",Y129&lt;=Z129)),"OK","CHECK")))</f>
        <v>n/a</v>
      </c>
      <c r="AB129" s="27" t="n">
        <f aca="false">IF(AN129="","",K129*AM129*PI()/4*AN129^2)</f>
        <v>490.873852123405</v>
      </c>
      <c r="AC129" s="31"/>
      <c r="AE129" s="32" t="n">
        <f aca="false">INDEX(Equipment!$D$2:$D$137,MATCH(E129,Equipment!$A$2:$A$137,0))</f>
        <v>14.5</v>
      </c>
      <c r="AF129" s="32" t="n">
        <f aca="false">INDEX(Equipment!$E$2:$E$137,MATCH(E129,Equipment!$A$2:$A$137,0))</f>
        <v>107.5</v>
      </c>
      <c r="AG129" s="32" t="n">
        <f aca="false">INDEX(Equipment!$F$2:$F$137,MATCH(E129,Equipment!$A$2:$A$137,0))</f>
        <v>2</v>
      </c>
      <c r="AH129" s="32" t="n">
        <f aca="false">INDEX(Equipment!$D$2:$D$137,MATCH(G129,Equipment!$A$2:$A$137,0))</f>
        <v>8</v>
      </c>
      <c r="AI129" s="32" t="n">
        <f aca="false">INDEX(Equipment!$E$2:$E$137,MATCH(G129,Equipment!$A$2:$A$137,0))</f>
        <v>99</v>
      </c>
      <c r="AJ129" s="32" t="n">
        <f aca="false">INDEX(Equipment!$F$2:$F$137,MATCH(G129,Equipment!$A$2:$A$137,0))</f>
        <v>0.5</v>
      </c>
      <c r="AK129" s="32" t="n">
        <f aca="false">IF(INDEX(Raceways!$D$2:$D$18,MATCH(L129,Raceways!$A$2:$A$18,0))="",0,INDEX(Raceways!$D$2:$D$18,MATCH(L129,Raceways!$A$2:$A$18,0)))</f>
        <v>1</v>
      </c>
      <c r="AL129" s="33" t="n">
        <f aca="false">IF(INDEX(Raceways!$I$2:$I$18,MATCH(L129,Raceways!$A$2:$A$18,0))="","",INDEX(Raceways!$I$2:$I$18,MATCH(L129,Raceways!$A$2:$A$18,0)))</f>
        <v>0.8</v>
      </c>
      <c r="AM129" s="26" t="n">
        <f aca="false">INDEX('Cable Types'!$D$2:$D$41,MATCH(I129,'Cable Types'!$A$2:$A$41,0))</f>
        <v>1</v>
      </c>
      <c r="AN129" s="26" t="n">
        <f aca="false">IF(INDEX('Cable Types'!$E$2:$E$41,MATCH(I129,'Cable Types'!$A$2:$A$41,0))="","",INDEX('Cable Types'!$E$2:$E$41,MATCH(I129,'Cable Types'!$A$2:$A$41,0)))</f>
        <v>25</v>
      </c>
      <c r="AO129" s="26" t="str">
        <f aca="false">IF(INDEX('Cable Types'!$F$2:$F$41,MATCH(I129,'Cable Types'!$A$2:$A$41,0))="","",INDEX('Cable Types'!$F$2:$F$41,MATCH(I129,'Cable Types'!$A$2:$A$41,0)))</f>
        <v/>
      </c>
      <c r="AP129" s="33" t="str">
        <f aca="false">IF(INDEX('Cable Types'!$G$2:$G$41,MATCH(I129,'Cable Types'!$A$2:$A$41,0))="","",INDEX('Cable Types'!$G$2:$G$41,MATCH(I129,'Cable Types'!$A$2:$A$41,0)))</f>
        <v/>
      </c>
    </row>
    <row r="130" customFormat="false" ht="15" hidden="false" customHeight="false" outlineLevel="0" collapsed="false">
      <c r="A130" s="25" t="s">
        <v>900</v>
      </c>
      <c r="B130" s="25" t="s">
        <v>451</v>
      </c>
      <c r="C130" s="25" t="s">
        <v>74</v>
      </c>
      <c r="D130" s="25" t="s">
        <v>901</v>
      </c>
      <c r="E130" s="25" t="s">
        <v>449</v>
      </c>
      <c r="F130" s="26" t="str">
        <f aca="false">INDEX(Equipment!$B$2:$B$137,MATCH(E130,Equipment!$A$2:$A$137,0))</f>
        <v>Main 11 kV switchboard (main electrical building)</v>
      </c>
      <c r="G130" s="25" t="s">
        <v>458</v>
      </c>
      <c r="H130" s="26" t="str">
        <f aca="false">INDEX(Equipment!$B$2:$B$137,MATCH(G130,Equipment!$A$2:$A$137,0))</f>
        <v>DCS servers / central control room</v>
      </c>
      <c r="I130" s="25" t="s">
        <v>541</v>
      </c>
      <c r="J130" s="26" t="str">
        <f aca="false">INDEX('Cable Types'!$B$2:$B$41,MATCH(I130,'Cable Types'!$A$2:$A$41,0))</f>
        <v>0.6/1 kV 24C 1.5 mm2 Cu/PVC/SWA/PVC control</v>
      </c>
      <c r="K130" s="25" t="n">
        <v>4</v>
      </c>
      <c r="L130" s="25" t="s">
        <v>649</v>
      </c>
      <c r="M130" s="25" t="s">
        <v>638</v>
      </c>
      <c r="N130" s="25"/>
      <c r="O130" s="27" t="n">
        <f aca="false">IF(N130&lt;&gt;"",N130,IF(M130="D",ROUNDUP(SQRT((AH130-AE130)^2+(AI130-AF130)^2+(AJ130-AG130)^2)*(1+'Design Basis'!$C$6),0),ROUNDUP((ABS(AH130-AE130)+ABS(AI130-AF130)+ABS(AK130-AG130)+ABS(AK130-AJ130))*(1+'Design Basis'!$C$4)+2*'Design Basis'!$C$5,0)))</f>
        <v>15</v>
      </c>
      <c r="P130" s="27" t="n">
        <f aca="false">O130*K130*AM130</f>
        <v>60</v>
      </c>
      <c r="Q130" s="28"/>
      <c r="R130" s="25"/>
      <c r="S130" s="28"/>
      <c r="T130" s="29"/>
      <c r="U130" s="27" t="str">
        <f aca="false">IF(OR(S130="",Q130=""),"",IF(R130=3,S130*1000/(SQRT(3)*Q130*T130),S130*1000/(Q130*T130)))</f>
        <v/>
      </c>
      <c r="V130" s="27" t="str">
        <f aca="false">IF(OR(AO130="",AL130=""),"",AO130*AL130)</f>
        <v/>
      </c>
      <c r="W130" s="27" t="str">
        <f aca="false">IF(V130="","",V130*K130)</f>
        <v/>
      </c>
      <c r="X130" s="30" t="str">
        <f aca="false">IF(OR(U130="",W130=""),"",U130/W130)</f>
        <v/>
      </c>
      <c r="Y130" s="30" t="str">
        <f aca="false">IF(OR(U130="",AP130=""),"",AP130*(U130/K130)*O130/1000/Q130)</f>
        <v/>
      </c>
      <c r="Z130" s="30" t="str">
        <f aca="false">IF(U130="","",IFERROR(IF(INDEX('Design Basis'!$C$13:$C$21,MATCH(C130,'Design Basis'!$A$13:$A$21,0))="","",INDEX('Design Basis'!$C$13:$C$21,MATCH(C130,'Design Basis'!$A$13:$A$21,0))),""))</f>
        <v/>
      </c>
      <c r="AA130" s="31" t="str">
        <f aca="false">IF(U130="","n/a",IF(W130="","CHECK",IF(AND(X130&lt;=1,OR(Y130="",Z130="",Y130&lt;=Z130)),"OK","CHECK")))</f>
        <v>n/a</v>
      </c>
      <c r="AB130" s="27" t="n">
        <f aca="false">IF(AN130="","",K130*AM130*PI()/4*AN130^2)</f>
        <v>1809.55736846772</v>
      </c>
      <c r="AC130" s="31"/>
      <c r="AE130" s="32" t="n">
        <f aca="false">INDEX(Equipment!$D$2:$D$137,MATCH(E130,Equipment!$A$2:$A$137,0))</f>
        <v>36</v>
      </c>
      <c r="AF130" s="32" t="n">
        <f aca="false">INDEX(Equipment!$E$2:$E$137,MATCH(E130,Equipment!$A$2:$A$137,0))</f>
        <v>52</v>
      </c>
      <c r="AG130" s="32" t="n">
        <f aca="false">INDEX(Equipment!$F$2:$F$137,MATCH(E130,Equipment!$A$2:$A$137,0))</f>
        <v>0.5</v>
      </c>
      <c r="AH130" s="32" t="n">
        <f aca="false">INDEX(Equipment!$D$2:$D$137,MATCH(G130,Equipment!$A$2:$A$137,0))</f>
        <v>40</v>
      </c>
      <c r="AI130" s="32" t="n">
        <f aca="false">INDEX(Equipment!$E$2:$E$137,MATCH(G130,Equipment!$A$2:$A$137,0))</f>
        <v>55</v>
      </c>
      <c r="AJ130" s="32" t="n">
        <f aca="false">INDEX(Equipment!$F$2:$F$137,MATCH(G130,Equipment!$A$2:$A$137,0))</f>
        <v>0.5</v>
      </c>
      <c r="AK130" s="32" t="n">
        <f aca="false">IF(INDEX(Raceways!$D$2:$D$18,MATCH(L130,Raceways!$A$2:$A$18,0))="",0,INDEX(Raceways!$D$2:$D$18,MATCH(L130,Raceways!$A$2:$A$18,0)))</f>
        <v>1</v>
      </c>
      <c r="AL130" s="33" t="n">
        <f aca="false">IF(INDEX(Raceways!$I$2:$I$18,MATCH(L130,Raceways!$A$2:$A$18,0))="","",INDEX(Raceways!$I$2:$I$18,MATCH(L130,Raceways!$A$2:$A$18,0)))</f>
        <v>0.8</v>
      </c>
      <c r="AM130" s="26" t="n">
        <f aca="false">INDEX('Cable Types'!$D$2:$D$41,MATCH(I130,'Cable Types'!$A$2:$A$41,0))</f>
        <v>1</v>
      </c>
      <c r="AN130" s="26" t="n">
        <f aca="false">IF(INDEX('Cable Types'!$E$2:$E$41,MATCH(I130,'Cable Types'!$A$2:$A$41,0))="","",INDEX('Cable Types'!$E$2:$E$41,MATCH(I130,'Cable Types'!$A$2:$A$41,0)))</f>
        <v>24</v>
      </c>
      <c r="AO130" s="26" t="str">
        <f aca="false">IF(INDEX('Cable Types'!$F$2:$F$41,MATCH(I130,'Cable Types'!$A$2:$A$41,0))="","",INDEX('Cable Types'!$F$2:$F$41,MATCH(I130,'Cable Types'!$A$2:$A$41,0)))</f>
        <v/>
      </c>
      <c r="AP130" s="33" t="str">
        <f aca="false">IF(INDEX('Cable Types'!$G$2:$G$41,MATCH(I130,'Cable Types'!$A$2:$A$41,0))="","",INDEX('Cable Types'!$G$2:$G$41,MATCH(I130,'Cable Types'!$A$2:$A$41,0)))</f>
        <v/>
      </c>
    </row>
    <row r="131" customFormat="false" ht="15" hidden="false" customHeight="false" outlineLevel="0" collapsed="false">
      <c r="A131" s="25" t="s">
        <v>902</v>
      </c>
      <c r="B131" s="25" t="s">
        <v>133</v>
      </c>
      <c r="C131" s="25" t="s">
        <v>74</v>
      </c>
      <c r="D131" s="25" t="s">
        <v>903</v>
      </c>
      <c r="E131" s="25" t="s">
        <v>164</v>
      </c>
      <c r="F131" s="26" t="str">
        <f aca="false">INDEX(Equipment!$B$2:$B$137,MATCH(E131,Equipment!$A$2:$A$137,0))</f>
        <v>GT control panel (in PEECC)</v>
      </c>
      <c r="G131" s="25" t="s">
        <v>166</v>
      </c>
      <c r="H131" s="26" t="str">
        <f aca="false">INDEX(Equipment!$B$2:$B$137,MATCH(G131,Equipment!$A$2:$A$137,0))</f>
        <v>GT auxiliary MCC 400 V (in PEECC)</v>
      </c>
      <c r="I131" s="25" t="s">
        <v>541</v>
      </c>
      <c r="J131" s="26" t="str">
        <f aca="false">INDEX('Cable Types'!$B$2:$B$41,MATCH(I131,'Cable Types'!$A$2:$A$41,0))</f>
        <v>0.6/1 kV 24C 1.5 mm2 Cu/PVC/SWA/PVC control</v>
      </c>
      <c r="K131" s="25" t="n">
        <v>3</v>
      </c>
      <c r="L131" s="25" t="s">
        <v>649</v>
      </c>
      <c r="M131" s="25" t="s">
        <v>638</v>
      </c>
      <c r="N131" s="25"/>
      <c r="O131" s="27" t="n">
        <f aca="false">IF(N131&lt;&gt;"",N131,IF(M131="D",ROUNDUP(SQRT((AH131-AE131)^2+(AI131-AF131)^2+(AJ131-AG131)^2)*(1+'Design Basis'!$C$6),0),ROUNDUP((ABS(AH131-AE131)+ABS(AI131-AF131)+ABS(AK131-AG131)+ABS(AK131-AJ131))*(1+'Design Basis'!$C$4)+2*'Design Basis'!$C$5,0)))</f>
        <v>10</v>
      </c>
      <c r="P131" s="27" t="n">
        <f aca="false">O131*K131*AM131</f>
        <v>30</v>
      </c>
      <c r="Q131" s="28"/>
      <c r="R131" s="25"/>
      <c r="S131" s="28"/>
      <c r="T131" s="29"/>
      <c r="U131" s="27" t="str">
        <f aca="false">IF(OR(S131="",Q131=""),"",IF(R131=3,S131*1000/(SQRT(3)*Q131*T131),S131*1000/(Q131*T131)))</f>
        <v/>
      </c>
      <c r="V131" s="27" t="str">
        <f aca="false">IF(OR(AO131="",AL131=""),"",AO131*AL131)</f>
        <v/>
      </c>
      <c r="W131" s="27" t="str">
        <f aca="false">IF(V131="","",V131*K131)</f>
        <v/>
      </c>
      <c r="X131" s="30" t="str">
        <f aca="false">IF(OR(U131="",W131=""),"",U131/W131)</f>
        <v/>
      </c>
      <c r="Y131" s="30" t="str">
        <f aca="false">IF(OR(U131="",AP131=""),"",AP131*(U131/K131)*O131/1000/Q131)</f>
        <v/>
      </c>
      <c r="Z131" s="30" t="str">
        <f aca="false">IF(U131="","",IFERROR(IF(INDEX('Design Basis'!$C$13:$C$21,MATCH(C131,'Design Basis'!$A$13:$A$21,0))="","",INDEX('Design Basis'!$C$13:$C$21,MATCH(C131,'Design Basis'!$A$13:$A$21,0))),""))</f>
        <v/>
      </c>
      <c r="AA131" s="31" t="str">
        <f aca="false">IF(U131="","n/a",IF(W131="","CHECK",IF(AND(X131&lt;=1,OR(Y131="",Z131="",Y131&lt;=Z131)),"OK","CHECK")))</f>
        <v>n/a</v>
      </c>
      <c r="AB131" s="27" t="n">
        <f aca="false">IF(AN131="","",K131*AM131*PI()/4*AN131^2)</f>
        <v>1357.16802635079</v>
      </c>
      <c r="AC131" s="31"/>
      <c r="AE131" s="32" t="n">
        <f aca="false">INDEX(Equipment!$D$2:$D$137,MATCH(E131,Equipment!$A$2:$A$137,0))</f>
        <v>46</v>
      </c>
      <c r="AF131" s="32" t="n">
        <f aca="false">INDEX(Equipment!$E$2:$E$137,MATCH(E131,Equipment!$A$2:$A$137,0))</f>
        <v>-6</v>
      </c>
      <c r="AG131" s="32" t="n">
        <f aca="false">INDEX(Equipment!$F$2:$F$137,MATCH(E131,Equipment!$A$2:$A$137,0))</f>
        <v>0.5</v>
      </c>
      <c r="AH131" s="32" t="n">
        <f aca="false">INDEX(Equipment!$D$2:$D$137,MATCH(G131,Equipment!$A$2:$A$137,0))</f>
        <v>48</v>
      </c>
      <c r="AI131" s="32" t="n">
        <f aca="false">INDEX(Equipment!$E$2:$E$137,MATCH(G131,Equipment!$A$2:$A$137,0))</f>
        <v>-6</v>
      </c>
      <c r="AJ131" s="32" t="n">
        <f aca="false">INDEX(Equipment!$F$2:$F$137,MATCH(G131,Equipment!$A$2:$A$137,0))</f>
        <v>0.5</v>
      </c>
      <c r="AK131" s="32" t="n">
        <f aca="false">IF(INDEX(Raceways!$D$2:$D$18,MATCH(L131,Raceways!$A$2:$A$18,0))="",0,INDEX(Raceways!$D$2:$D$18,MATCH(L131,Raceways!$A$2:$A$18,0)))</f>
        <v>1</v>
      </c>
      <c r="AL131" s="33" t="n">
        <f aca="false">IF(INDEX(Raceways!$I$2:$I$18,MATCH(L131,Raceways!$A$2:$A$18,0))="","",INDEX(Raceways!$I$2:$I$18,MATCH(L131,Raceways!$A$2:$A$18,0)))</f>
        <v>0.8</v>
      </c>
      <c r="AM131" s="26" t="n">
        <f aca="false">INDEX('Cable Types'!$D$2:$D$41,MATCH(I131,'Cable Types'!$A$2:$A$41,0))</f>
        <v>1</v>
      </c>
      <c r="AN131" s="26" t="n">
        <f aca="false">IF(INDEX('Cable Types'!$E$2:$E$41,MATCH(I131,'Cable Types'!$A$2:$A$41,0))="","",INDEX('Cable Types'!$E$2:$E$41,MATCH(I131,'Cable Types'!$A$2:$A$41,0)))</f>
        <v>24</v>
      </c>
      <c r="AO131" s="26" t="str">
        <f aca="false">IF(INDEX('Cable Types'!$F$2:$F$41,MATCH(I131,'Cable Types'!$A$2:$A$41,0))="","",INDEX('Cable Types'!$F$2:$F$41,MATCH(I131,'Cable Types'!$A$2:$A$41,0)))</f>
        <v/>
      </c>
      <c r="AP131" s="33" t="str">
        <f aca="false">IF(INDEX('Cable Types'!$G$2:$G$41,MATCH(I131,'Cable Types'!$A$2:$A$41,0))="","",INDEX('Cable Types'!$G$2:$G$41,MATCH(I131,'Cable Types'!$A$2:$A$41,0)))</f>
        <v/>
      </c>
    </row>
    <row r="132" customFormat="false" ht="15" hidden="false" customHeight="false" outlineLevel="0" collapsed="false">
      <c r="A132" s="25" t="s">
        <v>904</v>
      </c>
      <c r="B132" s="25" t="s">
        <v>133</v>
      </c>
      <c r="C132" s="25" t="s">
        <v>74</v>
      </c>
      <c r="D132" s="25" t="s">
        <v>905</v>
      </c>
      <c r="E132" s="25" t="s">
        <v>164</v>
      </c>
      <c r="F132" s="26" t="str">
        <f aca="false">INDEX(Equipment!$B$2:$B$137,MATCH(E132,Equipment!$A$2:$A$137,0))</f>
        <v>GT control panel (in PEECC)</v>
      </c>
      <c r="G132" s="25" t="s">
        <v>162</v>
      </c>
      <c r="H132" s="26" t="str">
        <f aca="false">INDEX(Equipment!$B$2:$B$137,MATCH(G132,Equipment!$A$2:$A$137,0))</f>
        <v>GT static starter (LCI) cubicle</v>
      </c>
      <c r="I132" s="25" t="s">
        <v>541</v>
      </c>
      <c r="J132" s="26" t="str">
        <f aca="false">INDEX('Cable Types'!$B$2:$B$41,MATCH(I132,'Cable Types'!$A$2:$A$41,0))</f>
        <v>0.6/1 kV 24C 1.5 mm2 Cu/PVC/SWA/PVC control</v>
      </c>
      <c r="K132" s="25" t="n">
        <v>1</v>
      </c>
      <c r="L132" s="25" t="s">
        <v>649</v>
      </c>
      <c r="M132" s="25" t="s">
        <v>638</v>
      </c>
      <c r="N132" s="25"/>
      <c r="O132" s="27" t="n">
        <f aca="false">IF(N132&lt;&gt;"",N132,IF(M132="D",ROUNDUP(SQRT((AH132-AE132)^2+(AI132-AF132)^2+(AJ132-AG132)^2)*(1+'Design Basis'!$C$6),0),ROUNDUP((ABS(AH132-AE132)+ABS(AI132-AF132)+ABS(AK132-AG132)+ABS(AK132-AJ132))*(1+'Design Basis'!$C$4)+2*'Design Basis'!$C$5,0)))</f>
        <v>10</v>
      </c>
      <c r="P132" s="27" t="n">
        <f aca="false">O132*K132*AM132</f>
        <v>10</v>
      </c>
      <c r="Q132" s="28"/>
      <c r="R132" s="25"/>
      <c r="S132" s="28"/>
      <c r="T132" s="29"/>
      <c r="U132" s="27" t="str">
        <f aca="false">IF(OR(S132="",Q132=""),"",IF(R132=3,S132*1000/(SQRT(3)*Q132*T132),S132*1000/(Q132*T132)))</f>
        <v/>
      </c>
      <c r="V132" s="27" t="str">
        <f aca="false">IF(OR(AO132="",AL132=""),"",AO132*AL132)</f>
        <v/>
      </c>
      <c r="W132" s="27" t="str">
        <f aca="false">IF(V132="","",V132*K132)</f>
        <v/>
      </c>
      <c r="X132" s="30" t="str">
        <f aca="false">IF(OR(U132="",W132=""),"",U132/W132)</f>
        <v/>
      </c>
      <c r="Y132" s="30" t="str">
        <f aca="false">IF(OR(U132="",AP132=""),"",AP132*(U132/K132)*O132/1000/Q132)</f>
        <v/>
      </c>
      <c r="Z132" s="30" t="str">
        <f aca="false">IF(U132="","",IFERROR(IF(INDEX('Design Basis'!$C$13:$C$21,MATCH(C132,'Design Basis'!$A$13:$A$21,0))="","",INDEX('Design Basis'!$C$13:$C$21,MATCH(C132,'Design Basis'!$A$13:$A$21,0))),""))</f>
        <v/>
      </c>
      <c r="AA132" s="31" t="str">
        <f aca="false">IF(U132="","n/a",IF(W132="","CHECK",IF(AND(X132&lt;=1,OR(Y132="",Z132="",Y132&lt;=Z132)),"OK","CHECK")))</f>
        <v>n/a</v>
      </c>
      <c r="AB132" s="27" t="n">
        <f aca="false">IF(AN132="","",K132*AM132*PI()/4*AN132^2)</f>
        <v>452.38934211693</v>
      </c>
      <c r="AC132" s="31"/>
      <c r="AE132" s="32" t="n">
        <f aca="false">INDEX(Equipment!$D$2:$D$137,MATCH(E132,Equipment!$A$2:$A$137,0))</f>
        <v>46</v>
      </c>
      <c r="AF132" s="32" t="n">
        <f aca="false">INDEX(Equipment!$E$2:$E$137,MATCH(E132,Equipment!$A$2:$A$137,0))</f>
        <v>-6</v>
      </c>
      <c r="AG132" s="32" t="n">
        <f aca="false">INDEX(Equipment!$F$2:$F$137,MATCH(E132,Equipment!$A$2:$A$137,0))</f>
        <v>0.5</v>
      </c>
      <c r="AH132" s="32" t="n">
        <f aca="false">INDEX(Equipment!$D$2:$D$137,MATCH(G132,Equipment!$A$2:$A$137,0))</f>
        <v>44</v>
      </c>
      <c r="AI132" s="32" t="n">
        <f aca="false">INDEX(Equipment!$E$2:$E$137,MATCH(G132,Equipment!$A$2:$A$137,0))</f>
        <v>-6</v>
      </c>
      <c r="AJ132" s="32" t="n">
        <f aca="false">INDEX(Equipment!$F$2:$F$137,MATCH(G132,Equipment!$A$2:$A$137,0))</f>
        <v>0.5</v>
      </c>
      <c r="AK132" s="32" t="n">
        <f aca="false">IF(INDEX(Raceways!$D$2:$D$18,MATCH(L132,Raceways!$A$2:$A$18,0))="",0,INDEX(Raceways!$D$2:$D$18,MATCH(L132,Raceways!$A$2:$A$18,0)))</f>
        <v>1</v>
      </c>
      <c r="AL132" s="33" t="n">
        <f aca="false">IF(INDEX(Raceways!$I$2:$I$18,MATCH(L132,Raceways!$A$2:$A$18,0))="","",INDEX(Raceways!$I$2:$I$18,MATCH(L132,Raceways!$A$2:$A$18,0)))</f>
        <v>0.8</v>
      </c>
      <c r="AM132" s="26" t="n">
        <f aca="false">INDEX('Cable Types'!$D$2:$D$41,MATCH(I132,'Cable Types'!$A$2:$A$41,0))</f>
        <v>1</v>
      </c>
      <c r="AN132" s="26" t="n">
        <f aca="false">IF(INDEX('Cable Types'!$E$2:$E$41,MATCH(I132,'Cable Types'!$A$2:$A$41,0))="","",INDEX('Cable Types'!$E$2:$E$41,MATCH(I132,'Cable Types'!$A$2:$A$41,0)))</f>
        <v>24</v>
      </c>
      <c r="AO132" s="26" t="str">
        <f aca="false">IF(INDEX('Cable Types'!$F$2:$F$41,MATCH(I132,'Cable Types'!$A$2:$A$41,0))="","",INDEX('Cable Types'!$F$2:$F$41,MATCH(I132,'Cable Types'!$A$2:$A$41,0)))</f>
        <v/>
      </c>
      <c r="AP132" s="33" t="str">
        <f aca="false">IF(INDEX('Cable Types'!$G$2:$G$41,MATCH(I132,'Cable Types'!$A$2:$A$41,0))="","",INDEX('Cable Types'!$G$2:$G$41,MATCH(I132,'Cable Types'!$A$2:$A$41,0)))</f>
        <v/>
      </c>
    </row>
    <row r="133" customFormat="false" ht="15" hidden="false" customHeight="false" outlineLevel="0" collapsed="false">
      <c r="A133" s="25" t="s">
        <v>906</v>
      </c>
      <c r="B133" s="25" t="s">
        <v>395</v>
      </c>
      <c r="C133" s="25" t="s">
        <v>74</v>
      </c>
      <c r="D133" s="25" t="s">
        <v>907</v>
      </c>
      <c r="E133" s="25" t="s">
        <v>413</v>
      </c>
      <c r="F133" s="26" t="str">
        <f aca="false">INDEX(Equipment!$B$2:$B$137,MATCH(E133,Equipment!$A$2:$A$137,0))</f>
        <v>Station inlet ESD valve (electro-hydraulic actuator)</v>
      </c>
      <c r="G133" s="25" t="s">
        <v>422</v>
      </c>
      <c r="H133" s="26" t="str">
        <f aca="false">INDEX(Equipment!$B$2:$B$137,MATCH(G133,Equipment!$A$2:$A$137,0))</f>
        <v>DCS remote I/O cabinet - gas station (shelter)</v>
      </c>
      <c r="I133" s="25" t="s">
        <v>536</v>
      </c>
      <c r="J133" s="26" t="str">
        <f aca="false">INDEX('Cable Types'!$B$2:$B$41,MATCH(I133,'Cable Types'!$A$2:$A$41,0))</f>
        <v>0.6/1 kV 7C 2.5 mm2 Cu/PVC/SWA/PVC control</v>
      </c>
      <c r="K133" s="25" t="n">
        <v>1</v>
      </c>
      <c r="L133" s="25" t="s">
        <v>829</v>
      </c>
      <c r="M133" s="25" t="s">
        <v>638</v>
      </c>
      <c r="N133" s="25"/>
      <c r="O133" s="27" t="n">
        <f aca="false">IF(N133&lt;&gt;"",N133,IF(M133="D",ROUNDUP(SQRT((AH133-AE133)^2+(AI133-AF133)^2+(AJ133-AG133)^2)*(1+'Design Basis'!$C$6),0),ROUNDUP((ABS(AH133-AE133)+ABS(AI133-AF133)+ABS(AK133-AG133)+ABS(AK133-AJ133))*(1+'Design Basis'!$C$4)+2*'Design Basis'!$C$5,0)))</f>
        <v>19</v>
      </c>
      <c r="P133" s="27" t="n">
        <f aca="false">O133*K133*AM133</f>
        <v>19</v>
      </c>
      <c r="Q133" s="28"/>
      <c r="R133" s="25"/>
      <c r="S133" s="28"/>
      <c r="T133" s="29"/>
      <c r="U133" s="27" t="str">
        <f aca="false">IF(OR(S133="",Q133=""),"",IF(R133=3,S133*1000/(SQRT(3)*Q133*T133),S133*1000/(Q133*T133)))</f>
        <v/>
      </c>
      <c r="V133" s="27" t="str">
        <f aca="false">IF(OR(AO133="",AL133=""),"",AO133*AL133)</f>
        <v/>
      </c>
      <c r="W133" s="27" t="str">
        <f aca="false">IF(V133="","",V133*K133)</f>
        <v/>
      </c>
      <c r="X133" s="30" t="str">
        <f aca="false">IF(OR(U133="",W133=""),"",U133/W133)</f>
        <v/>
      </c>
      <c r="Y133" s="30" t="str">
        <f aca="false">IF(OR(U133="",AP133=""),"",AP133*(U133/K133)*O133/1000/Q133)</f>
        <v/>
      </c>
      <c r="Z133" s="30" t="str">
        <f aca="false">IF(U133="","",IFERROR(IF(INDEX('Design Basis'!$C$13:$C$21,MATCH(C133,'Design Basis'!$A$13:$A$21,0))="","",INDEX('Design Basis'!$C$13:$C$21,MATCH(C133,'Design Basis'!$A$13:$A$21,0))),""))</f>
        <v/>
      </c>
      <c r="AA133" s="31" t="str">
        <f aca="false">IF(U133="","n/a",IF(W133="","CHECK",IF(AND(X133&lt;=1,OR(Y133="",Z133="",Y133&lt;=Z133)),"OK","CHECK")))</f>
        <v>n/a</v>
      </c>
      <c r="AB133" s="27" t="n">
        <f aca="false">IF(AN133="","",K133*AM133*PI()/4*AN133^2)</f>
        <v>254.469004940773</v>
      </c>
      <c r="AC133" s="31" t="s">
        <v>908</v>
      </c>
      <c r="AE133" s="32" t="n">
        <f aca="false">INDEX(Equipment!$D$2:$D$137,MATCH(E133,Equipment!$A$2:$A$137,0))</f>
        <v>-24</v>
      </c>
      <c r="AF133" s="32" t="n">
        <f aca="false">INDEX(Equipment!$E$2:$E$137,MATCH(E133,Equipment!$A$2:$A$137,0))</f>
        <v>10</v>
      </c>
      <c r="AG133" s="32" t="n">
        <f aca="false">INDEX(Equipment!$F$2:$F$137,MATCH(E133,Equipment!$A$2:$A$137,0))</f>
        <v>4</v>
      </c>
      <c r="AH133" s="32" t="n">
        <f aca="false">INDEX(Equipment!$D$2:$D$137,MATCH(G133,Equipment!$A$2:$A$137,0))</f>
        <v>-18</v>
      </c>
      <c r="AI133" s="32" t="n">
        <f aca="false">INDEX(Equipment!$E$2:$E$137,MATCH(G133,Equipment!$A$2:$A$137,0))</f>
        <v>12</v>
      </c>
      <c r="AJ133" s="32" t="n">
        <f aca="false">INDEX(Equipment!$F$2:$F$137,MATCH(G133,Equipment!$A$2:$A$137,0))</f>
        <v>0.5</v>
      </c>
      <c r="AK133" s="32" t="n">
        <f aca="false">IF(INDEX(Raceways!$D$2:$D$18,MATCH(L133,Raceways!$A$2:$A$18,0))="",0,INDEX(Raceways!$D$2:$D$18,MATCH(L133,Raceways!$A$2:$A$18,0)))</f>
        <v>3</v>
      </c>
      <c r="AL133" s="33" t="n">
        <f aca="false">IF(INDEX(Raceways!$I$2:$I$18,MATCH(L133,Raceways!$A$2:$A$18,0))="","",INDEX(Raceways!$I$2:$I$18,MATCH(L133,Raceways!$A$2:$A$18,0)))</f>
        <v>0.8</v>
      </c>
      <c r="AM133" s="26" t="n">
        <f aca="false">INDEX('Cable Types'!$D$2:$D$41,MATCH(I133,'Cable Types'!$A$2:$A$41,0))</f>
        <v>1</v>
      </c>
      <c r="AN133" s="26" t="n">
        <f aca="false">IF(INDEX('Cable Types'!$E$2:$E$41,MATCH(I133,'Cable Types'!$A$2:$A$41,0))="","",INDEX('Cable Types'!$E$2:$E$41,MATCH(I133,'Cable Types'!$A$2:$A$41,0)))</f>
        <v>18</v>
      </c>
      <c r="AO133" s="26" t="str">
        <f aca="false">IF(INDEX('Cable Types'!$F$2:$F$41,MATCH(I133,'Cable Types'!$A$2:$A$41,0))="","",INDEX('Cable Types'!$F$2:$F$41,MATCH(I133,'Cable Types'!$A$2:$A$41,0)))</f>
        <v/>
      </c>
      <c r="AP133" s="33" t="str">
        <f aca="false">IF(INDEX('Cable Types'!$G$2:$G$41,MATCH(I133,'Cable Types'!$A$2:$A$41,0))="","",INDEX('Cable Types'!$G$2:$G$41,MATCH(I133,'Cable Types'!$A$2:$A$41,0)))</f>
        <v/>
      </c>
    </row>
    <row r="134" customFormat="false" ht="15" hidden="false" customHeight="false" outlineLevel="0" collapsed="false">
      <c r="A134" s="25" t="s">
        <v>909</v>
      </c>
      <c r="B134" s="25" t="s">
        <v>285</v>
      </c>
      <c r="C134" s="25" t="s">
        <v>74</v>
      </c>
      <c r="D134" s="25" t="s">
        <v>910</v>
      </c>
      <c r="E134" s="25" t="s">
        <v>321</v>
      </c>
      <c r="F134" s="26" t="str">
        <f aca="false">INDEX(Equipment!$B$2:$B$137,MATCH(E134,Equipment!$A$2:$A$137,0))</f>
        <v>CO2 compressor unit control panel</v>
      </c>
      <c r="G134" s="25" t="s">
        <v>283</v>
      </c>
      <c r="H134" s="26" t="str">
        <f aca="false">INDEX(Equipment!$B$2:$B$137,MATCH(G134,Equipment!$A$2:$A$137,0))</f>
        <v>CCS 11 kV switchboard (CCS substation)</v>
      </c>
      <c r="I134" s="25" t="s">
        <v>541</v>
      </c>
      <c r="J134" s="26" t="str">
        <f aca="false">INDEX('Cable Types'!$B$2:$B$41,MATCH(I134,'Cable Types'!$A$2:$A$41,0))</f>
        <v>0.6/1 kV 24C 1.5 mm2 Cu/PVC/SWA/PVC control</v>
      </c>
      <c r="K134" s="25" t="n">
        <v>2</v>
      </c>
      <c r="L134" s="25" t="s">
        <v>694</v>
      </c>
      <c r="M134" s="25" t="s">
        <v>638</v>
      </c>
      <c r="N134" s="25"/>
      <c r="O134" s="27" t="n">
        <f aca="false">IF(N134&lt;&gt;"",N134,IF(M134="D",ROUNDUP(SQRT((AH134-AE134)^2+(AI134-AF134)^2+(AJ134-AG134)^2)*(1+'Design Basis'!$C$6),0),ROUNDUP((ABS(AH134-AE134)+ABS(AI134-AF134)+ABS(AK134-AG134)+ABS(AK134-AJ134))*(1+'Design Basis'!$C$4)+2*'Design Basis'!$C$5,0)))</f>
        <v>60</v>
      </c>
      <c r="P134" s="27" t="n">
        <f aca="false">O134*K134*AM134</f>
        <v>120</v>
      </c>
      <c r="Q134" s="28"/>
      <c r="R134" s="25"/>
      <c r="S134" s="28"/>
      <c r="T134" s="29"/>
      <c r="U134" s="27" t="str">
        <f aca="false">IF(OR(S134="",Q134=""),"",IF(R134=3,S134*1000/(SQRT(3)*Q134*T134),S134*1000/(Q134*T134)))</f>
        <v/>
      </c>
      <c r="V134" s="27" t="str">
        <f aca="false">IF(OR(AO134="",AL134=""),"",AO134*AL134)</f>
        <v/>
      </c>
      <c r="W134" s="27" t="str">
        <f aca="false">IF(V134="","",V134*K134)</f>
        <v/>
      </c>
      <c r="X134" s="30" t="str">
        <f aca="false">IF(OR(U134="",W134=""),"",U134/W134)</f>
        <v/>
      </c>
      <c r="Y134" s="30" t="str">
        <f aca="false">IF(OR(U134="",AP134=""),"",AP134*(U134/K134)*O134/1000/Q134)</f>
        <v/>
      </c>
      <c r="Z134" s="30" t="str">
        <f aca="false">IF(U134="","",IFERROR(IF(INDEX('Design Basis'!$C$13:$C$21,MATCH(C134,'Design Basis'!$A$13:$A$21,0))="","",INDEX('Design Basis'!$C$13:$C$21,MATCH(C134,'Design Basis'!$A$13:$A$21,0))),""))</f>
        <v/>
      </c>
      <c r="AA134" s="31" t="str">
        <f aca="false">IF(U134="","n/a",IF(W134="","CHECK",IF(AND(X134&lt;=1,OR(Y134="",Z134="",Y134&lt;=Z134)),"OK","CHECK")))</f>
        <v>n/a</v>
      </c>
      <c r="AB134" s="27" t="n">
        <f aca="false">IF(AN134="","",K134*AM134*PI()/4*AN134^2)</f>
        <v>904.77868423386</v>
      </c>
      <c r="AC134" s="31"/>
      <c r="AE134" s="32" t="n">
        <f aca="false">INDEX(Equipment!$D$2:$D$137,MATCH(E134,Equipment!$A$2:$A$137,0))</f>
        <v>192</v>
      </c>
      <c r="AF134" s="32" t="n">
        <f aca="false">INDEX(Equipment!$E$2:$E$137,MATCH(E134,Equipment!$A$2:$A$137,0))</f>
        <v>34</v>
      </c>
      <c r="AG134" s="32" t="n">
        <f aca="false">INDEX(Equipment!$F$2:$F$137,MATCH(E134,Equipment!$A$2:$A$137,0))</f>
        <v>0.5</v>
      </c>
      <c r="AH134" s="32" t="n">
        <f aca="false">INDEX(Equipment!$D$2:$D$137,MATCH(G134,Equipment!$A$2:$A$137,0))</f>
        <v>178</v>
      </c>
      <c r="AI134" s="32" t="n">
        <f aca="false">INDEX(Equipment!$E$2:$E$137,MATCH(G134,Equipment!$A$2:$A$137,0))</f>
        <v>58</v>
      </c>
      <c r="AJ134" s="32" t="n">
        <f aca="false">INDEX(Equipment!$F$2:$F$137,MATCH(G134,Equipment!$A$2:$A$137,0))</f>
        <v>0.5</v>
      </c>
      <c r="AK134" s="32" t="n">
        <f aca="false">IF(INDEX(Raceways!$D$2:$D$18,MATCH(L134,Raceways!$A$2:$A$18,0))="",0,INDEX(Raceways!$D$2:$D$18,MATCH(L134,Raceways!$A$2:$A$18,0)))</f>
        <v>6</v>
      </c>
      <c r="AL134" s="33" t="n">
        <f aca="false">IF(INDEX(Raceways!$I$2:$I$18,MATCH(L134,Raceways!$A$2:$A$18,0))="","",INDEX(Raceways!$I$2:$I$18,MATCH(L134,Raceways!$A$2:$A$18,0)))</f>
        <v>0.8</v>
      </c>
      <c r="AM134" s="26" t="n">
        <f aca="false">INDEX('Cable Types'!$D$2:$D$41,MATCH(I134,'Cable Types'!$A$2:$A$41,0))</f>
        <v>1</v>
      </c>
      <c r="AN134" s="26" t="n">
        <f aca="false">IF(INDEX('Cable Types'!$E$2:$E$41,MATCH(I134,'Cable Types'!$A$2:$A$41,0))="","",INDEX('Cable Types'!$E$2:$E$41,MATCH(I134,'Cable Types'!$A$2:$A$41,0)))</f>
        <v>24</v>
      </c>
      <c r="AO134" s="26" t="str">
        <f aca="false">IF(INDEX('Cable Types'!$F$2:$F$41,MATCH(I134,'Cable Types'!$A$2:$A$41,0))="","",INDEX('Cable Types'!$F$2:$F$41,MATCH(I134,'Cable Types'!$A$2:$A$41,0)))</f>
        <v/>
      </c>
      <c r="AP134" s="33" t="str">
        <f aca="false">IF(INDEX('Cable Types'!$G$2:$G$41,MATCH(I134,'Cable Types'!$A$2:$A$41,0))="","",INDEX('Cable Types'!$G$2:$G$41,MATCH(I134,'Cable Types'!$A$2:$A$41,0)))</f>
        <v/>
      </c>
    </row>
    <row r="135" customFormat="false" ht="15" hidden="false" customHeight="false" outlineLevel="0" collapsed="false">
      <c r="A135" s="25" t="s">
        <v>911</v>
      </c>
      <c r="B135" s="25" t="s">
        <v>102</v>
      </c>
      <c r="C135" s="25" t="s">
        <v>80</v>
      </c>
      <c r="D135" s="25" t="s">
        <v>912</v>
      </c>
      <c r="E135" s="25" t="s">
        <v>122</v>
      </c>
      <c r="F135" s="26" t="str">
        <f aca="false">INDEX(Equipment!$B$2:$B$137,MATCH(E135,Equipment!$A$2:$A$137,0))</f>
        <v>Switchyard relay &amp; control building</v>
      </c>
      <c r="G135" s="25" t="s">
        <v>458</v>
      </c>
      <c r="H135" s="26" t="str">
        <f aca="false">INDEX(Equipment!$B$2:$B$137,MATCH(G135,Equipment!$A$2:$A$137,0))</f>
        <v>DCS servers / central control room</v>
      </c>
      <c r="I135" s="25" t="s">
        <v>559</v>
      </c>
      <c r="J135" s="26" t="str">
        <f aca="false">INDEX('Cable Types'!$B$2:$B$41,MATCH(I135,'Cable Types'!$A$2:$A$41,0))</f>
        <v>48-fibre single-mode armoured LSZH</v>
      </c>
      <c r="K135" s="25" t="n">
        <v>2</v>
      </c>
      <c r="L135" s="25" t="s">
        <v>757</v>
      </c>
      <c r="M135" s="25" t="s">
        <v>638</v>
      </c>
      <c r="N135" s="25"/>
      <c r="O135" s="27" t="n">
        <f aca="false">IF(N135&lt;&gt;"",N135,IF(M135="D",ROUNDUP(SQRT((AH135-AE135)^2+(AI135-AF135)^2+(AJ135-AG135)^2)*(1+'Design Basis'!$C$6),0),ROUNDUP((ABS(AH135-AE135)+ABS(AI135-AF135)+ABS(AK135-AG135)+ABS(AK135-AJ135))*(1+'Design Basis'!$C$4)+2*'Design Basis'!$C$5,0)))</f>
        <v>151</v>
      </c>
      <c r="P135" s="27" t="n">
        <f aca="false">O135*K135*AM135</f>
        <v>302</v>
      </c>
      <c r="Q135" s="28"/>
      <c r="R135" s="25"/>
      <c r="S135" s="28"/>
      <c r="T135" s="29"/>
      <c r="U135" s="27" t="str">
        <f aca="false">IF(OR(S135="",Q135=""),"",IF(R135=3,S135*1000/(SQRT(3)*Q135*T135),S135*1000/(Q135*T135)))</f>
        <v/>
      </c>
      <c r="V135" s="27" t="str">
        <f aca="false">IF(OR(AO135="",AL135=""),"",AO135*AL135)</f>
        <v/>
      </c>
      <c r="W135" s="27" t="str">
        <f aca="false">IF(V135="","",V135*K135)</f>
        <v/>
      </c>
      <c r="X135" s="30" t="str">
        <f aca="false">IF(OR(U135="",W135=""),"",U135/W135)</f>
        <v/>
      </c>
      <c r="Y135" s="30" t="str">
        <f aca="false">IF(OR(U135="",AP135=""),"",AP135*(U135/K135)*O135/1000/Q135)</f>
        <v/>
      </c>
      <c r="Z135" s="30" t="str">
        <f aca="false">IF(U135="","",IFERROR(IF(INDEX('Design Basis'!$C$13:$C$21,MATCH(C135,'Design Basis'!$A$13:$A$21,0))="","",INDEX('Design Basis'!$C$13:$C$21,MATCH(C135,'Design Basis'!$A$13:$A$21,0))),""))</f>
        <v/>
      </c>
      <c r="AA135" s="31" t="str">
        <f aca="false">IF(U135="","n/a",IF(W135="","CHECK",IF(AND(X135&lt;=1,OR(Y135="",Z135="",Y135&lt;=Z135)),"OK","CHECK")))</f>
        <v>n/a</v>
      </c>
      <c r="AB135" s="27" t="n">
        <f aca="false">IF(AN135="","",K135*AM135*PI()/4*AN135^2)</f>
        <v>402.123859659494</v>
      </c>
      <c r="AC135" s="31" t="s">
        <v>913</v>
      </c>
      <c r="AE135" s="32" t="n">
        <f aca="false">INDEX(Equipment!$D$2:$D$137,MATCH(E135,Equipment!$A$2:$A$137,0))</f>
        <v>95</v>
      </c>
      <c r="AF135" s="32" t="n">
        <f aca="false">INDEX(Equipment!$E$2:$E$137,MATCH(E135,Equipment!$A$2:$A$137,0))</f>
        <v>128</v>
      </c>
      <c r="AG135" s="32" t="n">
        <f aca="false">INDEX(Equipment!$F$2:$F$137,MATCH(E135,Equipment!$A$2:$A$137,0))</f>
        <v>0.5</v>
      </c>
      <c r="AH135" s="32" t="n">
        <f aca="false">INDEX(Equipment!$D$2:$D$137,MATCH(G135,Equipment!$A$2:$A$137,0))</f>
        <v>40</v>
      </c>
      <c r="AI135" s="32" t="n">
        <f aca="false">INDEX(Equipment!$E$2:$E$137,MATCH(G135,Equipment!$A$2:$A$137,0))</f>
        <v>55</v>
      </c>
      <c r="AJ135" s="32" t="n">
        <f aca="false">INDEX(Equipment!$F$2:$F$137,MATCH(G135,Equipment!$A$2:$A$137,0))</f>
        <v>0.5</v>
      </c>
      <c r="AK135" s="32" t="n">
        <f aca="false">IF(INDEX(Raceways!$D$2:$D$18,MATCH(L135,Raceways!$A$2:$A$18,0))="",0,INDEX(Raceways!$D$2:$D$18,MATCH(L135,Raceways!$A$2:$A$18,0)))</f>
        <v>-1.2</v>
      </c>
      <c r="AL135" s="33" t="n">
        <f aca="false">IF(INDEX(Raceways!$I$2:$I$18,MATCH(L135,Raceways!$A$2:$A$18,0))="","",INDEX(Raceways!$I$2:$I$18,MATCH(L135,Raceways!$A$2:$A$18,0)))</f>
        <v>0.7</v>
      </c>
      <c r="AM135" s="26" t="n">
        <f aca="false">INDEX('Cable Types'!$D$2:$D$41,MATCH(I135,'Cable Types'!$A$2:$A$41,0))</f>
        <v>1</v>
      </c>
      <c r="AN135" s="26" t="n">
        <f aca="false">IF(INDEX('Cable Types'!$E$2:$E$41,MATCH(I135,'Cable Types'!$A$2:$A$41,0))="","",INDEX('Cable Types'!$E$2:$E$41,MATCH(I135,'Cable Types'!$A$2:$A$41,0)))</f>
        <v>16</v>
      </c>
      <c r="AO135" s="26" t="str">
        <f aca="false">IF(INDEX('Cable Types'!$F$2:$F$41,MATCH(I135,'Cable Types'!$A$2:$A$41,0))="","",INDEX('Cable Types'!$F$2:$F$41,MATCH(I135,'Cable Types'!$A$2:$A$41,0)))</f>
        <v/>
      </c>
      <c r="AP135" s="33" t="str">
        <f aca="false">IF(INDEX('Cable Types'!$G$2:$G$41,MATCH(I135,'Cable Types'!$A$2:$A$41,0))="","",INDEX('Cable Types'!$G$2:$G$41,MATCH(I135,'Cable Types'!$A$2:$A$41,0)))</f>
        <v/>
      </c>
    </row>
    <row r="136" customFormat="false" ht="15" hidden="false" customHeight="false" outlineLevel="0" collapsed="false">
      <c r="A136" s="25" t="s">
        <v>914</v>
      </c>
      <c r="B136" s="25" t="s">
        <v>102</v>
      </c>
      <c r="C136" s="25" t="s">
        <v>80</v>
      </c>
      <c r="D136" s="25" t="s">
        <v>915</v>
      </c>
      <c r="E136" s="25" t="s">
        <v>460</v>
      </c>
      <c r="F136" s="26" t="str">
        <f aca="false">INDEX(Equipment!$B$2:$B$137,MATCH(E136,Equipment!$A$2:$A$137,0))</f>
        <v>Generator &amp; transformer protection panels</v>
      </c>
      <c r="G136" s="25" t="s">
        <v>122</v>
      </c>
      <c r="H136" s="26" t="str">
        <f aca="false">INDEX(Equipment!$B$2:$B$137,MATCH(G136,Equipment!$A$2:$A$137,0))</f>
        <v>Switchyard relay &amp; control building</v>
      </c>
      <c r="I136" s="25" t="s">
        <v>557</v>
      </c>
      <c r="J136" s="26" t="str">
        <f aca="false">INDEX('Cable Types'!$B$2:$B$41,MATCH(I136,'Cable Types'!$A$2:$A$41,0))</f>
        <v>24-fibre single-mode armoured LSZH</v>
      </c>
      <c r="K136" s="25" t="n">
        <v>2</v>
      </c>
      <c r="L136" s="25" t="s">
        <v>757</v>
      </c>
      <c r="M136" s="25" t="s">
        <v>638</v>
      </c>
      <c r="N136" s="25"/>
      <c r="O136" s="27" t="n">
        <f aca="false">IF(N136&lt;&gt;"",N136,IF(M136="D",ROUNDUP(SQRT((AH136-AE136)^2+(AI136-AF136)^2+(AJ136-AG136)^2)*(1+'Design Basis'!$C$6),0),ROUNDUP((ABS(AH136-AE136)+ABS(AI136-AF136)+ABS(AK136-AG136)+ABS(AK136-AJ136))*(1+'Design Basis'!$C$4)+2*'Design Basis'!$C$5,0)))</f>
        <v>153</v>
      </c>
      <c r="P136" s="27" t="n">
        <f aca="false">O136*K136*AM136</f>
        <v>306</v>
      </c>
      <c r="Q136" s="28"/>
      <c r="R136" s="25"/>
      <c r="S136" s="28"/>
      <c r="T136" s="29"/>
      <c r="U136" s="27" t="str">
        <f aca="false">IF(OR(S136="",Q136=""),"",IF(R136=3,S136*1000/(SQRT(3)*Q136*T136),S136*1000/(Q136*T136)))</f>
        <v/>
      </c>
      <c r="V136" s="27" t="str">
        <f aca="false">IF(OR(AO136="",AL136=""),"",AO136*AL136)</f>
        <v/>
      </c>
      <c r="W136" s="27" t="str">
        <f aca="false">IF(V136="","",V136*K136)</f>
        <v/>
      </c>
      <c r="X136" s="30" t="str">
        <f aca="false">IF(OR(U136="",W136=""),"",U136/W136)</f>
        <v/>
      </c>
      <c r="Y136" s="30" t="str">
        <f aca="false">IF(OR(U136="",AP136=""),"",AP136*(U136/K136)*O136/1000/Q136)</f>
        <v/>
      </c>
      <c r="Z136" s="30" t="str">
        <f aca="false">IF(U136="","",IFERROR(IF(INDEX('Design Basis'!$C$13:$C$21,MATCH(C136,'Design Basis'!$A$13:$A$21,0))="","",INDEX('Design Basis'!$C$13:$C$21,MATCH(C136,'Design Basis'!$A$13:$A$21,0))),""))</f>
        <v/>
      </c>
      <c r="AA136" s="31" t="str">
        <f aca="false">IF(U136="","n/a",IF(W136="","CHECK",IF(AND(X136&lt;=1,OR(Y136="",Z136="",Y136&lt;=Z136)),"OK","CHECK")))</f>
        <v>n/a</v>
      </c>
      <c r="AB136" s="27" t="n">
        <f aca="false">IF(AN136="","",K136*AM136*PI()/4*AN136^2)</f>
        <v>307.8760800518</v>
      </c>
      <c r="AC136" s="31"/>
      <c r="AE136" s="32" t="n">
        <f aca="false">INDEX(Equipment!$D$2:$D$137,MATCH(E136,Equipment!$A$2:$A$137,0))</f>
        <v>38</v>
      </c>
      <c r="AF136" s="32" t="n">
        <f aca="false">INDEX(Equipment!$E$2:$E$137,MATCH(E136,Equipment!$A$2:$A$137,0))</f>
        <v>55</v>
      </c>
      <c r="AG136" s="32" t="n">
        <f aca="false">INDEX(Equipment!$F$2:$F$137,MATCH(E136,Equipment!$A$2:$A$137,0))</f>
        <v>0.5</v>
      </c>
      <c r="AH136" s="32" t="n">
        <f aca="false">INDEX(Equipment!$D$2:$D$137,MATCH(G136,Equipment!$A$2:$A$137,0))</f>
        <v>95</v>
      </c>
      <c r="AI136" s="32" t="n">
        <f aca="false">INDEX(Equipment!$E$2:$E$137,MATCH(G136,Equipment!$A$2:$A$137,0))</f>
        <v>128</v>
      </c>
      <c r="AJ136" s="32" t="n">
        <f aca="false">INDEX(Equipment!$F$2:$F$137,MATCH(G136,Equipment!$A$2:$A$137,0))</f>
        <v>0.5</v>
      </c>
      <c r="AK136" s="32" t="n">
        <f aca="false">IF(INDEX(Raceways!$D$2:$D$18,MATCH(L136,Raceways!$A$2:$A$18,0))="",0,INDEX(Raceways!$D$2:$D$18,MATCH(L136,Raceways!$A$2:$A$18,0)))</f>
        <v>-1.2</v>
      </c>
      <c r="AL136" s="33" t="n">
        <f aca="false">IF(INDEX(Raceways!$I$2:$I$18,MATCH(L136,Raceways!$A$2:$A$18,0))="","",INDEX(Raceways!$I$2:$I$18,MATCH(L136,Raceways!$A$2:$A$18,0)))</f>
        <v>0.7</v>
      </c>
      <c r="AM136" s="26" t="n">
        <f aca="false">INDEX('Cable Types'!$D$2:$D$41,MATCH(I136,'Cable Types'!$A$2:$A$41,0))</f>
        <v>1</v>
      </c>
      <c r="AN136" s="26" t="n">
        <f aca="false">IF(INDEX('Cable Types'!$E$2:$E$41,MATCH(I136,'Cable Types'!$A$2:$A$41,0))="","",INDEX('Cable Types'!$E$2:$E$41,MATCH(I136,'Cable Types'!$A$2:$A$41,0)))</f>
        <v>14</v>
      </c>
      <c r="AO136" s="26" t="str">
        <f aca="false">IF(INDEX('Cable Types'!$F$2:$F$41,MATCH(I136,'Cable Types'!$A$2:$A$41,0))="","",INDEX('Cable Types'!$F$2:$F$41,MATCH(I136,'Cable Types'!$A$2:$A$41,0)))</f>
        <v/>
      </c>
      <c r="AP136" s="33" t="str">
        <f aca="false">IF(INDEX('Cable Types'!$G$2:$G$41,MATCH(I136,'Cable Types'!$A$2:$A$41,0))="","",INDEX('Cable Types'!$G$2:$G$41,MATCH(I136,'Cable Types'!$A$2:$A$41,0)))</f>
        <v/>
      </c>
    </row>
    <row r="137" customFormat="false" ht="15" hidden="false" customHeight="false" outlineLevel="0" collapsed="false">
      <c r="A137" s="25" t="s">
        <v>916</v>
      </c>
      <c r="B137" s="25" t="s">
        <v>133</v>
      </c>
      <c r="C137" s="25" t="s">
        <v>80</v>
      </c>
      <c r="D137" s="25" t="s">
        <v>917</v>
      </c>
      <c r="E137" s="25" t="s">
        <v>164</v>
      </c>
      <c r="F137" s="26" t="str">
        <f aca="false">INDEX(Equipment!$B$2:$B$137,MATCH(E137,Equipment!$A$2:$A$137,0))</f>
        <v>GT control panel (in PEECC)</v>
      </c>
      <c r="G137" s="25" t="s">
        <v>458</v>
      </c>
      <c r="H137" s="26" t="str">
        <f aca="false">INDEX(Equipment!$B$2:$B$137,MATCH(G137,Equipment!$A$2:$A$137,0))</f>
        <v>DCS servers / central control room</v>
      </c>
      <c r="I137" s="25" t="s">
        <v>557</v>
      </c>
      <c r="J137" s="26" t="str">
        <f aca="false">INDEX('Cable Types'!$B$2:$B$41,MATCH(I137,'Cable Types'!$A$2:$A$41,0))</f>
        <v>24-fibre single-mode armoured LSZH</v>
      </c>
      <c r="K137" s="25" t="n">
        <v>2</v>
      </c>
      <c r="L137" s="25" t="s">
        <v>665</v>
      </c>
      <c r="M137" s="25" t="s">
        <v>638</v>
      </c>
      <c r="N137" s="25"/>
      <c r="O137" s="27" t="n">
        <f aca="false">IF(N137&lt;&gt;"",N137,IF(M137="D",ROUNDUP(SQRT((AH137-AE137)^2+(AI137-AF137)^2+(AJ137-AG137)^2)*(1+'Design Basis'!$C$6),0),ROUNDUP((ABS(AH137-AE137)+ABS(AI137-AF137)+ABS(AK137-AG137)+ABS(AK137-AJ137))*(1+'Design Basis'!$C$4)+2*'Design Basis'!$C$5,0)))</f>
        <v>90</v>
      </c>
      <c r="P137" s="27" t="n">
        <f aca="false">O137*K137*AM137</f>
        <v>180</v>
      </c>
      <c r="Q137" s="28"/>
      <c r="R137" s="25"/>
      <c r="S137" s="28"/>
      <c r="T137" s="29"/>
      <c r="U137" s="27" t="str">
        <f aca="false">IF(OR(S137="",Q137=""),"",IF(R137=3,S137*1000/(SQRT(3)*Q137*T137),S137*1000/(Q137*T137)))</f>
        <v/>
      </c>
      <c r="V137" s="27" t="str">
        <f aca="false">IF(OR(AO137="",AL137=""),"",AO137*AL137)</f>
        <v/>
      </c>
      <c r="W137" s="27" t="str">
        <f aca="false">IF(V137="","",V137*K137)</f>
        <v/>
      </c>
      <c r="X137" s="30" t="str">
        <f aca="false">IF(OR(U137="",W137=""),"",U137/W137)</f>
        <v/>
      </c>
      <c r="Y137" s="30" t="str">
        <f aca="false">IF(OR(U137="",AP137=""),"",AP137*(U137/K137)*O137/1000/Q137)</f>
        <v/>
      </c>
      <c r="Z137" s="30" t="str">
        <f aca="false">IF(U137="","",IFERROR(IF(INDEX('Design Basis'!$C$13:$C$21,MATCH(C137,'Design Basis'!$A$13:$A$21,0))="","",INDEX('Design Basis'!$C$13:$C$21,MATCH(C137,'Design Basis'!$A$13:$A$21,0))),""))</f>
        <v/>
      </c>
      <c r="AA137" s="31" t="str">
        <f aca="false">IF(U137="","n/a",IF(W137="","CHECK",IF(AND(X137&lt;=1,OR(Y137="",Z137="",Y137&lt;=Z137)),"OK","CHECK")))</f>
        <v>n/a</v>
      </c>
      <c r="AB137" s="27" t="n">
        <f aca="false">IF(AN137="","",K137*AM137*PI()/4*AN137^2)</f>
        <v>307.8760800518</v>
      </c>
      <c r="AC137" s="31" t="s">
        <v>918</v>
      </c>
      <c r="AE137" s="32" t="n">
        <f aca="false">INDEX(Equipment!$D$2:$D$137,MATCH(E137,Equipment!$A$2:$A$137,0))</f>
        <v>46</v>
      </c>
      <c r="AF137" s="32" t="n">
        <f aca="false">INDEX(Equipment!$E$2:$E$137,MATCH(E137,Equipment!$A$2:$A$137,0))</f>
        <v>-6</v>
      </c>
      <c r="AG137" s="32" t="n">
        <f aca="false">INDEX(Equipment!$F$2:$F$137,MATCH(E137,Equipment!$A$2:$A$137,0))</f>
        <v>0.5</v>
      </c>
      <c r="AH137" s="32" t="n">
        <f aca="false">INDEX(Equipment!$D$2:$D$137,MATCH(G137,Equipment!$A$2:$A$137,0))</f>
        <v>40</v>
      </c>
      <c r="AI137" s="32" t="n">
        <f aca="false">INDEX(Equipment!$E$2:$E$137,MATCH(G137,Equipment!$A$2:$A$137,0))</f>
        <v>55</v>
      </c>
      <c r="AJ137" s="32" t="n">
        <f aca="false">INDEX(Equipment!$F$2:$F$137,MATCH(G137,Equipment!$A$2:$A$137,0))</f>
        <v>0.5</v>
      </c>
      <c r="AK137" s="32" t="n">
        <f aca="false">IF(INDEX(Raceways!$D$2:$D$18,MATCH(L137,Raceways!$A$2:$A$18,0))="",0,INDEX(Raceways!$D$2:$D$18,MATCH(L137,Raceways!$A$2:$A$18,0)))</f>
        <v>5</v>
      </c>
      <c r="AL137" s="33" t="n">
        <f aca="false">IF(INDEX(Raceways!$I$2:$I$18,MATCH(L137,Raceways!$A$2:$A$18,0))="","",INDEX(Raceways!$I$2:$I$18,MATCH(L137,Raceways!$A$2:$A$18,0)))</f>
        <v>0.8</v>
      </c>
      <c r="AM137" s="26" t="n">
        <f aca="false">INDEX('Cable Types'!$D$2:$D$41,MATCH(I137,'Cable Types'!$A$2:$A$41,0))</f>
        <v>1</v>
      </c>
      <c r="AN137" s="26" t="n">
        <f aca="false">IF(INDEX('Cable Types'!$E$2:$E$41,MATCH(I137,'Cable Types'!$A$2:$A$41,0))="","",INDEX('Cable Types'!$E$2:$E$41,MATCH(I137,'Cable Types'!$A$2:$A$41,0)))</f>
        <v>14</v>
      </c>
      <c r="AO137" s="26" t="str">
        <f aca="false">IF(INDEX('Cable Types'!$F$2:$F$41,MATCH(I137,'Cable Types'!$A$2:$A$41,0))="","",INDEX('Cable Types'!$F$2:$F$41,MATCH(I137,'Cable Types'!$A$2:$A$41,0)))</f>
        <v/>
      </c>
      <c r="AP137" s="33" t="str">
        <f aca="false">IF(INDEX('Cable Types'!$G$2:$G$41,MATCH(I137,'Cable Types'!$A$2:$A$41,0))="","",INDEX('Cable Types'!$G$2:$G$41,MATCH(I137,'Cable Types'!$A$2:$A$41,0)))</f>
        <v/>
      </c>
    </row>
    <row r="138" customFormat="false" ht="15" hidden="false" customHeight="false" outlineLevel="0" collapsed="false">
      <c r="A138" s="25" t="s">
        <v>919</v>
      </c>
      <c r="B138" s="25" t="s">
        <v>133</v>
      </c>
      <c r="C138" s="25" t="s">
        <v>80</v>
      </c>
      <c r="D138" s="25" t="s">
        <v>920</v>
      </c>
      <c r="E138" s="25" t="s">
        <v>206</v>
      </c>
      <c r="F138" s="26" t="str">
        <f aca="false">INDEX(Equipment!$B$2:$B$137,MATCH(E138,Equipment!$A$2:$A$137,0))</f>
        <v>ST control panel</v>
      </c>
      <c r="G138" s="25" t="s">
        <v>458</v>
      </c>
      <c r="H138" s="26" t="str">
        <f aca="false">INDEX(Equipment!$B$2:$B$137,MATCH(G138,Equipment!$A$2:$A$137,0))</f>
        <v>DCS servers / central control room</v>
      </c>
      <c r="I138" s="25" t="s">
        <v>557</v>
      </c>
      <c r="J138" s="26" t="str">
        <f aca="false">INDEX('Cable Types'!$B$2:$B$41,MATCH(I138,'Cable Types'!$A$2:$A$41,0))</f>
        <v>24-fibre single-mode armoured LSZH</v>
      </c>
      <c r="K138" s="25" t="n">
        <v>2</v>
      </c>
      <c r="L138" s="25" t="s">
        <v>659</v>
      </c>
      <c r="M138" s="25" t="s">
        <v>638</v>
      </c>
      <c r="N138" s="25"/>
      <c r="O138" s="27" t="n">
        <f aca="false">IF(N138&lt;&gt;"",N138,IF(M138="D",ROUNDUP(SQRT((AH138-AE138)^2+(AI138-AF138)^2+(AJ138-AG138)^2)*(1+'Design Basis'!$C$6),0),ROUNDUP((ABS(AH138-AE138)+ABS(AI138-AF138)+ABS(AK138-AG138)+ABS(AK138-AJ138))*(1+'Design Basis'!$C$4)+2*'Design Basis'!$C$5,0)))</f>
        <v>82</v>
      </c>
      <c r="P138" s="27" t="n">
        <f aca="false">O138*K138*AM138</f>
        <v>164</v>
      </c>
      <c r="Q138" s="28"/>
      <c r="R138" s="25"/>
      <c r="S138" s="28"/>
      <c r="T138" s="29"/>
      <c r="U138" s="27" t="str">
        <f aca="false">IF(OR(S138="",Q138=""),"",IF(R138=3,S138*1000/(SQRT(3)*Q138*T138),S138*1000/(Q138*T138)))</f>
        <v/>
      </c>
      <c r="V138" s="27" t="str">
        <f aca="false">IF(OR(AO138="",AL138=""),"",AO138*AL138)</f>
        <v/>
      </c>
      <c r="W138" s="27" t="str">
        <f aca="false">IF(V138="","",V138*K138)</f>
        <v/>
      </c>
      <c r="X138" s="30" t="str">
        <f aca="false">IF(OR(U138="",W138=""),"",U138/W138)</f>
        <v/>
      </c>
      <c r="Y138" s="30" t="str">
        <f aca="false">IF(OR(U138="",AP138=""),"",AP138*(U138/K138)*O138/1000/Q138)</f>
        <v/>
      </c>
      <c r="Z138" s="30" t="str">
        <f aca="false">IF(U138="","",IFERROR(IF(INDEX('Design Basis'!$C$13:$C$21,MATCH(C138,'Design Basis'!$A$13:$A$21,0))="","",INDEX('Design Basis'!$C$13:$C$21,MATCH(C138,'Design Basis'!$A$13:$A$21,0))),""))</f>
        <v/>
      </c>
      <c r="AA138" s="31" t="str">
        <f aca="false">IF(U138="","n/a",IF(W138="","CHECK",IF(AND(X138&lt;=1,OR(Y138="",Z138="",Y138&lt;=Z138)),"OK","CHECK")))</f>
        <v>n/a</v>
      </c>
      <c r="AB138" s="27" t="n">
        <f aca="false">IF(AN138="","",K138*AM138*PI()/4*AN138^2)</f>
        <v>307.8760800518</v>
      </c>
      <c r="AC138" s="31" t="s">
        <v>918</v>
      </c>
      <c r="AE138" s="32" t="n">
        <f aca="false">INDEX(Equipment!$D$2:$D$137,MATCH(E138,Equipment!$A$2:$A$137,0))</f>
        <v>85</v>
      </c>
      <c r="AF138" s="32" t="n">
        <f aca="false">INDEX(Equipment!$E$2:$E$137,MATCH(E138,Equipment!$A$2:$A$137,0))</f>
        <v>40</v>
      </c>
      <c r="AG138" s="32" t="n">
        <f aca="false">INDEX(Equipment!$F$2:$F$137,MATCH(E138,Equipment!$A$2:$A$137,0))</f>
        <v>0.5</v>
      </c>
      <c r="AH138" s="32" t="n">
        <f aca="false">INDEX(Equipment!$D$2:$D$137,MATCH(G138,Equipment!$A$2:$A$137,0))</f>
        <v>40</v>
      </c>
      <c r="AI138" s="32" t="n">
        <f aca="false">INDEX(Equipment!$E$2:$E$137,MATCH(G138,Equipment!$A$2:$A$137,0))</f>
        <v>55</v>
      </c>
      <c r="AJ138" s="32" t="n">
        <f aca="false">INDEX(Equipment!$F$2:$F$137,MATCH(G138,Equipment!$A$2:$A$137,0))</f>
        <v>0.5</v>
      </c>
      <c r="AK138" s="32" t="n">
        <f aca="false">IF(INDEX(Raceways!$D$2:$D$18,MATCH(L138,Raceways!$A$2:$A$18,0))="",0,INDEX(Raceways!$D$2:$D$18,MATCH(L138,Raceways!$A$2:$A$18,0)))</f>
        <v>5</v>
      </c>
      <c r="AL138" s="33" t="n">
        <f aca="false">IF(INDEX(Raceways!$I$2:$I$18,MATCH(L138,Raceways!$A$2:$A$18,0))="","",INDEX(Raceways!$I$2:$I$18,MATCH(L138,Raceways!$A$2:$A$18,0)))</f>
        <v>0.8</v>
      </c>
      <c r="AM138" s="26" t="n">
        <f aca="false">INDEX('Cable Types'!$D$2:$D$41,MATCH(I138,'Cable Types'!$A$2:$A$41,0))</f>
        <v>1</v>
      </c>
      <c r="AN138" s="26" t="n">
        <f aca="false">IF(INDEX('Cable Types'!$E$2:$E$41,MATCH(I138,'Cable Types'!$A$2:$A$41,0))="","",INDEX('Cable Types'!$E$2:$E$41,MATCH(I138,'Cable Types'!$A$2:$A$41,0)))</f>
        <v>14</v>
      </c>
      <c r="AO138" s="26" t="str">
        <f aca="false">IF(INDEX('Cable Types'!$F$2:$F$41,MATCH(I138,'Cable Types'!$A$2:$A$41,0))="","",INDEX('Cable Types'!$F$2:$F$41,MATCH(I138,'Cable Types'!$A$2:$A$41,0)))</f>
        <v/>
      </c>
      <c r="AP138" s="33" t="str">
        <f aca="false">IF(INDEX('Cable Types'!$G$2:$G$41,MATCH(I138,'Cable Types'!$A$2:$A$41,0))="","",INDEX('Cable Types'!$G$2:$G$41,MATCH(I138,'Cable Types'!$A$2:$A$41,0)))</f>
        <v/>
      </c>
    </row>
    <row r="139" customFormat="false" ht="15" hidden="false" customHeight="false" outlineLevel="0" collapsed="false">
      <c r="A139" s="25" t="s">
        <v>921</v>
      </c>
      <c r="B139" s="25" t="s">
        <v>133</v>
      </c>
      <c r="C139" s="25" t="s">
        <v>80</v>
      </c>
      <c r="D139" s="25" t="s">
        <v>922</v>
      </c>
      <c r="E139" s="25" t="s">
        <v>223</v>
      </c>
      <c r="F139" s="26" t="str">
        <f aca="false">INDEX(Equipment!$B$2:$B$137,MATCH(E139,Equipment!$A$2:$A$137,0))</f>
        <v>DCS remote I/O cabinet - power block</v>
      </c>
      <c r="G139" s="25" t="s">
        <v>458</v>
      </c>
      <c r="H139" s="26" t="str">
        <f aca="false">INDEX(Equipment!$B$2:$B$137,MATCH(G139,Equipment!$A$2:$A$137,0))</f>
        <v>DCS servers / central control room</v>
      </c>
      <c r="I139" s="25" t="s">
        <v>557</v>
      </c>
      <c r="J139" s="26" t="str">
        <f aca="false">INDEX('Cable Types'!$B$2:$B$41,MATCH(I139,'Cable Types'!$A$2:$A$41,0))</f>
        <v>24-fibre single-mode armoured LSZH</v>
      </c>
      <c r="K139" s="25" t="n">
        <v>2</v>
      </c>
      <c r="L139" s="25" t="s">
        <v>665</v>
      </c>
      <c r="M139" s="25" t="s">
        <v>638</v>
      </c>
      <c r="N139" s="25"/>
      <c r="O139" s="27" t="n">
        <f aca="false">IF(N139&lt;&gt;"",N139,IF(M139="D",ROUNDUP(SQRT((AH139-AE139)^2+(AI139-AF139)^2+(AJ139-AG139)^2)*(1+'Design Basis'!$C$6),0),ROUNDUP((ABS(AH139-AE139)+ABS(AI139-AF139)+ABS(AK139-AG139)+ABS(AK139-AJ139))*(1+'Design Basis'!$C$4)+2*'Design Basis'!$C$5,0)))</f>
        <v>83</v>
      </c>
      <c r="P139" s="27" t="n">
        <f aca="false">O139*K139*AM139</f>
        <v>166</v>
      </c>
      <c r="Q139" s="28"/>
      <c r="R139" s="25"/>
      <c r="S139" s="28"/>
      <c r="T139" s="29"/>
      <c r="U139" s="27" t="str">
        <f aca="false">IF(OR(S139="",Q139=""),"",IF(R139=3,S139*1000/(SQRT(3)*Q139*T139),S139*1000/(Q139*T139)))</f>
        <v/>
      </c>
      <c r="V139" s="27" t="str">
        <f aca="false">IF(OR(AO139="",AL139=""),"",AO139*AL139)</f>
        <v/>
      </c>
      <c r="W139" s="27" t="str">
        <f aca="false">IF(V139="","",V139*K139)</f>
        <v/>
      </c>
      <c r="X139" s="30" t="str">
        <f aca="false">IF(OR(U139="",W139=""),"",U139/W139)</f>
        <v/>
      </c>
      <c r="Y139" s="30" t="str">
        <f aca="false">IF(OR(U139="",AP139=""),"",AP139*(U139/K139)*O139/1000/Q139)</f>
        <v/>
      </c>
      <c r="Z139" s="30" t="str">
        <f aca="false">IF(U139="","",IFERROR(IF(INDEX('Design Basis'!$C$13:$C$21,MATCH(C139,'Design Basis'!$A$13:$A$21,0))="","",INDEX('Design Basis'!$C$13:$C$21,MATCH(C139,'Design Basis'!$A$13:$A$21,0))),""))</f>
        <v/>
      </c>
      <c r="AA139" s="31" t="str">
        <f aca="false">IF(U139="","n/a",IF(W139="","CHECK",IF(AND(X139&lt;=1,OR(Y139="",Z139="",Y139&lt;=Z139)),"OK","CHECK")))</f>
        <v>n/a</v>
      </c>
      <c r="AB139" s="27" t="n">
        <f aca="false">IF(AN139="","",K139*AM139*PI()/4*AN139^2)</f>
        <v>307.8760800518</v>
      </c>
      <c r="AC139" s="31" t="s">
        <v>918</v>
      </c>
      <c r="AE139" s="32" t="n">
        <f aca="false">INDEX(Equipment!$D$2:$D$137,MATCH(E139,Equipment!$A$2:$A$137,0))</f>
        <v>68</v>
      </c>
      <c r="AF139" s="32" t="n">
        <f aca="false">INDEX(Equipment!$E$2:$E$137,MATCH(E139,Equipment!$A$2:$A$137,0))</f>
        <v>22</v>
      </c>
      <c r="AG139" s="32" t="n">
        <f aca="false">INDEX(Equipment!$F$2:$F$137,MATCH(E139,Equipment!$A$2:$A$137,0))</f>
        <v>0.5</v>
      </c>
      <c r="AH139" s="32" t="n">
        <f aca="false">INDEX(Equipment!$D$2:$D$137,MATCH(G139,Equipment!$A$2:$A$137,0))</f>
        <v>40</v>
      </c>
      <c r="AI139" s="32" t="n">
        <f aca="false">INDEX(Equipment!$E$2:$E$137,MATCH(G139,Equipment!$A$2:$A$137,0))</f>
        <v>55</v>
      </c>
      <c r="AJ139" s="32" t="n">
        <f aca="false">INDEX(Equipment!$F$2:$F$137,MATCH(G139,Equipment!$A$2:$A$137,0))</f>
        <v>0.5</v>
      </c>
      <c r="AK139" s="32" t="n">
        <f aca="false">IF(INDEX(Raceways!$D$2:$D$18,MATCH(L139,Raceways!$A$2:$A$18,0))="",0,INDEX(Raceways!$D$2:$D$18,MATCH(L139,Raceways!$A$2:$A$18,0)))</f>
        <v>5</v>
      </c>
      <c r="AL139" s="33" t="n">
        <f aca="false">IF(INDEX(Raceways!$I$2:$I$18,MATCH(L139,Raceways!$A$2:$A$18,0))="","",INDEX(Raceways!$I$2:$I$18,MATCH(L139,Raceways!$A$2:$A$18,0)))</f>
        <v>0.8</v>
      </c>
      <c r="AM139" s="26" t="n">
        <f aca="false">INDEX('Cable Types'!$D$2:$D$41,MATCH(I139,'Cable Types'!$A$2:$A$41,0))</f>
        <v>1</v>
      </c>
      <c r="AN139" s="26" t="n">
        <f aca="false">IF(INDEX('Cable Types'!$E$2:$E$41,MATCH(I139,'Cable Types'!$A$2:$A$41,0))="","",INDEX('Cable Types'!$E$2:$E$41,MATCH(I139,'Cable Types'!$A$2:$A$41,0)))</f>
        <v>14</v>
      </c>
      <c r="AO139" s="26" t="str">
        <f aca="false">IF(INDEX('Cable Types'!$F$2:$F$41,MATCH(I139,'Cable Types'!$A$2:$A$41,0))="","",INDEX('Cable Types'!$F$2:$F$41,MATCH(I139,'Cable Types'!$A$2:$A$41,0)))</f>
        <v/>
      </c>
      <c r="AP139" s="33" t="str">
        <f aca="false">IF(INDEX('Cable Types'!$G$2:$G$41,MATCH(I139,'Cable Types'!$A$2:$A$41,0))="","",INDEX('Cable Types'!$G$2:$G$41,MATCH(I139,'Cable Types'!$A$2:$A$41,0)))</f>
        <v/>
      </c>
    </row>
    <row r="140" customFormat="false" ht="15" hidden="false" customHeight="false" outlineLevel="0" collapsed="false">
      <c r="A140" s="25" t="s">
        <v>923</v>
      </c>
      <c r="B140" s="25" t="s">
        <v>133</v>
      </c>
      <c r="C140" s="25" t="s">
        <v>80</v>
      </c>
      <c r="D140" s="25" t="s">
        <v>924</v>
      </c>
      <c r="E140" s="25" t="s">
        <v>204</v>
      </c>
      <c r="F140" s="26" t="str">
        <f aca="false">INDEX(Equipment!$B$2:$B$137,MATCH(E140,Equipment!$A$2:$A$137,0))</f>
        <v>CEMS analyser shelter</v>
      </c>
      <c r="G140" s="25" t="s">
        <v>458</v>
      </c>
      <c r="H140" s="26" t="str">
        <f aca="false">INDEX(Equipment!$B$2:$B$137,MATCH(G140,Equipment!$A$2:$A$137,0))</f>
        <v>DCS servers / central control room</v>
      </c>
      <c r="I140" s="25" t="s">
        <v>557</v>
      </c>
      <c r="J140" s="26" t="str">
        <f aca="false">INDEX('Cable Types'!$B$2:$B$41,MATCH(I140,'Cable Types'!$A$2:$A$41,0))</f>
        <v>24-fibre single-mode armoured LSZH</v>
      </c>
      <c r="K140" s="25" t="n">
        <v>1</v>
      </c>
      <c r="L140" s="25" t="s">
        <v>659</v>
      </c>
      <c r="M140" s="25" t="s">
        <v>638</v>
      </c>
      <c r="N140" s="25"/>
      <c r="O140" s="27" t="n">
        <f aca="false">IF(N140&lt;&gt;"",N140,IF(M140="D",ROUNDUP(SQRT((AH140-AE140)^2+(AI140-AF140)^2+(AJ140-AG140)^2)*(1+'Design Basis'!$C$6),0),ROUNDUP((ABS(AH140-AE140)+ABS(AI140-AF140)+ABS(AK140-AG140)+ABS(AK140-AJ140))*(1+'Design Basis'!$C$4)+2*'Design Basis'!$C$5,0)))</f>
        <v>176</v>
      </c>
      <c r="P140" s="27" t="n">
        <f aca="false">O140*K140*AM140</f>
        <v>176</v>
      </c>
      <c r="Q140" s="28"/>
      <c r="R140" s="25"/>
      <c r="S140" s="28"/>
      <c r="T140" s="29"/>
      <c r="U140" s="27" t="str">
        <f aca="false">IF(OR(S140="",Q140=""),"",IF(R140=3,S140*1000/(SQRT(3)*Q140*T140),S140*1000/(Q140*T140)))</f>
        <v/>
      </c>
      <c r="V140" s="27" t="str">
        <f aca="false">IF(OR(AO140="",AL140=""),"",AO140*AL140)</f>
        <v/>
      </c>
      <c r="W140" s="27" t="str">
        <f aca="false">IF(V140="","",V140*K140)</f>
        <v/>
      </c>
      <c r="X140" s="30" t="str">
        <f aca="false">IF(OR(U140="",W140=""),"",U140/W140)</f>
        <v/>
      </c>
      <c r="Y140" s="30" t="str">
        <f aca="false">IF(OR(U140="",AP140=""),"",AP140*(U140/K140)*O140/1000/Q140)</f>
        <v/>
      </c>
      <c r="Z140" s="30" t="str">
        <f aca="false">IF(U140="","",IFERROR(IF(INDEX('Design Basis'!$C$13:$C$21,MATCH(C140,'Design Basis'!$A$13:$A$21,0))="","",INDEX('Design Basis'!$C$13:$C$21,MATCH(C140,'Design Basis'!$A$13:$A$21,0))),""))</f>
        <v/>
      </c>
      <c r="AA140" s="31" t="str">
        <f aca="false">IF(U140="","n/a",IF(W140="","CHECK",IF(AND(X140&lt;=1,OR(Y140="",Z140="",Y140&lt;=Z140)),"OK","CHECK")))</f>
        <v>n/a</v>
      </c>
      <c r="AB140" s="27" t="n">
        <f aca="false">IF(AN140="","",K140*AM140*PI()/4*AN140^2)</f>
        <v>153.9380400259</v>
      </c>
      <c r="AC140" s="31"/>
      <c r="AE140" s="32" t="n">
        <f aca="false">INDEX(Equipment!$D$2:$D$137,MATCH(E140,Equipment!$A$2:$A$137,0))</f>
        <v>122</v>
      </c>
      <c r="AF140" s="32" t="n">
        <f aca="false">INDEX(Equipment!$E$2:$E$137,MATCH(E140,Equipment!$A$2:$A$137,0))</f>
        <v>-8</v>
      </c>
      <c r="AG140" s="32" t="n">
        <f aca="false">INDEX(Equipment!$F$2:$F$137,MATCH(E140,Equipment!$A$2:$A$137,0))</f>
        <v>0.5</v>
      </c>
      <c r="AH140" s="32" t="n">
        <f aca="false">INDEX(Equipment!$D$2:$D$137,MATCH(G140,Equipment!$A$2:$A$137,0))</f>
        <v>40</v>
      </c>
      <c r="AI140" s="32" t="n">
        <f aca="false">INDEX(Equipment!$E$2:$E$137,MATCH(G140,Equipment!$A$2:$A$137,0))</f>
        <v>55</v>
      </c>
      <c r="AJ140" s="32" t="n">
        <f aca="false">INDEX(Equipment!$F$2:$F$137,MATCH(G140,Equipment!$A$2:$A$137,0))</f>
        <v>0.5</v>
      </c>
      <c r="AK140" s="32" t="n">
        <f aca="false">IF(INDEX(Raceways!$D$2:$D$18,MATCH(L140,Raceways!$A$2:$A$18,0))="",0,INDEX(Raceways!$D$2:$D$18,MATCH(L140,Raceways!$A$2:$A$18,0)))</f>
        <v>5</v>
      </c>
      <c r="AL140" s="33" t="n">
        <f aca="false">IF(INDEX(Raceways!$I$2:$I$18,MATCH(L140,Raceways!$A$2:$A$18,0))="","",INDEX(Raceways!$I$2:$I$18,MATCH(L140,Raceways!$A$2:$A$18,0)))</f>
        <v>0.8</v>
      </c>
      <c r="AM140" s="26" t="n">
        <f aca="false">INDEX('Cable Types'!$D$2:$D$41,MATCH(I140,'Cable Types'!$A$2:$A$41,0))</f>
        <v>1</v>
      </c>
      <c r="AN140" s="26" t="n">
        <f aca="false">IF(INDEX('Cable Types'!$E$2:$E$41,MATCH(I140,'Cable Types'!$A$2:$A$41,0))="","",INDEX('Cable Types'!$E$2:$E$41,MATCH(I140,'Cable Types'!$A$2:$A$41,0)))</f>
        <v>14</v>
      </c>
      <c r="AO140" s="26" t="str">
        <f aca="false">IF(INDEX('Cable Types'!$F$2:$F$41,MATCH(I140,'Cable Types'!$A$2:$A$41,0))="","",INDEX('Cable Types'!$F$2:$F$41,MATCH(I140,'Cable Types'!$A$2:$A$41,0)))</f>
        <v/>
      </c>
      <c r="AP140" s="33" t="str">
        <f aca="false">IF(INDEX('Cable Types'!$G$2:$G$41,MATCH(I140,'Cable Types'!$A$2:$A$41,0))="","",INDEX('Cable Types'!$G$2:$G$41,MATCH(I140,'Cable Types'!$A$2:$A$41,0)))</f>
        <v/>
      </c>
    </row>
    <row r="141" customFormat="false" ht="15" hidden="false" customHeight="false" outlineLevel="0" collapsed="false">
      <c r="A141" s="25" t="s">
        <v>925</v>
      </c>
      <c r="B141" s="25" t="s">
        <v>230</v>
      </c>
      <c r="C141" s="25" t="s">
        <v>80</v>
      </c>
      <c r="D141" s="25" t="s">
        <v>926</v>
      </c>
      <c r="E141" s="25" t="s">
        <v>232</v>
      </c>
      <c r="F141" s="26" t="str">
        <f aca="false">INDEX(Equipment!$B$2:$B$137,MATCH(E141,Equipment!$A$2:$A$137,0))</f>
        <v>ACC fan VFD switchroom 690 V</v>
      </c>
      <c r="G141" s="25" t="s">
        <v>458</v>
      </c>
      <c r="H141" s="26" t="str">
        <f aca="false">INDEX(Equipment!$B$2:$B$137,MATCH(G141,Equipment!$A$2:$A$137,0))</f>
        <v>DCS servers / central control room</v>
      </c>
      <c r="I141" s="25" t="s">
        <v>557</v>
      </c>
      <c r="J141" s="26" t="str">
        <f aca="false">INDEX('Cable Types'!$B$2:$B$41,MATCH(I141,'Cable Types'!$A$2:$A$41,0))</f>
        <v>24-fibre single-mode armoured LSZH</v>
      </c>
      <c r="K141" s="25" t="n">
        <v>1</v>
      </c>
      <c r="L141" s="25" t="s">
        <v>659</v>
      </c>
      <c r="M141" s="25" t="s">
        <v>638</v>
      </c>
      <c r="N141" s="25"/>
      <c r="O141" s="27" t="n">
        <f aca="false">IF(N141&lt;&gt;"",N141,IF(M141="D",ROUNDUP(SQRT((AH141-AE141)^2+(AI141-AF141)^2+(AJ141-AG141)^2)*(1+'Design Basis'!$C$6),0),ROUNDUP((ABS(AH141-AE141)+ABS(AI141-AF141)+ABS(AK141-AG141)+ABS(AK141-AJ141))*(1+'Design Basis'!$C$4)+2*'Design Basis'!$C$5,0)))</f>
        <v>143</v>
      </c>
      <c r="P141" s="27" t="n">
        <f aca="false">O141*K141*AM141</f>
        <v>143</v>
      </c>
      <c r="Q141" s="28"/>
      <c r="R141" s="25"/>
      <c r="S141" s="28"/>
      <c r="T141" s="29"/>
      <c r="U141" s="27" t="str">
        <f aca="false">IF(OR(S141="",Q141=""),"",IF(R141=3,S141*1000/(SQRT(3)*Q141*T141),S141*1000/(Q141*T141)))</f>
        <v/>
      </c>
      <c r="V141" s="27" t="str">
        <f aca="false">IF(OR(AO141="",AL141=""),"",AO141*AL141)</f>
        <v/>
      </c>
      <c r="W141" s="27" t="str">
        <f aca="false">IF(V141="","",V141*K141)</f>
        <v/>
      </c>
      <c r="X141" s="30" t="str">
        <f aca="false">IF(OR(U141="",W141=""),"",U141/W141)</f>
        <v/>
      </c>
      <c r="Y141" s="30" t="str">
        <f aca="false">IF(OR(U141="",AP141=""),"",AP141*(U141/K141)*O141/1000/Q141)</f>
        <v/>
      </c>
      <c r="Z141" s="30" t="str">
        <f aca="false">IF(U141="","",IFERROR(IF(INDEX('Design Basis'!$C$13:$C$21,MATCH(C141,'Design Basis'!$A$13:$A$21,0))="","",INDEX('Design Basis'!$C$13:$C$21,MATCH(C141,'Design Basis'!$A$13:$A$21,0))),""))</f>
        <v/>
      </c>
      <c r="AA141" s="31" t="str">
        <f aca="false">IF(U141="","n/a",IF(W141="","CHECK",IF(AND(X141&lt;=1,OR(Y141="",Z141="",Y141&lt;=Z141)),"OK","CHECK")))</f>
        <v>n/a</v>
      </c>
      <c r="AB141" s="27" t="n">
        <f aca="false">IF(AN141="","",K141*AM141*PI()/4*AN141^2)</f>
        <v>153.9380400259</v>
      </c>
      <c r="AC141" s="31"/>
      <c r="AE141" s="32" t="n">
        <f aca="false">INDEX(Equipment!$D$2:$D$137,MATCH(E141,Equipment!$A$2:$A$137,0))</f>
        <v>146</v>
      </c>
      <c r="AF141" s="32" t="n">
        <f aca="false">INDEX(Equipment!$E$2:$E$137,MATCH(E141,Equipment!$A$2:$A$137,0))</f>
        <v>46</v>
      </c>
      <c r="AG141" s="32" t="n">
        <f aca="false">INDEX(Equipment!$F$2:$F$137,MATCH(E141,Equipment!$A$2:$A$137,0))</f>
        <v>0.5</v>
      </c>
      <c r="AH141" s="32" t="n">
        <f aca="false">INDEX(Equipment!$D$2:$D$137,MATCH(G141,Equipment!$A$2:$A$137,0))</f>
        <v>40</v>
      </c>
      <c r="AI141" s="32" t="n">
        <f aca="false">INDEX(Equipment!$E$2:$E$137,MATCH(G141,Equipment!$A$2:$A$137,0))</f>
        <v>55</v>
      </c>
      <c r="AJ141" s="32" t="n">
        <f aca="false">INDEX(Equipment!$F$2:$F$137,MATCH(G141,Equipment!$A$2:$A$137,0))</f>
        <v>0.5</v>
      </c>
      <c r="AK141" s="32" t="n">
        <f aca="false">IF(INDEX(Raceways!$D$2:$D$18,MATCH(L141,Raceways!$A$2:$A$18,0))="",0,INDEX(Raceways!$D$2:$D$18,MATCH(L141,Raceways!$A$2:$A$18,0)))</f>
        <v>5</v>
      </c>
      <c r="AL141" s="33" t="n">
        <f aca="false">IF(INDEX(Raceways!$I$2:$I$18,MATCH(L141,Raceways!$A$2:$A$18,0))="","",INDEX(Raceways!$I$2:$I$18,MATCH(L141,Raceways!$A$2:$A$18,0)))</f>
        <v>0.8</v>
      </c>
      <c r="AM141" s="26" t="n">
        <f aca="false">INDEX('Cable Types'!$D$2:$D$41,MATCH(I141,'Cable Types'!$A$2:$A$41,0))</f>
        <v>1</v>
      </c>
      <c r="AN141" s="26" t="n">
        <f aca="false">IF(INDEX('Cable Types'!$E$2:$E$41,MATCH(I141,'Cable Types'!$A$2:$A$41,0))="","",INDEX('Cable Types'!$E$2:$E$41,MATCH(I141,'Cable Types'!$A$2:$A$41,0)))</f>
        <v>14</v>
      </c>
      <c r="AO141" s="26" t="str">
        <f aca="false">IF(INDEX('Cable Types'!$F$2:$F$41,MATCH(I141,'Cable Types'!$A$2:$A$41,0))="","",INDEX('Cable Types'!$F$2:$F$41,MATCH(I141,'Cable Types'!$A$2:$A$41,0)))</f>
        <v/>
      </c>
      <c r="AP141" s="33" t="str">
        <f aca="false">IF(INDEX('Cable Types'!$G$2:$G$41,MATCH(I141,'Cable Types'!$A$2:$A$41,0))="","",INDEX('Cable Types'!$G$2:$G$41,MATCH(I141,'Cable Types'!$A$2:$A$41,0)))</f>
        <v/>
      </c>
    </row>
    <row r="142" customFormat="false" ht="15" hidden="false" customHeight="false" outlineLevel="0" collapsed="false">
      <c r="A142" s="25" t="s">
        <v>927</v>
      </c>
      <c r="B142" s="25" t="s">
        <v>285</v>
      </c>
      <c r="C142" s="25" t="s">
        <v>80</v>
      </c>
      <c r="D142" s="25" t="s">
        <v>928</v>
      </c>
      <c r="E142" s="25" t="s">
        <v>292</v>
      </c>
      <c r="F142" s="26" t="str">
        <f aca="false">INDEX(Equipment!$B$2:$B$137,MATCH(E142,Equipment!$A$2:$A$137,0))</f>
        <v>DCS remote I/O cabinet - CCS</v>
      </c>
      <c r="G142" s="25" t="s">
        <v>458</v>
      </c>
      <c r="H142" s="26" t="str">
        <f aca="false">INDEX(Equipment!$B$2:$B$137,MATCH(G142,Equipment!$A$2:$A$137,0))</f>
        <v>DCS servers / central control room</v>
      </c>
      <c r="I142" s="25" t="s">
        <v>559</v>
      </c>
      <c r="J142" s="26" t="str">
        <f aca="false">INDEX('Cable Types'!$B$2:$B$41,MATCH(I142,'Cable Types'!$A$2:$A$41,0))</f>
        <v>48-fibre single-mode armoured LSZH</v>
      </c>
      <c r="K142" s="25" t="n">
        <v>2</v>
      </c>
      <c r="L142" s="25" t="s">
        <v>659</v>
      </c>
      <c r="M142" s="25" t="s">
        <v>638</v>
      </c>
      <c r="N142" s="25"/>
      <c r="O142" s="27" t="n">
        <f aca="false">IF(N142&lt;&gt;"",N142,IF(M142="D",ROUNDUP(SQRT((AH142-AE142)^2+(AI142-AF142)^2+(AJ142-AG142)^2)*(1+'Design Basis'!$C$6),0),ROUNDUP((ABS(AH142-AE142)+ABS(AI142-AF142)+ABS(AK142-AG142)+ABS(AK142-AJ142))*(1+'Design Basis'!$C$4)+2*'Design Basis'!$C$5,0)))</f>
        <v>167</v>
      </c>
      <c r="P142" s="27" t="n">
        <f aca="false">O142*K142*AM142</f>
        <v>334</v>
      </c>
      <c r="Q142" s="28"/>
      <c r="R142" s="25"/>
      <c r="S142" s="28"/>
      <c r="T142" s="29"/>
      <c r="U142" s="27" t="str">
        <f aca="false">IF(OR(S142="",Q142=""),"",IF(R142=3,S142*1000/(SQRT(3)*Q142*T142),S142*1000/(Q142*T142)))</f>
        <v/>
      </c>
      <c r="V142" s="27" t="str">
        <f aca="false">IF(OR(AO142="",AL142=""),"",AO142*AL142)</f>
        <v/>
      </c>
      <c r="W142" s="27" t="str">
        <f aca="false">IF(V142="","",V142*K142)</f>
        <v/>
      </c>
      <c r="X142" s="30" t="str">
        <f aca="false">IF(OR(U142="",W142=""),"",U142/W142)</f>
        <v/>
      </c>
      <c r="Y142" s="30" t="str">
        <f aca="false">IF(OR(U142="",AP142=""),"",AP142*(U142/K142)*O142/1000/Q142)</f>
        <v/>
      </c>
      <c r="Z142" s="30" t="str">
        <f aca="false">IF(U142="","",IFERROR(IF(INDEX('Design Basis'!$C$13:$C$21,MATCH(C142,'Design Basis'!$A$13:$A$21,0))="","",INDEX('Design Basis'!$C$13:$C$21,MATCH(C142,'Design Basis'!$A$13:$A$21,0))),""))</f>
        <v/>
      </c>
      <c r="AA142" s="31" t="str">
        <f aca="false">IF(U142="","n/a",IF(W142="","CHECK",IF(AND(X142&lt;=1,OR(Y142="",Z142="",Y142&lt;=Z142)),"OK","CHECK")))</f>
        <v>n/a</v>
      </c>
      <c r="AB142" s="27" t="n">
        <f aca="false">IF(AN142="","",K142*AM142*PI()/4*AN142^2)</f>
        <v>402.123859659494</v>
      </c>
      <c r="AC142" s="31" t="s">
        <v>918</v>
      </c>
      <c r="AE142" s="32" t="n">
        <f aca="false">INDEX(Equipment!$D$2:$D$137,MATCH(E142,Equipment!$A$2:$A$137,0))</f>
        <v>174</v>
      </c>
      <c r="AF142" s="32" t="n">
        <f aca="false">INDEX(Equipment!$E$2:$E$137,MATCH(E142,Equipment!$A$2:$A$137,0))</f>
        <v>58</v>
      </c>
      <c r="AG142" s="32" t="n">
        <f aca="false">INDEX(Equipment!$F$2:$F$137,MATCH(E142,Equipment!$A$2:$A$137,0))</f>
        <v>0.5</v>
      </c>
      <c r="AH142" s="32" t="n">
        <f aca="false">INDEX(Equipment!$D$2:$D$137,MATCH(G142,Equipment!$A$2:$A$137,0))</f>
        <v>40</v>
      </c>
      <c r="AI142" s="32" t="n">
        <f aca="false">INDEX(Equipment!$E$2:$E$137,MATCH(G142,Equipment!$A$2:$A$137,0))</f>
        <v>55</v>
      </c>
      <c r="AJ142" s="32" t="n">
        <f aca="false">INDEX(Equipment!$F$2:$F$137,MATCH(G142,Equipment!$A$2:$A$137,0))</f>
        <v>0.5</v>
      </c>
      <c r="AK142" s="32" t="n">
        <f aca="false">IF(INDEX(Raceways!$D$2:$D$18,MATCH(L142,Raceways!$A$2:$A$18,0))="",0,INDEX(Raceways!$D$2:$D$18,MATCH(L142,Raceways!$A$2:$A$18,0)))</f>
        <v>5</v>
      </c>
      <c r="AL142" s="33" t="n">
        <f aca="false">IF(INDEX(Raceways!$I$2:$I$18,MATCH(L142,Raceways!$A$2:$A$18,0))="","",INDEX(Raceways!$I$2:$I$18,MATCH(L142,Raceways!$A$2:$A$18,0)))</f>
        <v>0.8</v>
      </c>
      <c r="AM142" s="26" t="n">
        <f aca="false">INDEX('Cable Types'!$D$2:$D$41,MATCH(I142,'Cable Types'!$A$2:$A$41,0))</f>
        <v>1</v>
      </c>
      <c r="AN142" s="26" t="n">
        <f aca="false">IF(INDEX('Cable Types'!$E$2:$E$41,MATCH(I142,'Cable Types'!$A$2:$A$41,0))="","",INDEX('Cable Types'!$E$2:$E$41,MATCH(I142,'Cable Types'!$A$2:$A$41,0)))</f>
        <v>16</v>
      </c>
      <c r="AO142" s="26" t="str">
        <f aca="false">IF(INDEX('Cable Types'!$F$2:$F$41,MATCH(I142,'Cable Types'!$A$2:$A$41,0))="","",INDEX('Cable Types'!$F$2:$F$41,MATCH(I142,'Cable Types'!$A$2:$A$41,0)))</f>
        <v/>
      </c>
      <c r="AP142" s="33" t="str">
        <f aca="false">IF(INDEX('Cable Types'!$G$2:$G$41,MATCH(I142,'Cable Types'!$A$2:$A$41,0))="","",INDEX('Cable Types'!$G$2:$G$41,MATCH(I142,'Cable Types'!$A$2:$A$41,0)))</f>
        <v/>
      </c>
    </row>
    <row r="143" customFormat="false" ht="15" hidden="false" customHeight="false" outlineLevel="0" collapsed="false">
      <c r="A143" s="25" t="s">
        <v>929</v>
      </c>
      <c r="B143" s="25" t="s">
        <v>285</v>
      </c>
      <c r="C143" s="25" t="s">
        <v>80</v>
      </c>
      <c r="D143" s="25" t="s">
        <v>930</v>
      </c>
      <c r="E143" s="25" t="s">
        <v>321</v>
      </c>
      <c r="F143" s="26" t="str">
        <f aca="false">INDEX(Equipment!$B$2:$B$137,MATCH(E143,Equipment!$A$2:$A$137,0))</f>
        <v>CO2 compressor unit control panel</v>
      </c>
      <c r="G143" s="25" t="s">
        <v>292</v>
      </c>
      <c r="H143" s="26" t="str">
        <f aca="false">INDEX(Equipment!$B$2:$B$137,MATCH(G143,Equipment!$A$2:$A$137,0))</f>
        <v>DCS remote I/O cabinet - CCS</v>
      </c>
      <c r="I143" s="25" t="s">
        <v>557</v>
      </c>
      <c r="J143" s="26" t="str">
        <f aca="false">INDEX('Cable Types'!$B$2:$B$41,MATCH(I143,'Cable Types'!$A$2:$A$41,0))</f>
        <v>24-fibre single-mode armoured LSZH</v>
      </c>
      <c r="K143" s="25" t="n">
        <v>1</v>
      </c>
      <c r="L143" s="25" t="s">
        <v>694</v>
      </c>
      <c r="M143" s="25" t="s">
        <v>638</v>
      </c>
      <c r="N143" s="25"/>
      <c r="O143" s="27" t="n">
        <f aca="false">IF(N143&lt;&gt;"",N143,IF(M143="D",ROUNDUP(SQRT((AH143-AE143)^2+(AI143-AF143)^2+(AJ143-AG143)^2)*(1+'Design Basis'!$C$6),0),ROUNDUP((ABS(AH143-AE143)+ABS(AI143-AF143)+ABS(AK143-AG143)+ABS(AK143-AJ143))*(1+'Design Basis'!$C$4)+2*'Design Basis'!$C$5,0)))</f>
        <v>65</v>
      </c>
      <c r="P143" s="27" t="n">
        <f aca="false">O143*K143*AM143</f>
        <v>65</v>
      </c>
      <c r="Q143" s="28"/>
      <c r="R143" s="25"/>
      <c r="S143" s="28"/>
      <c r="T143" s="29"/>
      <c r="U143" s="27" t="str">
        <f aca="false">IF(OR(S143="",Q143=""),"",IF(R143=3,S143*1000/(SQRT(3)*Q143*T143),S143*1000/(Q143*T143)))</f>
        <v/>
      </c>
      <c r="V143" s="27" t="str">
        <f aca="false">IF(OR(AO143="",AL143=""),"",AO143*AL143)</f>
        <v/>
      </c>
      <c r="W143" s="27" t="str">
        <f aca="false">IF(V143="","",V143*K143)</f>
        <v/>
      </c>
      <c r="X143" s="30" t="str">
        <f aca="false">IF(OR(U143="",W143=""),"",U143/W143)</f>
        <v/>
      </c>
      <c r="Y143" s="30" t="str">
        <f aca="false">IF(OR(U143="",AP143=""),"",AP143*(U143/K143)*O143/1000/Q143)</f>
        <v/>
      </c>
      <c r="Z143" s="30" t="str">
        <f aca="false">IF(U143="","",IFERROR(IF(INDEX('Design Basis'!$C$13:$C$21,MATCH(C143,'Design Basis'!$A$13:$A$21,0))="","",INDEX('Design Basis'!$C$13:$C$21,MATCH(C143,'Design Basis'!$A$13:$A$21,0))),""))</f>
        <v/>
      </c>
      <c r="AA143" s="31" t="str">
        <f aca="false">IF(U143="","n/a",IF(W143="","CHECK",IF(AND(X143&lt;=1,OR(Y143="",Z143="",Y143&lt;=Z143)),"OK","CHECK")))</f>
        <v>n/a</v>
      </c>
      <c r="AB143" s="27" t="n">
        <f aca="false">IF(AN143="","",K143*AM143*PI()/4*AN143^2)</f>
        <v>153.9380400259</v>
      </c>
      <c r="AC143" s="31"/>
      <c r="AE143" s="32" t="n">
        <f aca="false">INDEX(Equipment!$D$2:$D$137,MATCH(E143,Equipment!$A$2:$A$137,0))</f>
        <v>192</v>
      </c>
      <c r="AF143" s="32" t="n">
        <f aca="false">INDEX(Equipment!$E$2:$E$137,MATCH(E143,Equipment!$A$2:$A$137,0))</f>
        <v>34</v>
      </c>
      <c r="AG143" s="32" t="n">
        <f aca="false">INDEX(Equipment!$F$2:$F$137,MATCH(E143,Equipment!$A$2:$A$137,0))</f>
        <v>0.5</v>
      </c>
      <c r="AH143" s="32" t="n">
        <f aca="false">INDEX(Equipment!$D$2:$D$137,MATCH(G143,Equipment!$A$2:$A$137,0))</f>
        <v>174</v>
      </c>
      <c r="AI143" s="32" t="n">
        <f aca="false">INDEX(Equipment!$E$2:$E$137,MATCH(G143,Equipment!$A$2:$A$137,0))</f>
        <v>58</v>
      </c>
      <c r="AJ143" s="32" t="n">
        <f aca="false">INDEX(Equipment!$F$2:$F$137,MATCH(G143,Equipment!$A$2:$A$137,0))</f>
        <v>0.5</v>
      </c>
      <c r="AK143" s="32" t="n">
        <f aca="false">IF(INDEX(Raceways!$D$2:$D$18,MATCH(L143,Raceways!$A$2:$A$18,0))="",0,INDEX(Raceways!$D$2:$D$18,MATCH(L143,Raceways!$A$2:$A$18,0)))</f>
        <v>6</v>
      </c>
      <c r="AL143" s="33" t="n">
        <f aca="false">IF(INDEX(Raceways!$I$2:$I$18,MATCH(L143,Raceways!$A$2:$A$18,0))="","",INDEX(Raceways!$I$2:$I$18,MATCH(L143,Raceways!$A$2:$A$18,0)))</f>
        <v>0.8</v>
      </c>
      <c r="AM143" s="26" t="n">
        <f aca="false">INDEX('Cable Types'!$D$2:$D$41,MATCH(I143,'Cable Types'!$A$2:$A$41,0))</f>
        <v>1</v>
      </c>
      <c r="AN143" s="26" t="n">
        <f aca="false">IF(INDEX('Cable Types'!$E$2:$E$41,MATCH(I143,'Cable Types'!$A$2:$A$41,0))="","",INDEX('Cable Types'!$E$2:$E$41,MATCH(I143,'Cable Types'!$A$2:$A$41,0)))</f>
        <v>14</v>
      </c>
      <c r="AO143" s="26" t="str">
        <f aca="false">IF(INDEX('Cable Types'!$F$2:$F$41,MATCH(I143,'Cable Types'!$A$2:$A$41,0))="","",INDEX('Cable Types'!$F$2:$F$41,MATCH(I143,'Cable Types'!$A$2:$A$41,0)))</f>
        <v/>
      </c>
      <c r="AP143" s="33" t="str">
        <f aca="false">IF(INDEX('Cable Types'!$G$2:$G$41,MATCH(I143,'Cable Types'!$A$2:$A$41,0))="","",INDEX('Cable Types'!$G$2:$G$41,MATCH(I143,'Cable Types'!$A$2:$A$41,0)))</f>
        <v/>
      </c>
    </row>
    <row r="144" customFormat="false" ht="15" hidden="false" customHeight="false" outlineLevel="0" collapsed="false">
      <c r="A144" s="25" t="s">
        <v>931</v>
      </c>
      <c r="B144" s="25" t="s">
        <v>127</v>
      </c>
      <c r="C144" s="25" t="s">
        <v>80</v>
      </c>
      <c r="D144" s="25" t="s">
        <v>932</v>
      </c>
      <c r="E144" s="25" t="s">
        <v>349</v>
      </c>
      <c r="F144" s="26" t="str">
        <f aca="false">INDEX(Equipment!$B$2:$B$137,MATCH(E144,Equipment!$A$2:$A$137,0))</f>
        <v>RICE plant controller</v>
      </c>
      <c r="G144" s="25" t="s">
        <v>458</v>
      </c>
      <c r="H144" s="26" t="str">
        <f aca="false">INDEX(Equipment!$B$2:$B$137,MATCH(G144,Equipment!$A$2:$A$137,0))</f>
        <v>DCS servers / central control room</v>
      </c>
      <c r="I144" s="25" t="s">
        <v>557</v>
      </c>
      <c r="J144" s="26" t="str">
        <f aca="false">INDEX('Cable Types'!$B$2:$B$41,MATCH(I144,'Cable Types'!$A$2:$A$41,0))</f>
        <v>24-fibre single-mode armoured LSZH</v>
      </c>
      <c r="K144" s="25" t="n">
        <v>2</v>
      </c>
      <c r="L144" s="25" t="s">
        <v>691</v>
      </c>
      <c r="M144" s="25" t="s">
        <v>638</v>
      </c>
      <c r="N144" s="25"/>
      <c r="O144" s="27" t="n">
        <f aca="false">IF(N144&lt;&gt;"",N144,IF(M144="D",ROUNDUP(SQRT((AH144-AE144)^2+(AI144-AF144)^2+(AJ144-AG144)^2)*(1+'Design Basis'!$C$6),0),ROUNDUP((ABS(AH144-AE144)+ABS(AI144-AF144)+ABS(AK144-AG144)+ABS(AK144-AJ144))*(1+'Design Basis'!$C$4)+2*'Design Basis'!$C$5,0)))</f>
        <v>94</v>
      </c>
      <c r="P144" s="27" t="n">
        <f aca="false">O144*K144*AM144</f>
        <v>188</v>
      </c>
      <c r="Q144" s="28"/>
      <c r="R144" s="25"/>
      <c r="S144" s="28"/>
      <c r="T144" s="29"/>
      <c r="U144" s="27" t="str">
        <f aca="false">IF(OR(S144="",Q144=""),"",IF(R144=3,S144*1000/(SQRT(3)*Q144*T144),S144*1000/(Q144*T144)))</f>
        <v/>
      </c>
      <c r="V144" s="27" t="str">
        <f aca="false">IF(OR(AO144="",AL144=""),"",AO144*AL144)</f>
        <v/>
      </c>
      <c r="W144" s="27" t="str">
        <f aca="false">IF(V144="","",V144*K144)</f>
        <v/>
      </c>
      <c r="X144" s="30" t="str">
        <f aca="false">IF(OR(U144="",W144=""),"",U144/W144)</f>
        <v/>
      </c>
      <c r="Y144" s="30" t="str">
        <f aca="false">IF(OR(U144="",AP144=""),"",AP144*(U144/K144)*O144/1000/Q144)</f>
        <v/>
      </c>
      <c r="Z144" s="30" t="str">
        <f aca="false">IF(U144="","",IFERROR(IF(INDEX('Design Basis'!$C$13:$C$21,MATCH(C144,'Design Basis'!$A$13:$A$21,0))="","",INDEX('Design Basis'!$C$13:$C$21,MATCH(C144,'Design Basis'!$A$13:$A$21,0))),""))</f>
        <v/>
      </c>
      <c r="AA144" s="31" t="str">
        <f aca="false">IF(U144="","n/a",IF(W144="","CHECK",IF(AND(X144&lt;=1,OR(Y144="",Z144="",Y144&lt;=Z144)),"OK","CHECK")))</f>
        <v>n/a</v>
      </c>
      <c r="AB144" s="27" t="n">
        <f aca="false">IF(AN144="","",K144*AM144*PI()/4*AN144^2)</f>
        <v>307.8760800518</v>
      </c>
      <c r="AC144" s="31" t="s">
        <v>918</v>
      </c>
      <c r="AE144" s="32" t="n">
        <f aca="false">INDEX(Equipment!$D$2:$D$137,MATCH(E144,Equipment!$A$2:$A$137,0))</f>
        <v>8</v>
      </c>
      <c r="AF144" s="32" t="n">
        <f aca="false">INDEX(Equipment!$E$2:$E$137,MATCH(E144,Equipment!$A$2:$A$137,0))</f>
        <v>99</v>
      </c>
      <c r="AG144" s="32" t="n">
        <f aca="false">INDEX(Equipment!$F$2:$F$137,MATCH(E144,Equipment!$A$2:$A$137,0))</f>
        <v>0.5</v>
      </c>
      <c r="AH144" s="32" t="n">
        <f aca="false">INDEX(Equipment!$D$2:$D$137,MATCH(G144,Equipment!$A$2:$A$137,0))</f>
        <v>40</v>
      </c>
      <c r="AI144" s="32" t="n">
        <f aca="false">INDEX(Equipment!$E$2:$E$137,MATCH(G144,Equipment!$A$2:$A$137,0))</f>
        <v>55</v>
      </c>
      <c r="AJ144" s="32" t="n">
        <f aca="false">INDEX(Equipment!$F$2:$F$137,MATCH(G144,Equipment!$A$2:$A$137,0))</f>
        <v>0.5</v>
      </c>
      <c r="AK144" s="32" t="n">
        <f aca="false">IF(INDEX(Raceways!$D$2:$D$18,MATCH(L144,Raceways!$A$2:$A$18,0))="",0,INDEX(Raceways!$D$2:$D$18,MATCH(L144,Raceways!$A$2:$A$18,0)))</f>
        <v>-1.2</v>
      </c>
      <c r="AL144" s="33" t="n">
        <f aca="false">IF(INDEX(Raceways!$I$2:$I$18,MATCH(L144,Raceways!$A$2:$A$18,0))="","",INDEX(Raceways!$I$2:$I$18,MATCH(L144,Raceways!$A$2:$A$18,0)))</f>
        <v>0.7</v>
      </c>
      <c r="AM144" s="26" t="n">
        <f aca="false">INDEX('Cable Types'!$D$2:$D$41,MATCH(I144,'Cable Types'!$A$2:$A$41,0))</f>
        <v>1</v>
      </c>
      <c r="AN144" s="26" t="n">
        <f aca="false">IF(INDEX('Cable Types'!$E$2:$E$41,MATCH(I144,'Cable Types'!$A$2:$A$41,0))="","",INDEX('Cable Types'!$E$2:$E$41,MATCH(I144,'Cable Types'!$A$2:$A$41,0)))</f>
        <v>14</v>
      </c>
      <c r="AO144" s="26" t="str">
        <f aca="false">IF(INDEX('Cable Types'!$F$2:$F$41,MATCH(I144,'Cable Types'!$A$2:$A$41,0))="","",INDEX('Cable Types'!$F$2:$F$41,MATCH(I144,'Cable Types'!$A$2:$A$41,0)))</f>
        <v/>
      </c>
      <c r="AP144" s="33" t="str">
        <f aca="false">IF(INDEX('Cable Types'!$G$2:$G$41,MATCH(I144,'Cable Types'!$A$2:$A$41,0))="","",INDEX('Cable Types'!$G$2:$G$41,MATCH(I144,'Cable Types'!$A$2:$A$41,0)))</f>
        <v/>
      </c>
    </row>
    <row r="145" customFormat="false" ht="15" hidden="false" customHeight="false" outlineLevel="0" collapsed="false">
      <c r="A145" s="25" t="s">
        <v>933</v>
      </c>
      <c r="B145" s="25" t="s">
        <v>395</v>
      </c>
      <c r="C145" s="25" t="s">
        <v>80</v>
      </c>
      <c r="D145" s="25" t="s">
        <v>934</v>
      </c>
      <c r="E145" s="25" t="s">
        <v>422</v>
      </c>
      <c r="F145" s="26" t="str">
        <f aca="false">INDEX(Equipment!$B$2:$B$137,MATCH(E145,Equipment!$A$2:$A$137,0))</f>
        <v>DCS remote I/O cabinet - gas station (shelter)</v>
      </c>
      <c r="G145" s="25" t="s">
        <v>458</v>
      </c>
      <c r="H145" s="26" t="str">
        <f aca="false">INDEX(Equipment!$B$2:$B$137,MATCH(G145,Equipment!$A$2:$A$137,0))</f>
        <v>DCS servers / central control room</v>
      </c>
      <c r="I145" s="25" t="s">
        <v>557</v>
      </c>
      <c r="J145" s="26" t="str">
        <f aca="false">INDEX('Cable Types'!$B$2:$B$41,MATCH(I145,'Cable Types'!$A$2:$A$41,0))</f>
        <v>24-fibre single-mode armoured LSZH</v>
      </c>
      <c r="K145" s="25" t="n">
        <v>2</v>
      </c>
      <c r="L145" s="25" t="s">
        <v>685</v>
      </c>
      <c r="M145" s="25" t="s">
        <v>638</v>
      </c>
      <c r="N145" s="25"/>
      <c r="O145" s="27" t="n">
        <f aca="false">IF(N145&lt;&gt;"",N145,IF(M145="D",ROUNDUP(SQRT((AH145-AE145)^2+(AI145-AF145)^2+(AJ145-AG145)^2)*(1+'Design Basis'!$C$6),0),ROUNDUP((ABS(AH145-AE145)+ABS(AI145-AF145)+ABS(AK145-AG145)+ABS(AK145-AJ145))*(1+'Design Basis'!$C$4)+2*'Design Basis'!$C$5,0)))</f>
        <v>127</v>
      </c>
      <c r="P145" s="27" t="n">
        <f aca="false">O145*K145*AM145</f>
        <v>254</v>
      </c>
      <c r="Q145" s="28"/>
      <c r="R145" s="25"/>
      <c r="S145" s="28"/>
      <c r="T145" s="29"/>
      <c r="U145" s="27" t="str">
        <f aca="false">IF(OR(S145="",Q145=""),"",IF(R145=3,S145*1000/(SQRT(3)*Q145*T145),S145*1000/(Q145*T145)))</f>
        <v/>
      </c>
      <c r="V145" s="27" t="str">
        <f aca="false">IF(OR(AO145="",AL145=""),"",AO145*AL145)</f>
        <v/>
      </c>
      <c r="W145" s="27" t="str">
        <f aca="false">IF(V145="","",V145*K145)</f>
        <v/>
      </c>
      <c r="X145" s="30" t="str">
        <f aca="false">IF(OR(U145="",W145=""),"",U145/W145)</f>
        <v/>
      </c>
      <c r="Y145" s="30" t="str">
        <f aca="false">IF(OR(U145="",AP145=""),"",AP145*(U145/K145)*O145/1000/Q145)</f>
        <v/>
      </c>
      <c r="Z145" s="30" t="str">
        <f aca="false">IF(U145="","",IFERROR(IF(INDEX('Design Basis'!$C$13:$C$21,MATCH(C145,'Design Basis'!$A$13:$A$21,0))="","",INDEX('Design Basis'!$C$13:$C$21,MATCH(C145,'Design Basis'!$A$13:$A$21,0))),""))</f>
        <v/>
      </c>
      <c r="AA145" s="31" t="str">
        <f aca="false">IF(U145="","n/a",IF(W145="","CHECK",IF(AND(X145&lt;=1,OR(Y145="",Z145="",Y145&lt;=Z145)),"OK","CHECK")))</f>
        <v>n/a</v>
      </c>
      <c r="AB145" s="27" t="n">
        <f aca="false">IF(AN145="","",K145*AM145*PI()/4*AN145^2)</f>
        <v>307.8760800518</v>
      </c>
      <c r="AC145" s="31" t="s">
        <v>918</v>
      </c>
      <c r="AE145" s="32" t="n">
        <f aca="false">INDEX(Equipment!$D$2:$D$137,MATCH(E145,Equipment!$A$2:$A$137,0))</f>
        <v>-18</v>
      </c>
      <c r="AF145" s="32" t="n">
        <f aca="false">INDEX(Equipment!$E$2:$E$137,MATCH(E145,Equipment!$A$2:$A$137,0))</f>
        <v>12</v>
      </c>
      <c r="AG145" s="32" t="n">
        <f aca="false">INDEX(Equipment!$F$2:$F$137,MATCH(E145,Equipment!$A$2:$A$137,0))</f>
        <v>0.5</v>
      </c>
      <c r="AH145" s="32" t="n">
        <f aca="false">INDEX(Equipment!$D$2:$D$137,MATCH(G145,Equipment!$A$2:$A$137,0))</f>
        <v>40</v>
      </c>
      <c r="AI145" s="32" t="n">
        <f aca="false">INDEX(Equipment!$E$2:$E$137,MATCH(G145,Equipment!$A$2:$A$137,0))</f>
        <v>55</v>
      </c>
      <c r="AJ145" s="32" t="n">
        <f aca="false">INDEX(Equipment!$F$2:$F$137,MATCH(G145,Equipment!$A$2:$A$137,0))</f>
        <v>0.5</v>
      </c>
      <c r="AK145" s="32" t="n">
        <f aca="false">IF(INDEX(Raceways!$D$2:$D$18,MATCH(L145,Raceways!$A$2:$A$18,0))="",0,INDEX(Raceways!$D$2:$D$18,MATCH(L145,Raceways!$A$2:$A$18,0)))</f>
        <v>5</v>
      </c>
      <c r="AL145" s="33" t="n">
        <f aca="false">IF(INDEX(Raceways!$I$2:$I$18,MATCH(L145,Raceways!$A$2:$A$18,0))="","",INDEX(Raceways!$I$2:$I$18,MATCH(L145,Raceways!$A$2:$A$18,0)))</f>
        <v>0.8</v>
      </c>
      <c r="AM145" s="26" t="n">
        <f aca="false">INDEX('Cable Types'!$D$2:$D$41,MATCH(I145,'Cable Types'!$A$2:$A$41,0))</f>
        <v>1</v>
      </c>
      <c r="AN145" s="26" t="n">
        <f aca="false">IF(INDEX('Cable Types'!$E$2:$E$41,MATCH(I145,'Cable Types'!$A$2:$A$41,0))="","",INDEX('Cable Types'!$E$2:$E$41,MATCH(I145,'Cable Types'!$A$2:$A$41,0)))</f>
        <v>14</v>
      </c>
      <c r="AO145" s="26" t="str">
        <f aca="false">IF(INDEX('Cable Types'!$F$2:$F$41,MATCH(I145,'Cable Types'!$A$2:$A$41,0))="","",INDEX('Cable Types'!$F$2:$F$41,MATCH(I145,'Cable Types'!$A$2:$A$41,0)))</f>
        <v/>
      </c>
      <c r="AP145" s="33" t="str">
        <f aca="false">IF(INDEX('Cable Types'!$G$2:$G$41,MATCH(I145,'Cable Types'!$A$2:$A$41,0))="","",INDEX('Cable Types'!$G$2:$G$41,MATCH(I145,'Cable Types'!$A$2:$A$41,0)))</f>
        <v/>
      </c>
    </row>
    <row r="146" customFormat="false" ht="15" hidden="false" customHeight="false" outlineLevel="0" collapsed="false">
      <c r="A146" s="25" t="s">
        <v>935</v>
      </c>
      <c r="B146" s="25" t="s">
        <v>127</v>
      </c>
      <c r="C146" s="25" t="s">
        <v>74</v>
      </c>
      <c r="D146" s="25" t="s">
        <v>936</v>
      </c>
      <c r="E146" s="25" t="s">
        <v>353</v>
      </c>
      <c r="F146" s="26" t="str">
        <f aca="false">INDEX(Equipment!$B$2:$B$137,MATCH(E146,Equipment!$A$2:$A$137,0))</f>
        <v>Gas engine genset 1 (40 ft container) 2.5 MVA, 11 kV - terminal box</v>
      </c>
      <c r="G146" s="25" t="s">
        <v>349</v>
      </c>
      <c r="H146" s="26" t="str">
        <f aca="false">INDEX(Equipment!$B$2:$B$137,MATCH(G146,Equipment!$A$2:$A$137,0))</f>
        <v>RICE plant controller</v>
      </c>
      <c r="I146" s="25" t="s">
        <v>541</v>
      </c>
      <c r="J146" s="26" t="str">
        <f aca="false">INDEX('Cable Types'!$B$2:$B$41,MATCH(I146,'Cable Types'!$A$2:$A$41,0))</f>
        <v>0.6/1 kV 24C 1.5 mm2 Cu/PVC/SWA/PVC control</v>
      </c>
      <c r="K146" s="25" t="n">
        <v>1</v>
      </c>
      <c r="L146" s="25" t="s">
        <v>715</v>
      </c>
      <c r="M146" s="25" t="s">
        <v>638</v>
      </c>
      <c r="N146" s="25"/>
      <c r="O146" s="27" t="n">
        <f aca="false">IF(N146&lt;&gt;"",N146,IF(M146="D",ROUNDUP(SQRT((AH146-AE146)^2+(AI146-AF146)^2+(AJ146-AG146)^2)*(1+'Design Basis'!$C$6),0),ROUNDUP((ABS(AH146-AE146)+ABS(AI146-AF146)+ABS(AK146-AG146)+ABS(AK146-AJ146))*(1+'Design Basis'!$C$4)+2*'Design Basis'!$C$5,0)))</f>
        <v>48</v>
      </c>
      <c r="P146" s="27" t="n">
        <f aca="false">O146*K146*AM146</f>
        <v>48</v>
      </c>
      <c r="Q146" s="28"/>
      <c r="R146" s="25"/>
      <c r="S146" s="28"/>
      <c r="T146" s="29"/>
      <c r="U146" s="27" t="str">
        <f aca="false">IF(OR(S146="",Q146=""),"",IF(R146=3,S146*1000/(SQRT(3)*Q146*T146),S146*1000/(Q146*T146)))</f>
        <v/>
      </c>
      <c r="V146" s="27" t="str">
        <f aca="false">IF(OR(AO146="",AL146=""),"",AO146*AL146)</f>
        <v/>
      </c>
      <c r="W146" s="27" t="str">
        <f aca="false">IF(V146="","",V146*K146)</f>
        <v/>
      </c>
      <c r="X146" s="30" t="str">
        <f aca="false">IF(OR(U146="",W146=""),"",U146/W146)</f>
        <v/>
      </c>
      <c r="Y146" s="30" t="str">
        <f aca="false">IF(OR(U146="",AP146=""),"",AP146*(U146/K146)*O146/1000/Q146)</f>
        <v/>
      </c>
      <c r="Z146" s="30" t="str">
        <f aca="false">IF(U146="","",IFERROR(IF(INDEX('Design Basis'!$C$13:$C$21,MATCH(C146,'Design Basis'!$A$13:$A$21,0))="","",INDEX('Design Basis'!$C$13:$C$21,MATCH(C146,'Design Basis'!$A$13:$A$21,0))),""))</f>
        <v/>
      </c>
      <c r="AA146" s="31" t="str">
        <f aca="false">IF(U146="","n/a",IF(W146="","CHECK",IF(AND(X146&lt;=1,OR(Y146="",Z146="",Y146&lt;=Z146)),"OK","CHECK")))</f>
        <v>n/a</v>
      </c>
      <c r="AB146" s="27" t="n">
        <f aca="false">IF(AN146="","",K146*AM146*PI()/4*AN146^2)</f>
        <v>452.38934211693</v>
      </c>
      <c r="AC146" s="31" t="s">
        <v>937</v>
      </c>
      <c r="AE146" s="32" t="n">
        <f aca="false">INDEX(Equipment!$D$2:$D$137,MATCH(E146,Equipment!$A$2:$A$137,0))</f>
        <v>2.2</v>
      </c>
      <c r="AF146" s="32" t="n">
        <f aca="false">INDEX(Equipment!$E$2:$E$137,MATCH(E146,Equipment!$A$2:$A$137,0))</f>
        <v>71.45</v>
      </c>
      <c r="AG146" s="32" t="n">
        <f aca="false">INDEX(Equipment!$F$2:$F$137,MATCH(E146,Equipment!$A$2:$A$137,0))</f>
        <v>1.5</v>
      </c>
      <c r="AH146" s="32" t="n">
        <f aca="false">INDEX(Equipment!$D$2:$D$137,MATCH(G146,Equipment!$A$2:$A$137,0))</f>
        <v>8</v>
      </c>
      <c r="AI146" s="32" t="n">
        <f aca="false">INDEX(Equipment!$E$2:$E$137,MATCH(G146,Equipment!$A$2:$A$137,0))</f>
        <v>99</v>
      </c>
      <c r="AJ146" s="32" t="n">
        <f aca="false">INDEX(Equipment!$F$2:$F$137,MATCH(G146,Equipment!$A$2:$A$137,0))</f>
        <v>0.5</v>
      </c>
      <c r="AK146" s="32" t="n">
        <f aca="false">IF(INDEX(Raceways!$D$2:$D$18,MATCH(L146,Raceways!$A$2:$A$18,0))="",0,INDEX(Raceways!$D$2:$D$18,MATCH(L146,Raceways!$A$2:$A$18,0)))</f>
        <v>3</v>
      </c>
      <c r="AL146" s="33" t="n">
        <f aca="false">IF(INDEX(Raceways!$I$2:$I$18,MATCH(L146,Raceways!$A$2:$A$18,0))="","",INDEX(Raceways!$I$2:$I$18,MATCH(L146,Raceways!$A$2:$A$18,0)))</f>
        <v>0.8</v>
      </c>
      <c r="AM146" s="26" t="n">
        <f aca="false">INDEX('Cable Types'!$D$2:$D$41,MATCH(I146,'Cable Types'!$A$2:$A$41,0))</f>
        <v>1</v>
      </c>
      <c r="AN146" s="26" t="n">
        <f aca="false">IF(INDEX('Cable Types'!$E$2:$E$41,MATCH(I146,'Cable Types'!$A$2:$A$41,0))="","",INDEX('Cable Types'!$E$2:$E$41,MATCH(I146,'Cable Types'!$A$2:$A$41,0)))</f>
        <v>24</v>
      </c>
      <c r="AO146" s="26" t="str">
        <f aca="false">IF(INDEX('Cable Types'!$F$2:$F$41,MATCH(I146,'Cable Types'!$A$2:$A$41,0))="","",INDEX('Cable Types'!$F$2:$F$41,MATCH(I146,'Cable Types'!$A$2:$A$41,0)))</f>
        <v/>
      </c>
      <c r="AP146" s="33" t="str">
        <f aca="false">IF(INDEX('Cable Types'!$G$2:$G$41,MATCH(I146,'Cable Types'!$A$2:$A$41,0))="","",INDEX('Cable Types'!$G$2:$G$41,MATCH(I146,'Cable Types'!$A$2:$A$41,0)))</f>
        <v/>
      </c>
    </row>
    <row r="147" customFormat="false" ht="15" hidden="false" customHeight="false" outlineLevel="0" collapsed="false">
      <c r="A147" s="25" t="s">
        <v>938</v>
      </c>
      <c r="B147" s="25" t="s">
        <v>127</v>
      </c>
      <c r="C147" s="25" t="s">
        <v>74</v>
      </c>
      <c r="D147" s="25" t="s">
        <v>939</v>
      </c>
      <c r="E147" s="25" t="s">
        <v>356</v>
      </c>
      <c r="F147" s="26" t="str">
        <f aca="false">INDEX(Equipment!$B$2:$B$137,MATCH(E147,Equipment!$A$2:$A$137,0))</f>
        <v>Gas engine genset 2 (40 ft container) 2.5 MVA, 11 kV - terminal box</v>
      </c>
      <c r="G147" s="25" t="s">
        <v>349</v>
      </c>
      <c r="H147" s="26" t="str">
        <f aca="false">INDEX(Equipment!$B$2:$B$137,MATCH(G147,Equipment!$A$2:$A$137,0))</f>
        <v>RICE plant controller</v>
      </c>
      <c r="I147" s="25" t="s">
        <v>541</v>
      </c>
      <c r="J147" s="26" t="str">
        <f aca="false">INDEX('Cable Types'!$B$2:$B$41,MATCH(I147,'Cable Types'!$A$2:$A$41,0))</f>
        <v>0.6/1 kV 24C 1.5 mm2 Cu/PVC/SWA/PVC control</v>
      </c>
      <c r="K147" s="25" t="n">
        <v>1</v>
      </c>
      <c r="L147" s="25" t="s">
        <v>715</v>
      </c>
      <c r="M147" s="25" t="s">
        <v>638</v>
      </c>
      <c r="N147" s="25"/>
      <c r="O147" s="27" t="n">
        <f aca="false">IF(N147&lt;&gt;"",N147,IF(M147="D",ROUNDUP(SQRT((AH147-AE147)^2+(AI147-AF147)^2+(AJ147-AG147)^2)*(1+'Design Basis'!$C$6),0),ROUNDUP((ABS(AH147-AE147)+ABS(AI147-AF147)+ABS(AK147-AG147)+ABS(AK147-AJ147))*(1+'Design Basis'!$C$4)+2*'Design Basis'!$C$5,0)))</f>
        <v>43</v>
      </c>
      <c r="P147" s="27" t="n">
        <f aca="false">O147*K147*AM147</f>
        <v>43</v>
      </c>
      <c r="Q147" s="28"/>
      <c r="R147" s="25"/>
      <c r="S147" s="28"/>
      <c r="T147" s="29"/>
      <c r="U147" s="27" t="str">
        <f aca="false">IF(OR(S147="",Q147=""),"",IF(R147=3,S147*1000/(SQRT(3)*Q147*T147),S147*1000/(Q147*T147)))</f>
        <v/>
      </c>
      <c r="V147" s="27" t="str">
        <f aca="false">IF(OR(AO147="",AL147=""),"",AO147*AL147)</f>
        <v/>
      </c>
      <c r="W147" s="27" t="str">
        <f aca="false">IF(V147="","",V147*K147)</f>
        <v/>
      </c>
      <c r="X147" s="30" t="str">
        <f aca="false">IF(OR(U147="",W147=""),"",U147/W147)</f>
        <v/>
      </c>
      <c r="Y147" s="30" t="str">
        <f aca="false">IF(OR(U147="",AP147=""),"",AP147*(U147/K147)*O147/1000/Q147)</f>
        <v/>
      </c>
      <c r="Z147" s="30" t="str">
        <f aca="false">IF(U147="","",IFERROR(IF(INDEX('Design Basis'!$C$13:$C$21,MATCH(C147,'Design Basis'!$A$13:$A$21,0))="","",INDEX('Design Basis'!$C$13:$C$21,MATCH(C147,'Design Basis'!$A$13:$A$21,0))),""))</f>
        <v/>
      </c>
      <c r="AA147" s="31" t="str">
        <f aca="false">IF(U147="","n/a",IF(W147="","CHECK",IF(AND(X147&lt;=1,OR(Y147="",Z147="",Y147&lt;=Z147)),"OK","CHECK")))</f>
        <v>n/a</v>
      </c>
      <c r="AB147" s="27" t="n">
        <f aca="false">IF(AN147="","",K147*AM147*PI()/4*AN147^2)</f>
        <v>452.38934211693</v>
      </c>
      <c r="AC147" s="31" t="s">
        <v>937</v>
      </c>
      <c r="AE147" s="32" t="n">
        <f aca="false">INDEX(Equipment!$D$2:$D$137,MATCH(E147,Equipment!$A$2:$A$137,0))</f>
        <v>2.2</v>
      </c>
      <c r="AF147" s="32" t="n">
        <f aca="false">INDEX(Equipment!$E$2:$E$137,MATCH(E147,Equipment!$A$2:$A$137,0))</f>
        <v>75.65</v>
      </c>
      <c r="AG147" s="32" t="n">
        <f aca="false">INDEX(Equipment!$F$2:$F$137,MATCH(E147,Equipment!$A$2:$A$137,0))</f>
        <v>1.5</v>
      </c>
      <c r="AH147" s="32" t="n">
        <f aca="false">INDEX(Equipment!$D$2:$D$137,MATCH(G147,Equipment!$A$2:$A$137,0))</f>
        <v>8</v>
      </c>
      <c r="AI147" s="32" t="n">
        <f aca="false">INDEX(Equipment!$E$2:$E$137,MATCH(G147,Equipment!$A$2:$A$137,0))</f>
        <v>99</v>
      </c>
      <c r="AJ147" s="32" t="n">
        <f aca="false">INDEX(Equipment!$F$2:$F$137,MATCH(G147,Equipment!$A$2:$A$137,0))</f>
        <v>0.5</v>
      </c>
      <c r="AK147" s="32" t="n">
        <f aca="false">IF(INDEX(Raceways!$D$2:$D$18,MATCH(L147,Raceways!$A$2:$A$18,0))="",0,INDEX(Raceways!$D$2:$D$18,MATCH(L147,Raceways!$A$2:$A$18,0)))</f>
        <v>3</v>
      </c>
      <c r="AL147" s="33" t="n">
        <f aca="false">IF(INDEX(Raceways!$I$2:$I$18,MATCH(L147,Raceways!$A$2:$A$18,0))="","",INDEX(Raceways!$I$2:$I$18,MATCH(L147,Raceways!$A$2:$A$18,0)))</f>
        <v>0.8</v>
      </c>
      <c r="AM147" s="26" t="n">
        <f aca="false">INDEX('Cable Types'!$D$2:$D$41,MATCH(I147,'Cable Types'!$A$2:$A$41,0))</f>
        <v>1</v>
      </c>
      <c r="AN147" s="26" t="n">
        <f aca="false">IF(INDEX('Cable Types'!$E$2:$E$41,MATCH(I147,'Cable Types'!$A$2:$A$41,0))="","",INDEX('Cable Types'!$E$2:$E$41,MATCH(I147,'Cable Types'!$A$2:$A$41,0)))</f>
        <v>24</v>
      </c>
      <c r="AO147" s="26" t="str">
        <f aca="false">IF(INDEX('Cable Types'!$F$2:$F$41,MATCH(I147,'Cable Types'!$A$2:$A$41,0))="","",INDEX('Cable Types'!$F$2:$F$41,MATCH(I147,'Cable Types'!$A$2:$A$41,0)))</f>
        <v/>
      </c>
      <c r="AP147" s="33" t="str">
        <f aca="false">IF(INDEX('Cable Types'!$G$2:$G$41,MATCH(I147,'Cable Types'!$A$2:$A$41,0))="","",INDEX('Cable Types'!$G$2:$G$41,MATCH(I147,'Cable Types'!$A$2:$A$41,0)))</f>
        <v/>
      </c>
    </row>
    <row r="148" customFormat="false" ht="15" hidden="false" customHeight="false" outlineLevel="0" collapsed="false">
      <c r="A148" s="25" t="s">
        <v>940</v>
      </c>
      <c r="B148" s="25" t="s">
        <v>127</v>
      </c>
      <c r="C148" s="25" t="s">
        <v>74</v>
      </c>
      <c r="D148" s="25" t="s">
        <v>941</v>
      </c>
      <c r="E148" s="25" t="s">
        <v>359</v>
      </c>
      <c r="F148" s="26" t="str">
        <f aca="false">INDEX(Equipment!$B$2:$B$137,MATCH(E148,Equipment!$A$2:$A$137,0))</f>
        <v>Gas engine genset 3 (40 ft container) 2.5 MVA, 11 kV - terminal box</v>
      </c>
      <c r="G148" s="25" t="s">
        <v>349</v>
      </c>
      <c r="H148" s="26" t="str">
        <f aca="false">INDEX(Equipment!$B$2:$B$137,MATCH(G148,Equipment!$A$2:$A$137,0))</f>
        <v>RICE plant controller</v>
      </c>
      <c r="I148" s="25" t="s">
        <v>541</v>
      </c>
      <c r="J148" s="26" t="str">
        <f aca="false">INDEX('Cable Types'!$B$2:$B$41,MATCH(I148,'Cable Types'!$A$2:$A$41,0))</f>
        <v>0.6/1 kV 24C 1.5 mm2 Cu/PVC/SWA/PVC control</v>
      </c>
      <c r="K148" s="25" t="n">
        <v>1</v>
      </c>
      <c r="L148" s="25" t="s">
        <v>715</v>
      </c>
      <c r="M148" s="25" t="s">
        <v>638</v>
      </c>
      <c r="N148" s="25"/>
      <c r="O148" s="27" t="n">
        <f aca="false">IF(N148&lt;&gt;"",N148,IF(M148="D",ROUNDUP(SQRT((AH148-AE148)^2+(AI148-AF148)^2+(AJ148-AG148)^2)*(1+'Design Basis'!$C$6),0),ROUNDUP((ABS(AH148-AE148)+ABS(AI148-AF148)+ABS(AK148-AG148)+ABS(AK148-AJ148))*(1+'Design Basis'!$C$4)+2*'Design Basis'!$C$5,0)))</f>
        <v>38</v>
      </c>
      <c r="P148" s="27" t="n">
        <f aca="false">O148*K148*AM148</f>
        <v>38</v>
      </c>
      <c r="Q148" s="28"/>
      <c r="R148" s="25"/>
      <c r="S148" s="28"/>
      <c r="T148" s="29"/>
      <c r="U148" s="27" t="str">
        <f aca="false">IF(OR(S148="",Q148=""),"",IF(R148=3,S148*1000/(SQRT(3)*Q148*T148),S148*1000/(Q148*T148)))</f>
        <v/>
      </c>
      <c r="V148" s="27" t="str">
        <f aca="false">IF(OR(AO148="",AL148=""),"",AO148*AL148)</f>
        <v/>
      </c>
      <c r="W148" s="27" t="str">
        <f aca="false">IF(V148="","",V148*K148)</f>
        <v/>
      </c>
      <c r="X148" s="30" t="str">
        <f aca="false">IF(OR(U148="",W148=""),"",U148/W148)</f>
        <v/>
      </c>
      <c r="Y148" s="30" t="str">
        <f aca="false">IF(OR(U148="",AP148=""),"",AP148*(U148/K148)*O148/1000/Q148)</f>
        <v/>
      </c>
      <c r="Z148" s="30" t="str">
        <f aca="false">IF(U148="","",IFERROR(IF(INDEX('Design Basis'!$C$13:$C$21,MATCH(C148,'Design Basis'!$A$13:$A$21,0))="","",INDEX('Design Basis'!$C$13:$C$21,MATCH(C148,'Design Basis'!$A$13:$A$21,0))),""))</f>
        <v/>
      </c>
      <c r="AA148" s="31" t="str">
        <f aca="false">IF(U148="","n/a",IF(W148="","CHECK",IF(AND(X148&lt;=1,OR(Y148="",Z148="",Y148&lt;=Z148)),"OK","CHECK")))</f>
        <v>n/a</v>
      </c>
      <c r="AB148" s="27" t="n">
        <f aca="false">IF(AN148="","",K148*AM148*PI()/4*AN148^2)</f>
        <v>452.38934211693</v>
      </c>
      <c r="AC148" s="31" t="s">
        <v>937</v>
      </c>
      <c r="AE148" s="32" t="n">
        <f aca="false">INDEX(Equipment!$D$2:$D$137,MATCH(E148,Equipment!$A$2:$A$137,0))</f>
        <v>2.2</v>
      </c>
      <c r="AF148" s="32" t="n">
        <f aca="false">INDEX(Equipment!$E$2:$E$137,MATCH(E148,Equipment!$A$2:$A$137,0))</f>
        <v>79.85</v>
      </c>
      <c r="AG148" s="32" t="n">
        <f aca="false">INDEX(Equipment!$F$2:$F$137,MATCH(E148,Equipment!$A$2:$A$137,0))</f>
        <v>1.5</v>
      </c>
      <c r="AH148" s="32" t="n">
        <f aca="false">INDEX(Equipment!$D$2:$D$137,MATCH(G148,Equipment!$A$2:$A$137,0))</f>
        <v>8</v>
      </c>
      <c r="AI148" s="32" t="n">
        <f aca="false">INDEX(Equipment!$E$2:$E$137,MATCH(G148,Equipment!$A$2:$A$137,0))</f>
        <v>99</v>
      </c>
      <c r="AJ148" s="32" t="n">
        <f aca="false">INDEX(Equipment!$F$2:$F$137,MATCH(G148,Equipment!$A$2:$A$137,0))</f>
        <v>0.5</v>
      </c>
      <c r="AK148" s="32" t="n">
        <f aca="false">IF(INDEX(Raceways!$D$2:$D$18,MATCH(L148,Raceways!$A$2:$A$18,0))="",0,INDEX(Raceways!$D$2:$D$18,MATCH(L148,Raceways!$A$2:$A$18,0)))</f>
        <v>3</v>
      </c>
      <c r="AL148" s="33" t="n">
        <f aca="false">IF(INDEX(Raceways!$I$2:$I$18,MATCH(L148,Raceways!$A$2:$A$18,0))="","",INDEX(Raceways!$I$2:$I$18,MATCH(L148,Raceways!$A$2:$A$18,0)))</f>
        <v>0.8</v>
      </c>
      <c r="AM148" s="26" t="n">
        <f aca="false">INDEX('Cable Types'!$D$2:$D$41,MATCH(I148,'Cable Types'!$A$2:$A$41,0))</f>
        <v>1</v>
      </c>
      <c r="AN148" s="26" t="n">
        <f aca="false">IF(INDEX('Cable Types'!$E$2:$E$41,MATCH(I148,'Cable Types'!$A$2:$A$41,0))="","",INDEX('Cable Types'!$E$2:$E$41,MATCH(I148,'Cable Types'!$A$2:$A$41,0)))</f>
        <v>24</v>
      </c>
      <c r="AO148" s="26" t="str">
        <f aca="false">IF(INDEX('Cable Types'!$F$2:$F$41,MATCH(I148,'Cable Types'!$A$2:$A$41,0))="","",INDEX('Cable Types'!$F$2:$F$41,MATCH(I148,'Cable Types'!$A$2:$A$41,0)))</f>
        <v/>
      </c>
      <c r="AP148" s="33" t="str">
        <f aca="false">IF(INDEX('Cable Types'!$G$2:$G$41,MATCH(I148,'Cable Types'!$A$2:$A$41,0))="","",INDEX('Cable Types'!$G$2:$G$41,MATCH(I148,'Cable Types'!$A$2:$A$41,0)))</f>
        <v/>
      </c>
    </row>
    <row r="149" customFormat="false" ht="15" hidden="false" customHeight="false" outlineLevel="0" collapsed="false">
      <c r="A149" s="25" t="s">
        <v>942</v>
      </c>
      <c r="B149" s="25" t="s">
        <v>127</v>
      </c>
      <c r="C149" s="25" t="s">
        <v>74</v>
      </c>
      <c r="D149" s="25" t="s">
        <v>943</v>
      </c>
      <c r="E149" s="25" t="s">
        <v>362</v>
      </c>
      <c r="F149" s="26" t="str">
        <f aca="false">INDEX(Equipment!$B$2:$B$137,MATCH(E149,Equipment!$A$2:$A$137,0))</f>
        <v>Gas engine genset 4 (40 ft container) 2.5 MVA, 11 kV - terminal box</v>
      </c>
      <c r="G149" s="25" t="s">
        <v>349</v>
      </c>
      <c r="H149" s="26" t="str">
        <f aca="false">INDEX(Equipment!$B$2:$B$137,MATCH(G149,Equipment!$A$2:$A$137,0))</f>
        <v>RICE plant controller</v>
      </c>
      <c r="I149" s="25" t="s">
        <v>541</v>
      </c>
      <c r="J149" s="26" t="str">
        <f aca="false">INDEX('Cable Types'!$B$2:$B$41,MATCH(I149,'Cable Types'!$A$2:$A$41,0))</f>
        <v>0.6/1 kV 24C 1.5 mm2 Cu/PVC/SWA/PVC control</v>
      </c>
      <c r="K149" s="25" t="n">
        <v>1</v>
      </c>
      <c r="L149" s="25" t="s">
        <v>715</v>
      </c>
      <c r="M149" s="25" t="s">
        <v>638</v>
      </c>
      <c r="N149" s="25"/>
      <c r="O149" s="27" t="n">
        <f aca="false">IF(N149&lt;&gt;"",N149,IF(M149="D",ROUNDUP(SQRT((AH149-AE149)^2+(AI149-AF149)^2+(AJ149-AG149)^2)*(1+'Design Basis'!$C$6),0),ROUNDUP((ABS(AH149-AE149)+ABS(AI149-AF149)+ABS(AK149-AG149)+ABS(AK149-AJ149))*(1+'Design Basis'!$C$4)+2*'Design Basis'!$C$5,0)))</f>
        <v>34</v>
      </c>
      <c r="P149" s="27" t="n">
        <f aca="false">O149*K149*AM149</f>
        <v>34</v>
      </c>
      <c r="Q149" s="28"/>
      <c r="R149" s="25"/>
      <c r="S149" s="28"/>
      <c r="T149" s="29"/>
      <c r="U149" s="27" t="str">
        <f aca="false">IF(OR(S149="",Q149=""),"",IF(R149=3,S149*1000/(SQRT(3)*Q149*T149),S149*1000/(Q149*T149)))</f>
        <v/>
      </c>
      <c r="V149" s="27" t="str">
        <f aca="false">IF(OR(AO149="",AL149=""),"",AO149*AL149)</f>
        <v/>
      </c>
      <c r="W149" s="27" t="str">
        <f aca="false">IF(V149="","",V149*K149)</f>
        <v/>
      </c>
      <c r="X149" s="30" t="str">
        <f aca="false">IF(OR(U149="",W149=""),"",U149/W149)</f>
        <v/>
      </c>
      <c r="Y149" s="30" t="str">
        <f aca="false">IF(OR(U149="",AP149=""),"",AP149*(U149/K149)*O149/1000/Q149)</f>
        <v/>
      </c>
      <c r="Z149" s="30" t="str">
        <f aca="false">IF(U149="","",IFERROR(IF(INDEX('Design Basis'!$C$13:$C$21,MATCH(C149,'Design Basis'!$A$13:$A$21,0))="","",INDEX('Design Basis'!$C$13:$C$21,MATCH(C149,'Design Basis'!$A$13:$A$21,0))),""))</f>
        <v/>
      </c>
      <c r="AA149" s="31" t="str">
        <f aca="false">IF(U149="","n/a",IF(W149="","CHECK",IF(AND(X149&lt;=1,OR(Y149="",Z149="",Y149&lt;=Z149)),"OK","CHECK")))</f>
        <v>n/a</v>
      </c>
      <c r="AB149" s="27" t="n">
        <f aca="false">IF(AN149="","",K149*AM149*PI()/4*AN149^2)</f>
        <v>452.38934211693</v>
      </c>
      <c r="AC149" s="31" t="s">
        <v>937</v>
      </c>
      <c r="AE149" s="32" t="n">
        <f aca="false">INDEX(Equipment!$D$2:$D$137,MATCH(E149,Equipment!$A$2:$A$137,0))</f>
        <v>2.2</v>
      </c>
      <c r="AF149" s="32" t="n">
        <f aca="false">INDEX(Equipment!$E$2:$E$137,MATCH(E149,Equipment!$A$2:$A$137,0))</f>
        <v>84.05</v>
      </c>
      <c r="AG149" s="32" t="n">
        <f aca="false">INDEX(Equipment!$F$2:$F$137,MATCH(E149,Equipment!$A$2:$A$137,0))</f>
        <v>1.5</v>
      </c>
      <c r="AH149" s="32" t="n">
        <f aca="false">INDEX(Equipment!$D$2:$D$137,MATCH(G149,Equipment!$A$2:$A$137,0))</f>
        <v>8</v>
      </c>
      <c r="AI149" s="32" t="n">
        <f aca="false">INDEX(Equipment!$E$2:$E$137,MATCH(G149,Equipment!$A$2:$A$137,0))</f>
        <v>99</v>
      </c>
      <c r="AJ149" s="32" t="n">
        <f aca="false">INDEX(Equipment!$F$2:$F$137,MATCH(G149,Equipment!$A$2:$A$137,0))</f>
        <v>0.5</v>
      </c>
      <c r="AK149" s="32" t="n">
        <f aca="false">IF(INDEX(Raceways!$D$2:$D$18,MATCH(L149,Raceways!$A$2:$A$18,0))="",0,INDEX(Raceways!$D$2:$D$18,MATCH(L149,Raceways!$A$2:$A$18,0)))</f>
        <v>3</v>
      </c>
      <c r="AL149" s="33" t="n">
        <f aca="false">IF(INDEX(Raceways!$I$2:$I$18,MATCH(L149,Raceways!$A$2:$A$18,0))="","",INDEX(Raceways!$I$2:$I$18,MATCH(L149,Raceways!$A$2:$A$18,0)))</f>
        <v>0.8</v>
      </c>
      <c r="AM149" s="26" t="n">
        <f aca="false">INDEX('Cable Types'!$D$2:$D$41,MATCH(I149,'Cable Types'!$A$2:$A$41,0))</f>
        <v>1</v>
      </c>
      <c r="AN149" s="26" t="n">
        <f aca="false">IF(INDEX('Cable Types'!$E$2:$E$41,MATCH(I149,'Cable Types'!$A$2:$A$41,0))="","",INDEX('Cable Types'!$E$2:$E$41,MATCH(I149,'Cable Types'!$A$2:$A$41,0)))</f>
        <v>24</v>
      </c>
      <c r="AO149" s="26" t="str">
        <f aca="false">IF(INDEX('Cable Types'!$F$2:$F$41,MATCH(I149,'Cable Types'!$A$2:$A$41,0))="","",INDEX('Cable Types'!$F$2:$F$41,MATCH(I149,'Cable Types'!$A$2:$A$41,0)))</f>
        <v/>
      </c>
      <c r="AP149" s="33" t="str">
        <f aca="false">IF(INDEX('Cable Types'!$G$2:$G$41,MATCH(I149,'Cable Types'!$A$2:$A$41,0))="","",INDEX('Cable Types'!$G$2:$G$41,MATCH(I149,'Cable Types'!$A$2:$A$41,0)))</f>
        <v/>
      </c>
    </row>
    <row r="150" customFormat="false" ht="15" hidden="false" customHeight="false" outlineLevel="0" collapsed="false">
      <c r="A150" s="25" t="s">
        <v>944</v>
      </c>
      <c r="B150" s="25" t="s">
        <v>127</v>
      </c>
      <c r="C150" s="25" t="s">
        <v>74</v>
      </c>
      <c r="D150" s="25" t="s">
        <v>945</v>
      </c>
      <c r="E150" s="25" t="s">
        <v>365</v>
      </c>
      <c r="F150" s="26" t="str">
        <f aca="false">INDEX(Equipment!$B$2:$B$137,MATCH(E150,Equipment!$A$2:$A$137,0))</f>
        <v>Gas engine genset 5 (40 ft container) 2.5 MVA, 11 kV - terminal box</v>
      </c>
      <c r="G150" s="25" t="s">
        <v>349</v>
      </c>
      <c r="H150" s="26" t="str">
        <f aca="false">INDEX(Equipment!$B$2:$B$137,MATCH(G150,Equipment!$A$2:$A$137,0))</f>
        <v>RICE plant controller</v>
      </c>
      <c r="I150" s="25" t="s">
        <v>541</v>
      </c>
      <c r="J150" s="26" t="str">
        <f aca="false">INDEX('Cable Types'!$B$2:$B$41,MATCH(I150,'Cable Types'!$A$2:$A$41,0))</f>
        <v>0.6/1 kV 24C 1.5 mm2 Cu/PVC/SWA/PVC control</v>
      </c>
      <c r="K150" s="25" t="n">
        <v>1</v>
      </c>
      <c r="L150" s="25" t="s">
        <v>715</v>
      </c>
      <c r="M150" s="25" t="s">
        <v>638</v>
      </c>
      <c r="N150" s="25"/>
      <c r="O150" s="27" t="n">
        <f aca="false">IF(N150&lt;&gt;"",N150,IF(M150="D",ROUNDUP(SQRT((AH150-AE150)^2+(AI150-AF150)^2+(AJ150-AG150)^2)*(1+'Design Basis'!$C$6),0),ROUNDUP((ABS(AH150-AE150)+ABS(AI150-AF150)+ABS(AK150-AG150)+ABS(AK150-AJ150))*(1+'Design Basis'!$C$4)+2*'Design Basis'!$C$5,0)))</f>
        <v>29</v>
      </c>
      <c r="P150" s="27" t="n">
        <f aca="false">O150*K150*AM150</f>
        <v>29</v>
      </c>
      <c r="Q150" s="28"/>
      <c r="R150" s="25"/>
      <c r="S150" s="28"/>
      <c r="T150" s="29"/>
      <c r="U150" s="27" t="str">
        <f aca="false">IF(OR(S150="",Q150=""),"",IF(R150=3,S150*1000/(SQRT(3)*Q150*T150),S150*1000/(Q150*T150)))</f>
        <v/>
      </c>
      <c r="V150" s="27" t="str">
        <f aca="false">IF(OR(AO150="",AL150=""),"",AO150*AL150)</f>
        <v/>
      </c>
      <c r="W150" s="27" t="str">
        <f aca="false">IF(V150="","",V150*K150)</f>
        <v/>
      </c>
      <c r="X150" s="30" t="str">
        <f aca="false">IF(OR(U150="",W150=""),"",U150/W150)</f>
        <v/>
      </c>
      <c r="Y150" s="30" t="str">
        <f aca="false">IF(OR(U150="",AP150=""),"",AP150*(U150/K150)*O150/1000/Q150)</f>
        <v/>
      </c>
      <c r="Z150" s="30" t="str">
        <f aca="false">IF(U150="","",IFERROR(IF(INDEX('Design Basis'!$C$13:$C$21,MATCH(C150,'Design Basis'!$A$13:$A$21,0))="","",INDEX('Design Basis'!$C$13:$C$21,MATCH(C150,'Design Basis'!$A$13:$A$21,0))),""))</f>
        <v/>
      </c>
      <c r="AA150" s="31" t="str">
        <f aca="false">IF(U150="","n/a",IF(W150="","CHECK",IF(AND(X150&lt;=1,OR(Y150="",Z150="",Y150&lt;=Z150)),"OK","CHECK")))</f>
        <v>n/a</v>
      </c>
      <c r="AB150" s="27" t="n">
        <f aca="false">IF(AN150="","",K150*AM150*PI()/4*AN150^2)</f>
        <v>452.38934211693</v>
      </c>
      <c r="AC150" s="31" t="s">
        <v>937</v>
      </c>
      <c r="AE150" s="32" t="n">
        <f aca="false">INDEX(Equipment!$D$2:$D$137,MATCH(E150,Equipment!$A$2:$A$137,0))</f>
        <v>2.2</v>
      </c>
      <c r="AF150" s="32" t="n">
        <f aca="false">INDEX(Equipment!$E$2:$E$137,MATCH(E150,Equipment!$A$2:$A$137,0))</f>
        <v>88.25</v>
      </c>
      <c r="AG150" s="32" t="n">
        <f aca="false">INDEX(Equipment!$F$2:$F$137,MATCH(E150,Equipment!$A$2:$A$137,0))</f>
        <v>1.5</v>
      </c>
      <c r="AH150" s="32" t="n">
        <f aca="false">INDEX(Equipment!$D$2:$D$137,MATCH(G150,Equipment!$A$2:$A$137,0))</f>
        <v>8</v>
      </c>
      <c r="AI150" s="32" t="n">
        <f aca="false">INDEX(Equipment!$E$2:$E$137,MATCH(G150,Equipment!$A$2:$A$137,0))</f>
        <v>99</v>
      </c>
      <c r="AJ150" s="32" t="n">
        <f aca="false">INDEX(Equipment!$F$2:$F$137,MATCH(G150,Equipment!$A$2:$A$137,0))</f>
        <v>0.5</v>
      </c>
      <c r="AK150" s="32" t="n">
        <f aca="false">IF(INDEX(Raceways!$D$2:$D$18,MATCH(L150,Raceways!$A$2:$A$18,0))="",0,INDEX(Raceways!$D$2:$D$18,MATCH(L150,Raceways!$A$2:$A$18,0)))</f>
        <v>3</v>
      </c>
      <c r="AL150" s="33" t="n">
        <f aca="false">IF(INDEX(Raceways!$I$2:$I$18,MATCH(L150,Raceways!$A$2:$A$18,0))="","",INDEX(Raceways!$I$2:$I$18,MATCH(L150,Raceways!$A$2:$A$18,0)))</f>
        <v>0.8</v>
      </c>
      <c r="AM150" s="26" t="n">
        <f aca="false">INDEX('Cable Types'!$D$2:$D$41,MATCH(I150,'Cable Types'!$A$2:$A$41,0))</f>
        <v>1</v>
      </c>
      <c r="AN150" s="26" t="n">
        <f aca="false">IF(INDEX('Cable Types'!$E$2:$E$41,MATCH(I150,'Cable Types'!$A$2:$A$41,0))="","",INDEX('Cable Types'!$E$2:$E$41,MATCH(I150,'Cable Types'!$A$2:$A$41,0)))</f>
        <v>24</v>
      </c>
      <c r="AO150" s="26" t="str">
        <f aca="false">IF(INDEX('Cable Types'!$F$2:$F$41,MATCH(I150,'Cable Types'!$A$2:$A$41,0))="","",INDEX('Cable Types'!$F$2:$F$41,MATCH(I150,'Cable Types'!$A$2:$A$41,0)))</f>
        <v/>
      </c>
      <c r="AP150" s="33" t="str">
        <f aca="false">IF(INDEX('Cable Types'!$G$2:$G$41,MATCH(I150,'Cable Types'!$A$2:$A$41,0))="","",INDEX('Cable Types'!$G$2:$G$41,MATCH(I150,'Cable Types'!$A$2:$A$41,0)))</f>
        <v/>
      </c>
    </row>
    <row r="151" customFormat="false" ht="15" hidden="false" customHeight="false" outlineLevel="0" collapsed="false">
      <c r="A151" s="25" t="s">
        <v>946</v>
      </c>
      <c r="B151" s="25" t="s">
        <v>127</v>
      </c>
      <c r="C151" s="25" t="s">
        <v>74</v>
      </c>
      <c r="D151" s="25" t="s">
        <v>947</v>
      </c>
      <c r="E151" s="25" t="s">
        <v>368</v>
      </c>
      <c r="F151" s="26" t="str">
        <f aca="false">INDEX(Equipment!$B$2:$B$137,MATCH(E151,Equipment!$A$2:$A$137,0))</f>
        <v>Gas engine genset 6 (40 ft container) 2.5 MVA, 11 kV - terminal box</v>
      </c>
      <c r="G151" s="25" t="s">
        <v>349</v>
      </c>
      <c r="H151" s="26" t="str">
        <f aca="false">INDEX(Equipment!$B$2:$B$137,MATCH(G151,Equipment!$A$2:$A$137,0))</f>
        <v>RICE plant controller</v>
      </c>
      <c r="I151" s="25" t="s">
        <v>541</v>
      </c>
      <c r="J151" s="26" t="str">
        <f aca="false">INDEX('Cable Types'!$B$2:$B$41,MATCH(I151,'Cable Types'!$A$2:$A$41,0))</f>
        <v>0.6/1 kV 24C 1.5 mm2 Cu/PVC/SWA/PVC control</v>
      </c>
      <c r="K151" s="25" t="n">
        <v>1</v>
      </c>
      <c r="L151" s="25" t="s">
        <v>715</v>
      </c>
      <c r="M151" s="25" t="s">
        <v>638</v>
      </c>
      <c r="N151" s="25"/>
      <c r="O151" s="27" t="n">
        <f aca="false">IF(N151&lt;&gt;"",N151,IF(M151="D",ROUNDUP(SQRT((AH151-AE151)^2+(AI151-AF151)^2+(AJ151-AG151)^2)*(1+'Design Basis'!$C$6),0),ROUNDUP((ABS(AH151-AE151)+ABS(AI151-AF151)+ABS(AK151-AG151)+ABS(AK151-AJ151))*(1+'Design Basis'!$C$4)+2*'Design Basis'!$C$5,0)))</f>
        <v>24</v>
      </c>
      <c r="P151" s="27" t="n">
        <f aca="false">O151*K151*AM151</f>
        <v>24</v>
      </c>
      <c r="Q151" s="28"/>
      <c r="R151" s="25"/>
      <c r="S151" s="28"/>
      <c r="T151" s="29"/>
      <c r="U151" s="27" t="str">
        <f aca="false">IF(OR(S151="",Q151=""),"",IF(R151=3,S151*1000/(SQRT(3)*Q151*T151),S151*1000/(Q151*T151)))</f>
        <v/>
      </c>
      <c r="V151" s="27" t="str">
        <f aca="false">IF(OR(AO151="",AL151=""),"",AO151*AL151)</f>
        <v/>
      </c>
      <c r="W151" s="27" t="str">
        <f aca="false">IF(V151="","",V151*K151)</f>
        <v/>
      </c>
      <c r="X151" s="30" t="str">
        <f aca="false">IF(OR(U151="",W151=""),"",U151/W151)</f>
        <v/>
      </c>
      <c r="Y151" s="30" t="str">
        <f aca="false">IF(OR(U151="",AP151=""),"",AP151*(U151/K151)*O151/1000/Q151)</f>
        <v/>
      </c>
      <c r="Z151" s="30" t="str">
        <f aca="false">IF(U151="","",IFERROR(IF(INDEX('Design Basis'!$C$13:$C$21,MATCH(C151,'Design Basis'!$A$13:$A$21,0))="","",INDEX('Design Basis'!$C$13:$C$21,MATCH(C151,'Design Basis'!$A$13:$A$21,0))),""))</f>
        <v/>
      </c>
      <c r="AA151" s="31" t="str">
        <f aca="false">IF(U151="","n/a",IF(W151="","CHECK",IF(AND(X151&lt;=1,OR(Y151="",Z151="",Y151&lt;=Z151)),"OK","CHECK")))</f>
        <v>n/a</v>
      </c>
      <c r="AB151" s="27" t="n">
        <f aca="false">IF(AN151="","",K151*AM151*PI()/4*AN151^2)</f>
        <v>452.38934211693</v>
      </c>
      <c r="AC151" s="31" t="s">
        <v>937</v>
      </c>
      <c r="AE151" s="32" t="n">
        <f aca="false">INDEX(Equipment!$D$2:$D$137,MATCH(E151,Equipment!$A$2:$A$137,0))</f>
        <v>2.2</v>
      </c>
      <c r="AF151" s="32" t="n">
        <f aca="false">INDEX(Equipment!$E$2:$E$137,MATCH(E151,Equipment!$A$2:$A$137,0))</f>
        <v>92.45</v>
      </c>
      <c r="AG151" s="32" t="n">
        <f aca="false">INDEX(Equipment!$F$2:$F$137,MATCH(E151,Equipment!$A$2:$A$137,0))</f>
        <v>1.5</v>
      </c>
      <c r="AH151" s="32" t="n">
        <f aca="false">INDEX(Equipment!$D$2:$D$137,MATCH(G151,Equipment!$A$2:$A$137,0))</f>
        <v>8</v>
      </c>
      <c r="AI151" s="32" t="n">
        <f aca="false">INDEX(Equipment!$E$2:$E$137,MATCH(G151,Equipment!$A$2:$A$137,0))</f>
        <v>99</v>
      </c>
      <c r="AJ151" s="32" t="n">
        <f aca="false">INDEX(Equipment!$F$2:$F$137,MATCH(G151,Equipment!$A$2:$A$137,0))</f>
        <v>0.5</v>
      </c>
      <c r="AK151" s="32" t="n">
        <f aca="false">IF(INDEX(Raceways!$D$2:$D$18,MATCH(L151,Raceways!$A$2:$A$18,0))="",0,INDEX(Raceways!$D$2:$D$18,MATCH(L151,Raceways!$A$2:$A$18,0)))</f>
        <v>3</v>
      </c>
      <c r="AL151" s="33" t="n">
        <f aca="false">IF(INDEX(Raceways!$I$2:$I$18,MATCH(L151,Raceways!$A$2:$A$18,0))="","",INDEX(Raceways!$I$2:$I$18,MATCH(L151,Raceways!$A$2:$A$18,0)))</f>
        <v>0.8</v>
      </c>
      <c r="AM151" s="26" t="n">
        <f aca="false">INDEX('Cable Types'!$D$2:$D$41,MATCH(I151,'Cable Types'!$A$2:$A$41,0))</f>
        <v>1</v>
      </c>
      <c r="AN151" s="26" t="n">
        <f aca="false">IF(INDEX('Cable Types'!$E$2:$E$41,MATCH(I151,'Cable Types'!$A$2:$A$41,0))="","",INDEX('Cable Types'!$E$2:$E$41,MATCH(I151,'Cable Types'!$A$2:$A$41,0)))</f>
        <v>24</v>
      </c>
      <c r="AO151" s="26" t="str">
        <f aca="false">IF(INDEX('Cable Types'!$F$2:$F$41,MATCH(I151,'Cable Types'!$A$2:$A$41,0))="","",INDEX('Cable Types'!$F$2:$F$41,MATCH(I151,'Cable Types'!$A$2:$A$41,0)))</f>
        <v/>
      </c>
      <c r="AP151" s="33" t="str">
        <f aca="false">IF(INDEX('Cable Types'!$G$2:$G$41,MATCH(I151,'Cable Types'!$A$2:$A$41,0))="","",INDEX('Cable Types'!$G$2:$G$41,MATCH(I151,'Cable Types'!$A$2:$A$41,0)))</f>
        <v/>
      </c>
    </row>
    <row r="152" customFormat="false" ht="15" hidden="false" customHeight="false" outlineLevel="0" collapsed="false">
      <c r="A152" s="25" t="s">
        <v>948</v>
      </c>
      <c r="B152" s="25" t="s">
        <v>127</v>
      </c>
      <c r="C152" s="25" t="s">
        <v>74</v>
      </c>
      <c r="D152" s="25" t="s">
        <v>949</v>
      </c>
      <c r="E152" s="25" t="s">
        <v>371</v>
      </c>
      <c r="F152" s="26" t="str">
        <f aca="false">INDEX(Equipment!$B$2:$B$137,MATCH(E152,Equipment!$A$2:$A$137,0))</f>
        <v>Gas engine genset 7 (40 ft container) 2.5 MVA, 11 kV - terminal box</v>
      </c>
      <c r="G152" s="25" t="s">
        <v>349</v>
      </c>
      <c r="H152" s="26" t="str">
        <f aca="false">INDEX(Equipment!$B$2:$B$137,MATCH(G152,Equipment!$A$2:$A$137,0))</f>
        <v>RICE plant controller</v>
      </c>
      <c r="I152" s="25" t="s">
        <v>541</v>
      </c>
      <c r="J152" s="26" t="str">
        <f aca="false">INDEX('Cable Types'!$B$2:$B$41,MATCH(I152,'Cable Types'!$A$2:$A$41,0))</f>
        <v>0.6/1 kV 24C 1.5 mm2 Cu/PVC/SWA/PVC control</v>
      </c>
      <c r="K152" s="25" t="n">
        <v>1</v>
      </c>
      <c r="L152" s="25" t="s">
        <v>715</v>
      </c>
      <c r="M152" s="25" t="s">
        <v>638</v>
      </c>
      <c r="N152" s="25"/>
      <c r="O152" s="27" t="n">
        <f aca="false">IF(N152&lt;&gt;"",N152,IF(M152="D",ROUNDUP(SQRT((AH152-AE152)^2+(AI152-AF152)^2+(AJ152-AG152)^2)*(1+'Design Basis'!$C$6),0),ROUNDUP((ABS(AH152-AE152)+ABS(AI152-AF152)+ABS(AK152-AG152)+ABS(AK152-AJ152))*(1+'Design Basis'!$C$4)+2*'Design Basis'!$C$5,0)))</f>
        <v>20</v>
      </c>
      <c r="P152" s="27" t="n">
        <f aca="false">O152*K152*AM152</f>
        <v>20</v>
      </c>
      <c r="Q152" s="28"/>
      <c r="R152" s="25"/>
      <c r="S152" s="28"/>
      <c r="T152" s="29"/>
      <c r="U152" s="27" t="str">
        <f aca="false">IF(OR(S152="",Q152=""),"",IF(R152=3,S152*1000/(SQRT(3)*Q152*T152),S152*1000/(Q152*T152)))</f>
        <v/>
      </c>
      <c r="V152" s="27" t="str">
        <f aca="false">IF(OR(AO152="",AL152=""),"",AO152*AL152)</f>
        <v/>
      </c>
      <c r="W152" s="27" t="str">
        <f aca="false">IF(V152="","",V152*K152)</f>
        <v/>
      </c>
      <c r="X152" s="30" t="str">
        <f aca="false">IF(OR(U152="",W152=""),"",U152/W152)</f>
        <v/>
      </c>
      <c r="Y152" s="30" t="str">
        <f aca="false">IF(OR(U152="",AP152=""),"",AP152*(U152/K152)*O152/1000/Q152)</f>
        <v/>
      </c>
      <c r="Z152" s="30" t="str">
        <f aca="false">IF(U152="","",IFERROR(IF(INDEX('Design Basis'!$C$13:$C$21,MATCH(C152,'Design Basis'!$A$13:$A$21,0))="","",INDEX('Design Basis'!$C$13:$C$21,MATCH(C152,'Design Basis'!$A$13:$A$21,0))),""))</f>
        <v/>
      </c>
      <c r="AA152" s="31" t="str">
        <f aca="false">IF(U152="","n/a",IF(W152="","CHECK",IF(AND(X152&lt;=1,OR(Y152="",Z152="",Y152&lt;=Z152)),"OK","CHECK")))</f>
        <v>n/a</v>
      </c>
      <c r="AB152" s="27" t="n">
        <f aca="false">IF(AN152="","",K152*AM152*PI()/4*AN152^2)</f>
        <v>452.38934211693</v>
      </c>
      <c r="AC152" s="31" t="s">
        <v>937</v>
      </c>
      <c r="AE152" s="32" t="n">
        <f aca="false">INDEX(Equipment!$D$2:$D$137,MATCH(E152,Equipment!$A$2:$A$137,0))</f>
        <v>2.2</v>
      </c>
      <c r="AF152" s="32" t="n">
        <f aca="false">INDEX(Equipment!$E$2:$E$137,MATCH(E152,Equipment!$A$2:$A$137,0))</f>
        <v>96.65</v>
      </c>
      <c r="AG152" s="32" t="n">
        <f aca="false">INDEX(Equipment!$F$2:$F$137,MATCH(E152,Equipment!$A$2:$A$137,0))</f>
        <v>1.5</v>
      </c>
      <c r="AH152" s="32" t="n">
        <f aca="false">INDEX(Equipment!$D$2:$D$137,MATCH(G152,Equipment!$A$2:$A$137,0))</f>
        <v>8</v>
      </c>
      <c r="AI152" s="32" t="n">
        <f aca="false">INDEX(Equipment!$E$2:$E$137,MATCH(G152,Equipment!$A$2:$A$137,0))</f>
        <v>99</v>
      </c>
      <c r="AJ152" s="32" t="n">
        <f aca="false">INDEX(Equipment!$F$2:$F$137,MATCH(G152,Equipment!$A$2:$A$137,0))</f>
        <v>0.5</v>
      </c>
      <c r="AK152" s="32" t="n">
        <f aca="false">IF(INDEX(Raceways!$D$2:$D$18,MATCH(L152,Raceways!$A$2:$A$18,0))="",0,INDEX(Raceways!$D$2:$D$18,MATCH(L152,Raceways!$A$2:$A$18,0)))</f>
        <v>3</v>
      </c>
      <c r="AL152" s="33" t="n">
        <f aca="false">IF(INDEX(Raceways!$I$2:$I$18,MATCH(L152,Raceways!$A$2:$A$18,0))="","",INDEX(Raceways!$I$2:$I$18,MATCH(L152,Raceways!$A$2:$A$18,0)))</f>
        <v>0.8</v>
      </c>
      <c r="AM152" s="26" t="n">
        <f aca="false">INDEX('Cable Types'!$D$2:$D$41,MATCH(I152,'Cable Types'!$A$2:$A$41,0))</f>
        <v>1</v>
      </c>
      <c r="AN152" s="26" t="n">
        <f aca="false">IF(INDEX('Cable Types'!$E$2:$E$41,MATCH(I152,'Cable Types'!$A$2:$A$41,0))="","",INDEX('Cable Types'!$E$2:$E$41,MATCH(I152,'Cable Types'!$A$2:$A$41,0)))</f>
        <v>24</v>
      </c>
      <c r="AO152" s="26" t="str">
        <f aca="false">IF(INDEX('Cable Types'!$F$2:$F$41,MATCH(I152,'Cable Types'!$A$2:$A$41,0))="","",INDEX('Cable Types'!$F$2:$F$41,MATCH(I152,'Cable Types'!$A$2:$A$41,0)))</f>
        <v/>
      </c>
      <c r="AP152" s="33" t="str">
        <f aca="false">IF(INDEX('Cable Types'!$G$2:$G$41,MATCH(I152,'Cable Types'!$A$2:$A$41,0))="","",INDEX('Cable Types'!$G$2:$G$41,MATCH(I152,'Cable Types'!$A$2:$A$41,0)))</f>
        <v/>
      </c>
    </row>
    <row r="153" customFormat="false" ht="15" hidden="false" customHeight="false" outlineLevel="0" collapsed="false">
      <c r="A153" s="25" t="s">
        <v>950</v>
      </c>
      <c r="B153" s="25" t="s">
        <v>127</v>
      </c>
      <c r="C153" s="25" t="s">
        <v>74</v>
      </c>
      <c r="D153" s="25" t="s">
        <v>951</v>
      </c>
      <c r="E153" s="25" t="s">
        <v>374</v>
      </c>
      <c r="F153" s="26" t="str">
        <f aca="false">INDEX(Equipment!$B$2:$B$137,MATCH(E153,Equipment!$A$2:$A$137,0))</f>
        <v>Gas engine genset 8 (40 ft container) 2.5 MVA, 11 kV - terminal box</v>
      </c>
      <c r="G153" s="25" t="s">
        <v>349</v>
      </c>
      <c r="H153" s="26" t="str">
        <f aca="false">INDEX(Equipment!$B$2:$B$137,MATCH(G153,Equipment!$A$2:$A$137,0))</f>
        <v>RICE plant controller</v>
      </c>
      <c r="I153" s="25" t="s">
        <v>541</v>
      </c>
      <c r="J153" s="26" t="str">
        <f aca="false">INDEX('Cable Types'!$B$2:$B$41,MATCH(I153,'Cable Types'!$A$2:$A$41,0))</f>
        <v>0.6/1 kV 24C 1.5 mm2 Cu/PVC/SWA/PVC control</v>
      </c>
      <c r="K153" s="25" t="n">
        <v>1</v>
      </c>
      <c r="L153" s="25" t="s">
        <v>715</v>
      </c>
      <c r="M153" s="25" t="s">
        <v>638</v>
      </c>
      <c r="N153" s="25"/>
      <c r="O153" s="27" t="n">
        <f aca="false">IF(N153&lt;&gt;"",N153,IF(M153="D",ROUNDUP(SQRT((AH153-AE153)^2+(AI153-AF153)^2+(AJ153-AG153)^2)*(1+'Design Basis'!$C$6),0),ROUNDUP((ABS(AH153-AE153)+ABS(AI153-AF153)+ABS(AK153-AG153)+ABS(AK153-AJ153))*(1+'Design Basis'!$C$4)+2*'Design Basis'!$C$5,0)))</f>
        <v>19</v>
      </c>
      <c r="P153" s="27" t="n">
        <f aca="false">O153*K153*AM153</f>
        <v>19</v>
      </c>
      <c r="Q153" s="28"/>
      <c r="R153" s="25"/>
      <c r="S153" s="28"/>
      <c r="T153" s="29"/>
      <c r="U153" s="27" t="str">
        <f aca="false">IF(OR(S153="",Q153=""),"",IF(R153=3,S153*1000/(SQRT(3)*Q153*T153),S153*1000/(Q153*T153)))</f>
        <v/>
      </c>
      <c r="V153" s="27" t="str">
        <f aca="false">IF(OR(AO153="",AL153=""),"",AO153*AL153)</f>
        <v/>
      </c>
      <c r="W153" s="27" t="str">
        <f aca="false">IF(V153="","",V153*K153)</f>
        <v/>
      </c>
      <c r="X153" s="30" t="str">
        <f aca="false">IF(OR(U153="",W153=""),"",U153/W153)</f>
        <v/>
      </c>
      <c r="Y153" s="30" t="str">
        <f aca="false">IF(OR(U153="",AP153=""),"",AP153*(U153/K153)*O153/1000/Q153)</f>
        <v/>
      </c>
      <c r="Z153" s="30" t="str">
        <f aca="false">IF(U153="","",IFERROR(IF(INDEX('Design Basis'!$C$13:$C$21,MATCH(C153,'Design Basis'!$A$13:$A$21,0))="","",INDEX('Design Basis'!$C$13:$C$21,MATCH(C153,'Design Basis'!$A$13:$A$21,0))),""))</f>
        <v/>
      </c>
      <c r="AA153" s="31" t="str">
        <f aca="false">IF(U153="","n/a",IF(W153="","CHECK",IF(AND(X153&lt;=1,OR(Y153="",Z153="",Y153&lt;=Z153)),"OK","CHECK")))</f>
        <v>n/a</v>
      </c>
      <c r="AB153" s="27" t="n">
        <f aca="false">IF(AN153="","",K153*AM153*PI()/4*AN153^2)</f>
        <v>452.38934211693</v>
      </c>
      <c r="AC153" s="31" t="s">
        <v>937</v>
      </c>
      <c r="AE153" s="32" t="n">
        <f aca="false">INDEX(Equipment!$D$2:$D$137,MATCH(E153,Equipment!$A$2:$A$137,0))</f>
        <v>2.2</v>
      </c>
      <c r="AF153" s="32" t="n">
        <f aca="false">INDEX(Equipment!$E$2:$E$137,MATCH(E153,Equipment!$A$2:$A$137,0))</f>
        <v>100.85</v>
      </c>
      <c r="AG153" s="32" t="n">
        <f aca="false">INDEX(Equipment!$F$2:$F$137,MATCH(E153,Equipment!$A$2:$A$137,0))</f>
        <v>1.5</v>
      </c>
      <c r="AH153" s="32" t="n">
        <f aca="false">INDEX(Equipment!$D$2:$D$137,MATCH(G153,Equipment!$A$2:$A$137,0))</f>
        <v>8</v>
      </c>
      <c r="AI153" s="32" t="n">
        <f aca="false">INDEX(Equipment!$E$2:$E$137,MATCH(G153,Equipment!$A$2:$A$137,0))</f>
        <v>99</v>
      </c>
      <c r="AJ153" s="32" t="n">
        <f aca="false">INDEX(Equipment!$F$2:$F$137,MATCH(G153,Equipment!$A$2:$A$137,0))</f>
        <v>0.5</v>
      </c>
      <c r="AK153" s="32" t="n">
        <f aca="false">IF(INDEX(Raceways!$D$2:$D$18,MATCH(L153,Raceways!$A$2:$A$18,0))="",0,INDEX(Raceways!$D$2:$D$18,MATCH(L153,Raceways!$A$2:$A$18,0)))</f>
        <v>3</v>
      </c>
      <c r="AL153" s="33" t="n">
        <f aca="false">IF(INDEX(Raceways!$I$2:$I$18,MATCH(L153,Raceways!$A$2:$A$18,0))="","",INDEX(Raceways!$I$2:$I$18,MATCH(L153,Raceways!$A$2:$A$18,0)))</f>
        <v>0.8</v>
      </c>
      <c r="AM153" s="26" t="n">
        <f aca="false">INDEX('Cable Types'!$D$2:$D$41,MATCH(I153,'Cable Types'!$A$2:$A$41,0))</f>
        <v>1</v>
      </c>
      <c r="AN153" s="26" t="n">
        <f aca="false">IF(INDEX('Cable Types'!$E$2:$E$41,MATCH(I153,'Cable Types'!$A$2:$A$41,0))="","",INDEX('Cable Types'!$E$2:$E$41,MATCH(I153,'Cable Types'!$A$2:$A$41,0)))</f>
        <v>24</v>
      </c>
      <c r="AO153" s="26" t="str">
        <f aca="false">IF(INDEX('Cable Types'!$F$2:$F$41,MATCH(I153,'Cable Types'!$A$2:$A$41,0))="","",INDEX('Cable Types'!$F$2:$F$41,MATCH(I153,'Cable Types'!$A$2:$A$41,0)))</f>
        <v/>
      </c>
      <c r="AP153" s="33" t="str">
        <f aca="false">IF(INDEX('Cable Types'!$G$2:$G$41,MATCH(I153,'Cable Types'!$A$2:$A$41,0))="","",INDEX('Cable Types'!$G$2:$G$41,MATCH(I153,'Cable Types'!$A$2:$A$41,0)))</f>
        <v/>
      </c>
    </row>
    <row r="154" customFormat="false" ht="15" hidden="false" customHeight="false" outlineLevel="0" collapsed="false">
      <c r="A154" s="25" t="s">
        <v>952</v>
      </c>
      <c r="B154" s="25" t="s">
        <v>395</v>
      </c>
      <c r="C154" s="25" t="s">
        <v>77</v>
      </c>
      <c r="D154" s="25" t="s">
        <v>953</v>
      </c>
      <c r="E154" s="25" t="s">
        <v>429</v>
      </c>
      <c r="F154" s="26" t="str">
        <f aca="false">INDEX(Equipment!$B$2:$B$137,MATCH(E154,Equipment!$A$2:$A$137,0))</f>
        <v>Ultrasonic gas meter run A</v>
      </c>
      <c r="G154" s="25" t="s">
        <v>425</v>
      </c>
      <c r="H154" s="26" t="str">
        <f aca="false">INDEX(Equipment!$B$2:$B$137,MATCH(G154,Equipment!$A$2:$A$137,0))</f>
        <v>Fiscal gas flow computer / metering panel (shelter)</v>
      </c>
      <c r="I154" s="25" t="s">
        <v>547</v>
      </c>
      <c r="J154" s="26" t="str">
        <f aca="false">INDEX('Cable Types'!$B$2:$B$41,MATCH(I154,'Cable Types'!$A$2:$A$41,0))</f>
        <v>300/500 V 2 pair 1.5 mm2 IS/OS/SWA instrument (IS blue)</v>
      </c>
      <c r="K154" s="25" t="n">
        <v>1</v>
      </c>
      <c r="L154" s="25" t="s">
        <v>829</v>
      </c>
      <c r="M154" s="25" t="s">
        <v>638</v>
      </c>
      <c r="N154" s="25"/>
      <c r="O154" s="27" t="n">
        <f aca="false">IF(N154&lt;&gt;"",N154,IF(M154="D",ROUNDUP(SQRT((AH154-AE154)^2+(AI154-AF154)^2+(AJ154-AG154)^2)*(1+'Design Basis'!$C$6),0),ROUNDUP((ABS(AH154-AE154)+ABS(AI154-AF154)+ABS(AK154-AG154)+ABS(AK154-AJ154))*(1+'Design Basis'!$C$4)+2*'Design Basis'!$C$5,0)))</f>
        <v>37</v>
      </c>
      <c r="P154" s="27" t="n">
        <f aca="false">O154*K154*AM154</f>
        <v>37</v>
      </c>
      <c r="Q154" s="28"/>
      <c r="R154" s="25"/>
      <c r="S154" s="28"/>
      <c r="T154" s="29"/>
      <c r="U154" s="27" t="str">
        <f aca="false">IF(OR(S154="",Q154=""),"",IF(R154=3,S154*1000/(SQRT(3)*Q154*T154),S154*1000/(Q154*T154)))</f>
        <v/>
      </c>
      <c r="V154" s="27" t="str">
        <f aca="false">IF(OR(AO154="",AL154=""),"",AO154*AL154)</f>
        <v/>
      </c>
      <c r="W154" s="27" t="str">
        <f aca="false">IF(V154="","",V154*K154)</f>
        <v/>
      </c>
      <c r="X154" s="30" t="str">
        <f aca="false">IF(OR(U154="",W154=""),"",U154/W154)</f>
        <v/>
      </c>
      <c r="Y154" s="30" t="str">
        <f aca="false">IF(OR(U154="",AP154=""),"",AP154*(U154/K154)*O154/1000/Q154)</f>
        <v/>
      </c>
      <c r="Z154" s="30" t="str">
        <f aca="false">IF(U154="","",IFERROR(IF(INDEX('Design Basis'!$C$13:$C$21,MATCH(C154,'Design Basis'!$A$13:$A$21,0))="","",INDEX('Design Basis'!$C$13:$C$21,MATCH(C154,'Design Basis'!$A$13:$A$21,0))),""))</f>
        <v/>
      </c>
      <c r="AA154" s="31" t="str">
        <f aca="false">IF(U154="","n/a",IF(W154="","CHECK",IF(AND(X154&lt;=1,OR(Y154="",Z154="",Y154&lt;=Z154)),"OK","CHECK")))</f>
        <v>n/a</v>
      </c>
      <c r="AB154" s="27" t="n">
        <f aca="false">IF(AN154="","",K154*AM154*PI()/4*AN154^2)</f>
        <v>132.732289614169</v>
      </c>
      <c r="AC154" s="31" t="s">
        <v>954</v>
      </c>
      <c r="AE154" s="32" t="n">
        <f aca="false">INDEX(Equipment!$D$2:$D$137,MATCH(E154,Equipment!$A$2:$A$137,0))</f>
        <v>-7.25</v>
      </c>
      <c r="AF154" s="32" t="n">
        <f aca="false">INDEX(Equipment!$E$2:$E$137,MATCH(E154,Equipment!$A$2:$A$137,0))</f>
        <v>-3</v>
      </c>
      <c r="AG154" s="32" t="n">
        <f aca="false">INDEX(Equipment!$F$2:$F$137,MATCH(E154,Equipment!$A$2:$A$137,0))</f>
        <v>2.2</v>
      </c>
      <c r="AH154" s="32" t="n">
        <f aca="false">INDEX(Equipment!$D$2:$D$137,MATCH(G154,Equipment!$A$2:$A$137,0))</f>
        <v>-17</v>
      </c>
      <c r="AI154" s="32" t="n">
        <f aca="false">INDEX(Equipment!$E$2:$E$137,MATCH(G154,Equipment!$A$2:$A$137,0))</f>
        <v>12</v>
      </c>
      <c r="AJ154" s="32" t="n">
        <f aca="false">INDEX(Equipment!$F$2:$F$137,MATCH(G154,Equipment!$A$2:$A$137,0))</f>
        <v>0.5</v>
      </c>
      <c r="AK154" s="32" t="n">
        <f aca="false">IF(INDEX(Raceways!$D$2:$D$18,MATCH(L154,Raceways!$A$2:$A$18,0))="",0,INDEX(Raceways!$D$2:$D$18,MATCH(L154,Raceways!$A$2:$A$18,0)))</f>
        <v>3</v>
      </c>
      <c r="AL154" s="33" t="n">
        <f aca="false">IF(INDEX(Raceways!$I$2:$I$18,MATCH(L154,Raceways!$A$2:$A$18,0))="","",INDEX(Raceways!$I$2:$I$18,MATCH(L154,Raceways!$A$2:$A$18,0)))</f>
        <v>0.8</v>
      </c>
      <c r="AM154" s="26" t="n">
        <f aca="false">INDEX('Cable Types'!$D$2:$D$41,MATCH(I154,'Cable Types'!$A$2:$A$41,0))</f>
        <v>1</v>
      </c>
      <c r="AN154" s="26" t="n">
        <f aca="false">IF(INDEX('Cable Types'!$E$2:$E$41,MATCH(I154,'Cable Types'!$A$2:$A$41,0))="","",INDEX('Cable Types'!$E$2:$E$41,MATCH(I154,'Cable Types'!$A$2:$A$41,0)))</f>
        <v>13</v>
      </c>
      <c r="AO154" s="26" t="str">
        <f aca="false">IF(INDEX('Cable Types'!$F$2:$F$41,MATCH(I154,'Cable Types'!$A$2:$A$41,0))="","",INDEX('Cable Types'!$F$2:$F$41,MATCH(I154,'Cable Types'!$A$2:$A$41,0)))</f>
        <v/>
      </c>
      <c r="AP154" s="33" t="str">
        <f aca="false">IF(INDEX('Cable Types'!$G$2:$G$41,MATCH(I154,'Cable Types'!$A$2:$A$41,0))="","",INDEX('Cable Types'!$G$2:$G$41,MATCH(I154,'Cable Types'!$A$2:$A$41,0)))</f>
        <v/>
      </c>
    </row>
    <row r="155" customFormat="false" ht="15" hidden="false" customHeight="false" outlineLevel="0" collapsed="false">
      <c r="A155" s="25" t="s">
        <v>955</v>
      </c>
      <c r="B155" s="25" t="s">
        <v>395</v>
      </c>
      <c r="C155" s="25" t="s">
        <v>77</v>
      </c>
      <c r="D155" s="25" t="s">
        <v>956</v>
      </c>
      <c r="E155" s="25" t="s">
        <v>432</v>
      </c>
      <c r="F155" s="26" t="str">
        <f aca="false">INDEX(Equipment!$B$2:$B$137,MATCH(E155,Equipment!$A$2:$A$137,0))</f>
        <v>Ultrasonic gas meter run B</v>
      </c>
      <c r="G155" s="25" t="s">
        <v>425</v>
      </c>
      <c r="H155" s="26" t="str">
        <f aca="false">INDEX(Equipment!$B$2:$B$137,MATCH(G155,Equipment!$A$2:$A$137,0))</f>
        <v>Fiscal gas flow computer / metering panel (shelter)</v>
      </c>
      <c r="I155" s="25" t="s">
        <v>547</v>
      </c>
      <c r="J155" s="26" t="str">
        <f aca="false">INDEX('Cable Types'!$B$2:$B$41,MATCH(I155,'Cable Types'!$A$2:$A$41,0))</f>
        <v>300/500 V 2 pair 1.5 mm2 IS/OS/SWA instrument (IS blue)</v>
      </c>
      <c r="K155" s="25" t="n">
        <v>1</v>
      </c>
      <c r="L155" s="25" t="s">
        <v>829</v>
      </c>
      <c r="M155" s="25" t="s">
        <v>638</v>
      </c>
      <c r="N155" s="25"/>
      <c r="O155" s="27" t="n">
        <f aca="false">IF(N155&lt;&gt;"",N155,IF(M155="D",ROUNDUP(SQRT((AH155-AE155)^2+(AI155-AF155)^2+(AJ155-AG155)^2)*(1+'Design Basis'!$C$6),0),ROUNDUP((ABS(AH155-AE155)+ABS(AI155-AF155)+ABS(AK155-AG155)+ABS(AK155-AJ155))*(1+'Design Basis'!$C$4)+2*'Design Basis'!$C$5,0)))</f>
        <v>34</v>
      </c>
      <c r="P155" s="27" t="n">
        <f aca="false">O155*K155*AM155</f>
        <v>34</v>
      </c>
      <c r="Q155" s="28"/>
      <c r="R155" s="25"/>
      <c r="S155" s="28"/>
      <c r="T155" s="29"/>
      <c r="U155" s="27" t="str">
        <f aca="false">IF(OR(S155="",Q155=""),"",IF(R155=3,S155*1000/(SQRT(3)*Q155*T155),S155*1000/(Q155*T155)))</f>
        <v/>
      </c>
      <c r="V155" s="27" t="str">
        <f aca="false">IF(OR(AO155="",AL155=""),"",AO155*AL155)</f>
        <v/>
      </c>
      <c r="W155" s="27" t="str">
        <f aca="false">IF(V155="","",V155*K155)</f>
        <v/>
      </c>
      <c r="X155" s="30" t="str">
        <f aca="false">IF(OR(U155="",W155=""),"",U155/W155)</f>
        <v/>
      </c>
      <c r="Y155" s="30" t="str">
        <f aca="false">IF(OR(U155="",AP155=""),"",AP155*(U155/K155)*O155/1000/Q155)</f>
        <v/>
      </c>
      <c r="Z155" s="30" t="str">
        <f aca="false">IF(U155="","",IFERROR(IF(INDEX('Design Basis'!$C$13:$C$21,MATCH(C155,'Design Basis'!$A$13:$A$21,0))="","",INDEX('Design Basis'!$C$13:$C$21,MATCH(C155,'Design Basis'!$A$13:$A$21,0))),""))</f>
        <v/>
      </c>
      <c r="AA155" s="31" t="str">
        <f aca="false">IF(U155="","n/a",IF(W155="","CHECK",IF(AND(X155&lt;=1,OR(Y155="",Z155="",Y155&lt;=Z155)),"OK","CHECK")))</f>
        <v>n/a</v>
      </c>
      <c r="AB155" s="27" t="n">
        <f aca="false">IF(AN155="","",K155*AM155*PI()/4*AN155^2)</f>
        <v>132.732289614169</v>
      </c>
      <c r="AC155" s="31" t="s">
        <v>954</v>
      </c>
      <c r="AE155" s="32" t="n">
        <f aca="false">INDEX(Equipment!$D$2:$D$137,MATCH(E155,Equipment!$A$2:$A$137,0))</f>
        <v>-7.25</v>
      </c>
      <c r="AF155" s="32" t="n">
        <f aca="false">INDEX(Equipment!$E$2:$E$137,MATCH(E155,Equipment!$A$2:$A$137,0))</f>
        <v>0</v>
      </c>
      <c r="AG155" s="32" t="n">
        <f aca="false">INDEX(Equipment!$F$2:$F$137,MATCH(E155,Equipment!$A$2:$A$137,0))</f>
        <v>2.2</v>
      </c>
      <c r="AH155" s="32" t="n">
        <f aca="false">INDEX(Equipment!$D$2:$D$137,MATCH(G155,Equipment!$A$2:$A$137,0))</f>
        <v>-17</v>
      </c>
      <c r="AI155" s="32" t="n">
        <f aca="false">INDEX(Equipment!$E$2:$E$137,MATCH(G155,Equipment!$A$2:$A$137,0))</f>
        <v>12</v>
      </c>
      <c r="AJ155" s="32" t="n">
        <f aca="false">INDEX(Equipment!$F$2:$F$137,MATCH(G155,Equipment!$A$2:$A$137,0))</f>
        <v>0.5</v>
      </c>
      <c r="AK155" s="32" t="n">
        <f aca="false">IF(INDEX(Raceways!$D$2:$D$18,MATCH(L155,Raceways!$A$2:$A$18,0))="",0,INDEX(Raceways!$D$2:$D$18,MATCH(L155,Raceways!$A$2:$A$18,0)))</f>
        <v>3</v>
      </c>
      <c r="AL155" s="33" t="n">
        <f aca="false">IF(INDEX(Raceways!$I$2:$I$18,MATCH(L155,Raceways!$A$2:$A$18,0))="","",INDEX(Raceways!$I$2:$I$18,MATCH(L155,Raceways!$A$2:$A$18,0)))</f>
        <v>0.8</v>
      </c>
      <c r="AM155" s="26" t="n">
        <f aca="false">INDEX('Cable Types'!$D$2:$D$41,MATCH(I155,'Cable Types'!$A$2:$A$41,0))</f>
        <v>1</v>
      </c>
      <c r="AN155" s="26" t="n">
        <f aca="false">IF(INDEX('Cable Types'!$E$2:$E$41,MATCH(I155,'Cable Types'!$A$2:$A$41,0))="","",INDEX('Cable Types'!$E$2:$E$41,MATCH(I155,'Cable Types'!$A$2:$A$41,0)))</f>
        <v>13</v>
      </c>
      <c r="AO155" s="26" t="str">
        <f aca="false">IF(INDEX('Cable Types'!$F$2:$F$41,MATCH(I155,'Cable Types'!$A$2:$A$41,0))="","",INDEX('Cable Types'!$F$2:$F$41,MATCH(I155,'Cable Types'!$A$2:$A$41,0)))</f>
        <v/>
      </c>
      <c r="AP155" s="33" t="str">
        <f aca="false">IF(INDEX('Cable Types'!$G$2:$G$41,MATCH(I155,'Cable Types'!$A$2:$A$41,0))="","",INDEX('Cable Types'!$G$2:$G$41,MATCH(I155,'Cable Types'!$A$2:$A$41,0)))</f>
        <v/>
      </c>
    </row>
    <row r="156" customFormat="false" ht="15" hidden="false" customHeight="false" outlineLevel="0" collapsed="false">
      <c r="A156" s="25" t="s">
        <v>957</v>
      </c>
      <c r="B156" s="25" t="s">
        <v>395</v>
      </c>
      <c r="C156" s="25" t="s">
        <v>77</v>
      </c>
      <c r="D156" s="25" t="s">
        <v>958</v>
      </c>
      <c r="E156" s="25" t="s">
        <v>435</v>
      </c>
      <c r="F156" s="26" t="str">
        <f aca="false">INDEX(Equipment!$B$2:$B$137,MATCH(E156,Equipment!$A$2:$A$137,0))</f>
        <v>Ultrasonic gas meter run C (spare / check)</v>
      </c>
      <c r="G156" s="25" t="s">
        <v>425</v>
      </c>
      <c r="H156" s="26" t="str">
        <f aca="false">INDEX(Equipment!$B$2:$B$137,MATCH(G156,Equipment!$A$2:$A$137,0))</f>
        <v>Fiscal gas flow computer / metering panel (shelter)</v>
      </c>
      <c r="I156" s="25" t="s">
        <v>547</v>
      </c>
      <c r="J156" s="26" t="str">
        <f aca="false">INDEX('Cable Types'!$B$2:$B$41,MATCH(I156,'Cable Types'!$A$2:$A$41,0))</f>
        <v>300/500 V 2 pair 1.5 mm2 IS/OS/SWA instrument (IS blue)</v>
      </c>
      <c r="K156" s="25" t="n">
        <v>1</v>
      </c>
      <c r="L156" s="25" t="s">
        <v>829</v>
      </c>
      <c r="M156" s="25" t="s">
        <v>638</v>
      </c>
      <c r="N156" s="25"/>
      <c r="O156" s="27" t="n">
        <f aca="false">IF(N156&lt;&gt;"",N156,IF(M156="D",ROUNDUP(SQRT((AH156-AE156)^2+(AI156-AF156)^2+(AJ156-AG156)^2)*(1+'Design Basis'!$C$6),0),ROUNDUP((ABS(AH156-AE156)+ABS(AI156-AF156)+ABS(AK156-AG156)+ABS(AK156-AJ156))*(1+'Design Basis'!$C$4)+2*'Design Basis'!$C$5,0)))</f>
        <v>31</v>
      </c>
      <c r="P156" s="27" t="n">
        <f aca="false">O156*K156*AM156</f>
        <v>31</v>
      </c>
      <c r="Q156" s="28"/>
      <c r="R156" s="25"/>
      <c r="S156" s="28"/>
      <c r="T156" s="29"/>
      <c r="U156" s="27" t="str">
        <f aca="false">IF(OR(S156="",Q156=""),"",IF(R156=3,S156*1000/(SQRT(3)*Q156*T156),S156*1000/(Q156*T156)))</f>
        <v/>
      </c>
      <c r="V156" s="27" t="str">
        <f aca="false">IF(OR(AO156="",AL156=""),"",AO156*AL156)</f>
        <v/>
      </c>
      <c r="W156" s="27" t="str">
        <f aca="false">IF(V156="","",V156*K156)</f>
        <v/>
      </c>
      <c r="X156" s="30" t="str">
        <f aca="false">IF(OR(U156="",W156=""),"",U156/W156)</f>
        <v/>
      </c>
      <c r="Y156" s="30" t="str">
        <f aca="false">IF(OR(U156="",AP156=""),"",AP156*(U156/K156)*O156/1000/Q156)</f>
        <v/>
      </c>
      <c r="Z156" s="30" t="str">
        <f aca="false">IF(U156="","",IFERROR(IF(INDEX('Design Basis'!$C$13:$C$21,MATCH(C156,'Design Basis'!$A$13:$A$21,0))="","",INDEX('Design Basis'!$C$13:$C$21,MATCH(C156,'Design Basis'!$A$13:$A$21,0))),""))</f>
        <v/>
      </c>
      <c r="AA156" s="31" t="str">
        <f aca="false">IF(U156="","n/a",IF(W156="","CHECK",IF(AND(X156&lt;=1,OR(Y156="",Z156="",Y156&lt;=Z156)),"OK","CHECK")))</f>
        <v>n/a</v>
      </c>
      <c r="AB156" s="27" t="n">
        <f aca="false">IF(AN156="","",K156*AM156*PI()/4*AN156^2)</f>
        <v>132.732289614169</v>
      </c>
      <c r="AC156" s="31" t="s">
        <v>954</v>
      </c>
      <c r="AE156" s="32" t="n">
        <f aca="false">INDEX(Equipment!$D$2:$D$137,MATCH(E156,Equipment!$A$2:$A$137,0))</f>
        <v>-7.25</v>
      </c>
      <c r="AF156" s="32" t="n">
        <f aca="false">INDEX(Equipment!$E$2:$E$137,MATCH(E156,Equipment!$A$2:$A$137,0))</f>
        <v>3</v>
      </c>
      <c r="AG156" s="32" t="n">
        <f aca="false">INDEX(Equipment!$F$2:$F$137,MATCH(E156,Equipment!$A$2:$A$137,0))</f>
        <v>2.2</v>
      </c>
      <c r="AH156" s="32" t="n">
        <f aca="false">INDEX(Equipment!$D$2:$D$137,MATCH(G156,Equipment!$A$2:$A$137,0))</f>
        <v>-17</v>
      </c>
      <c r="AI156" s="32" t="n">
        <f aca="false">INDEX(Equipment!$E$2:$E$137,MATCH(G156,Equipment!$A$2:$A$137,0))</f>
        <v>12</v>
      </c>
      <c r="AJ156" s="32" t="n">
        <f aca="false">INDEX(Equipment!$F$2:$F$137,MATCH(G156,Equipment!$A$2:$A$137,0))</f>
        <v>0.5</v>
      </c>
      <c r="AK156" s="32" t="n">
        <f aca="false">IF(INDEX(Raceways!$D$2:$D$18,MATCH(L156,Raceways!$A$2:$A$18,0))="",0,INDEX(Raceways!$D$2:$D$18,MATCH(L156,Raceways!$A$2:$A$18,0)))</f>
        <v>3</v>
      </c>
      <c r="AL156" s="33" t="n">
        <f aca="false">IF(INDEX(Raceways!$I$2:$I$18,MATCH(L156,Raceways!$A$2:$A$18,0))="","",INDEX(Raceways!$I$2:$I$18,MATCH(L156,Raceways!$A$2:$A$18,0)))</f>
        <v>0.8</v>
      </c>
      <c r="AM156" s="26" t="n">
        <f aca="false">INDEX('Cable Types'!$D$2:$D$41,MATCH(I156,'Cable Types'!$A$2:$A$41,0))</f>
        <v>1</v>
      </c>
      <c r="AN156" s="26" t="n">
        <f aca="false">IF(INDEX('Cable Types'!$E$2:$E$41,MATCH(I156,'Cable Types'!$A$2:$A$41,0))="","",INDEX('Cable Types'!$E$2:$E$41,MATCH(I156,'Cable Types'!$A$2:$A$41,0)))</f>
        <v>13</v>
      </c>
      <c r="AO156" s="26" t="str">
        <f aca="false">IF(INDEX('Cable Types'!$F$2:$F$41,MATCH(I156,'Cable Types'!$A$2:$A$41,0))="","",INDEX('Cable Types'!$F$2:$F$41,MATCH(I156,'Cable Types'!$A$2:$A$41,0)))</f>
        <v/>
      </c>
      <c r="AP156" s="33" t="str">
        <f aca="false">IF(INDEX('Cable Types'!$G$2:$G$41,MATCH(I156,'Cable Types'!$A$2:$A$41,0))="","",INDEX('Cable Types'!$G$2:$G$41,MATCH(I156,'Cable Types'!$A$2:$A$41,0)))</f>
        <v/>
      </c>
    </row>
    <row r="157" customFormat="false" ht="15" hidden="false" customHeight="false" outlineLevel="0" collapsed="false">
      <c r="A157" s="25" t="s">
        <v>959</v>
      </c>
      <c r="B157" s="25" t="s">
        <v>395</v>
      </c>
      <c r="C157" s="25" t="s">
        <v>77</v>
      </c>
      <c r="D157" s="25" t="s">
        <v>960</v>
      </c>
      <c r="E157" s="25" t="s">
        <v>427</v>
      </c>
      <c r="F157" s="26" t="str">
        <f aca="false">INDEX(Equipment!$B$2:$B$137,MATCH(E157,Equipment!$A$2:$A$137,0))</f>
        <v>Gas chromatograph (shelter)</v>
      </c>
      <c r="G157" s="25" t="s">
        <v>425</v>
      </c>
      <c r="H157" s="26" t="str">
        <f aca="false">INDEX(Equipment!$B$2:$B$137,MATCH(G157,Equipment!$A$2:$A$137,0))</f>
        <v>Fiscal gas flow computer / metering panel (shelter)</v>
      </c>
      <c r="I157" s="25" t="s">
        <v>555</v>
      </c>
      <c r="J157" s="26" t="str">
        <f aca="false">INDEX('Cable Types'!$B$2:$B$41,MATCH(I157,'Cable Types'!$A$2:$A$41,0))</f>
        <v>RS-485 1 pair 0.5 mm2 120 ohm screened/SWA</v>
      </c>
      <c r="K157" s="25" t="n">
        <v>1</v>
      </c>
      <c r="L157" s="25" t="s">
        <v>649</v>
      </c>
      <c r="M157" s="25" t="s">
        <v>638</v>
      </c>
      <c r="N157" s="25"/>
      <c r="O157" s="27" t="n">
        <f aca="false">IF(N157&lt;&gt;"",N157,IF(M157="D",ROUNDUP(SQRT((AH157-AE157)^2+(AI157-AF157)^2+(AJ157-AG157)^2)*(1+'Design Basis'!$C$6),0),ROUNDUP((ABS(AH157-AE157)+ABS(AI157-AF157)+ABS(AK157-AG157)+ABS(AK157-AJ157))*(1+'Design Basis'!$C$4)+2*'Design Basis'!$C$5,0)))</f>
        <v>13</v>
      </c>
      <c r="P157" s="27" t="n">
        <f aca="false">O157*K157*AM157</f>
        <v>13</v>
      </c>
      <c r="Q157" s="28"/>
      <c r="R157" s="25"/>
      <c r="S157" s="28"/>
      <c r="T157" s="29"/>
      <c r="U157" s="27" t="str">
        <f aca="false">IF(OR(S157="",Q157=""),"",IF(R157=3,S157*1000/(SQRT(3)*Q157*T157),S157*1000/(Q157*T157)))</f>
        <v/>
      </c>
      <c r="V157" s="27" t="str">
        <f aca="false">IF(OR(AO157="",AL157=""),"",AO157*AL157)</f>
        <v/>
      </c>
      <c r="W157" s="27" t="str">
        <f aca="false">IF(V157="","",V157*K157)</f>
        <v/>
      </c>
      <c r="X157" s="30" t="str">
        <f aca="false">IF(OR(U157="",W157=""),"",U157/W157)</f>
        <v/>
      </c>
      <c r="Y157" s="30" t="str">
        <f aca="false">IF(OR(U157="",AP157=""),"",AP157*(U157/K157)*O157/1000/Q157)</f>
        <v/>
      </c>
      <c r="Z157" s="30" t="str">
        <f aca="false">IF(U157="","",IFERROR(IF(INDEX('Design Basis'!$C$13:$C$21,MATCH(C157,'Design Basis'!$A$13:$A$21,0))="","",INDEX('Design Basis'!$C$13:$C$21,MATCH(C157,'Design Basis'!$A$13:$A$21,0))),""))</f>
        <v/>
      </c>
      <c r="AA157" s="31" t="str">
        <f aca="false">IF(U157="","n/a",IF(W157="","CHECK",IF(AND(X157&lt;=1,OR(Y157="",Z157="",Y157&lt;=Z157)),"OK","CHECK")))</f>
        <v>n/a</v>
      </c>
      <c r="AB157" s="27" t="n">
        <f aca="false">IF(AN157="","",K157*AM157*PI()/4*AN157^2)</f>
        <v>63.6172512351933</v>
      </c>
      <c r="AC157" s="31"/>
      <c r="AE157" s="32" t="n">
        <f aca="false">INDEX(Equipment!$D$2:$D$137,MATCH(E157,Equipment!$A$2:$A$137,0))</f>
        <v>-22</v>
      </c>
      <c r="AF157" s="32" t="n">
        <f aca="false">INDEX(Equipment!$E$2:$E$137,MATCH(E157,Equipment!$A$2:$A$137,0))</f>
        <v>12</v>
      </c>
      <c r="AG157" s="32" t="n">
        <f aca="false">INDEX(Equipment!$F$2:$F$137,MATCH(E157,Equipment!$A$2:$A$137,0))</f>
        <v>0.5</v>
      </c>
      <c r="AH157" s="32" t="n">
        <f aca="false">INDEX(Equipment!$D$2:$D$137,MATCH(G157,Equipment!$A$2:$A$137,0))</f>
        <v>-17</v>
      </c>
      <c r="AI157" s="32" t="n">
        <f aca="false">INDEX(Equipment!$E$2:$E$137,MATCH(G157,Equipment!$A$2:$A$137,0))</f>
        <v>12</v>
      </c>
      <c r="AJ157" s="32" t="n">
        <f aca="false">INDEX(Equipment!$F$2:$F$137,MATCH(G157,Equipment!$A$2:$A$137,0))</f>
        <v>0.5</v>
      </c>
      <c r="AK157" s="32" t="n">
        <f aca="false">IF(INDEX(Raceways!$D$2:$D$18,MATCH(L157,Raceways!$A$2:$A$18,0))="",0,INDEX(Raceways!$D$2:$D$18,MATCH(L157,Raceways!$A$2:$A$18,0)))</f>
        <v>1</v>
      </c>
      <c r="AL157" s="33" t="n">
        <f aca="false">IF(INDEX(Raceways!$I$2:$I$18,MATCH(L157,Raceways!$A$2:$A$18,0))="","",INDEX(Raceways!$I$2:$I$18,MATCH(L157,Raceways!$A$2:$A$18,0)))</f>
        <v>0.8</v>
      </c>
      <c r="AM157" s="26" t="n">
        <f aca="false">INDEX('Cable Types'!$D$2:$D$41,MATCH(I157,'Cable Types'!$A$2:$A$41,0))</f>
        <v>1</v>
      </c>
      <c r="AN157" s="26" t="n">
        <f aca="false">IF(INDEX('Cable Types'!$E$2:$E$41,MATCH(I157,'Cable Types'!$A$2:$A$41,0))="","",INDEX('Cable Types'!$E$2:$E$41,MATCH(I157,'Cable Types'!$A$2:$A$41,0)))</f>
        <v>9</v>
      </c>
      <c r="AO157" s="26" t="str">
        <f aca="false">IF(INDEX('Cable Types'!$F$2:$F$41,MATCH(I157,'Cable Types'!$A$2:$A$41,0))="","",INDEX('Cable Types'!$F$2:$F$41,MATCH(I157,'Cable Types'!$A$2:$A$41,0)))</f>
        <v/>
      </c>
      <c r="AP157" s="33" t="str">
        <f aca="false">IF(INDEX('Cable Types'!$G$2:$G$41,MATCH(I157,'Cable Types'!$A$2:$A$41,0))="","",INDEX('Cable Types'!$G$2:$G$41,MATCH(I157,'Cable Types'!$A$2:$A$41,0)))</f>
        <v/>
      </c>
    </row>
    <row r="158" customFormat="false" ht="15" hidden="false" customHeight="false" outlineLevel="0" collapsed="false">
      <c r="A158" s="25" t="s">
        <v>961</v>
      </c>
      <c r="B158" s="25" t="s">
        <v>395</v>
      </c>
      <c r="C158" s="25" t="s">
        <v>77</v>
      </c>
      <c r="D158" s="25" t="s">
        <v>962</v>
      </c>
      <c r="E158" s="25" t="s">
        <v>425</v>
      </c>
      <c r="F158" s="26" t="str">
        <f aca="false">INDEX(Equipment!$B$2:$B$137,MATCH(E158,Equipment!$A$2:$A$137,0))</f>
        <v>Fiscal gas flow computer / metering panel (shelter)</v>
      </c>
      <c r="G158" s="25" t="s">
        <v>422</v>
      </c>
      <c r="H158" s="26" t="str">
        <f aca="false">INDEX(Equipment!$B$2:$B$137,MATCH(G158,Equipment!$A$2:$A$137,0))</f>
        <v>DCS remote I/O cabinet - gas station (shelter)</v>
      </c>
      <c r="I158" s="25" t="s">
        <v>555</v>
      </c>
      <c r="J158" s="26" t="str">
        <f aca="false">INDEX('Cable Types'!$B$2:$B$41,MATCH(I158,'Cable Types'!$A$2:$A$41,0))</f>
        <v>RS-485 1 pair 0.5 mm2 120 ohm screened/SWA</v>
      </c>
      <c r="K158" s="25" t="n">
        <v>1</v>
      </c>
      <c r="L158" s="25" t="s">
        <v>649</v>
      </c>
      <c r="M158" s="25" t="s">
        <v>638</v>
      </c>
      <c r="N158" s="25"/>
      <c r="O158" s="27" t="n">
        <f aca="false">IF(N158&lt;&gt;"",N158,IF(M158="D",ROUNDUP(SQRT((AH158-AE158)^2+(AI158-AF158)^2+(AJ158-AG158)^2)*(1+'Design Basis'!$C$6),0),ROUNDUP((ABS(AH158-AE158)+ABS(AI158-AF158)+ABS(AK158-AG158)+ABS(AK158-AJ158))*(1+'Design Basis'!$C$4)+2*'Design Basis'!$C$5,0)))</f>
        <v>9</v>
      </c>
      <c r="P158" s="27" t="n">
        <f aca="false">O158*K158*AM158</f>
        <v>9</v>
      </c>
      <c r="Q158" s="28"/>
      <c r="R158" s="25"/>
      <c r="S158" s="28"/>
      <c r="T158" s="29"/>
      <c r="U158" s="27" t="str">
        <f aca="false">IF(OR(S158="",Q158=""),"",IF(R158=3,S158*1000/(SQRT(3)*Q158*T158),S158*1000/(Q158*T158)))</f>
        <v/>
      </c>
      <c r="V158" s="27" t="str">
        <f aca="false">IF(OR(AO158="",AL158=""),"",AO158*AL158)</f>
        <v/>
      </c>
      <c r="W158" s="27" t="str">
        <f aca="false">IF(V158="","",V158*K158)</f>
        <v/>
      </c>
      <c r="X158" s="30" t="str">
        <f aca="false">IF(OR(U158="",W158=""),"",U158/W158)</f>
        <v/>
      </c>
      <c r="Y158" s="30" t="str">
        <f aca="false">IF(OR(U158="",AP158=""),"",AP158*(U158/K158)*O158/1000/Q158)</f>
        <v/>
      </c>
      <c r="Z158" s="30" t="str">
        <f aca="false">IF(U158="","",IFERROR(IF(INDEX('Design Basis'!$C$13:$C$21,MATCH(C158,'Design Basis'!$A$13:$A$21,0))="","",INDEX('Design Basis'!$C$13:$C$21,MATCH(C158,'Design Basis'!$A$13:$A$21,0))),""))</f>
        <v/>
      </c>
      <c r="AA158" s="31" t="str">
        <f aca="false">IF(U158="","n/a",IF(W158="","CHECK",IF(AND(X158&lt;=1,OR(Y158="",Z158="",Y158&lt;=Z158)),"OK","CHECK")))</f>
        <v>n/a</v>
      </c>
      <c r="AB158" s="27" t="n">
        <f aca="false">IF(AN158="","",K158*AM158*PI()/4*AN158^2)</f>
        <v>63.6172512351933</v>
      </c>
      <c r="AC158" s="31"/>
      <c r="AE158" s="32" t="n">
        <f aca="false">INDEX(Equipment!$D$2:$D$137,MATCH(E158,Equipment!$A$2:$A$137,0))</f>
        <v>-17</v>
      </c>
      <c r="AF158" s="32" t="n">
        <f aca="false">INDEX(Equipment!$E$2:$E$137,MATCH(E158,Equipment!$A$2:$A$137,0))</f>
        <v>12</v>
      </c>
      <c r="AG158" s="32" t="n">
        <f aca="false">INDEX(Equipment!$F$2:$F$137,MATCH(E158,Equipment!$A$2:$A$137,0))</f>
        <v>0.5</v>
      </c>
      <c r="AH158" s="32" t="n">
        <f aca="false">INDEX(Equipment!$D$2:$D$137,MATCH(G158,Equipment!$A$2:$A$137,0))</f>
        <v>-18</v>
      </c>
      <c r="AI158" s="32" t="n">
        <f aca="false">INDEX(Equipment!$E$2:$E$137,MATCH(G158,Equipment!$A$2:$A$137,0))</f>
        <v>12</v>
      </c>
      <c r="AJ158" s="32" t="n">
        <f aca="false">INDEX(Equipment!$F$2:$F$137,MATCH(G158,Equipment!$A$2:$A$137,0))</f>
        <v>0.5</v>
      </c>
      <c r="AK158" s="32" t="n">
        <f aca="false">IF(INDEX(Raceways!$D$2:$D$18,MATCH(L158,Raceways!$A$2:$A$18,0))="",0,INDEX(Raceways!$D$2:$D$18,MATCH(L158,Raceways!$A$2:$A$18,0)))</f>
        <v>1</v>
      </c>
      <c r="AL158" s="33" t="n">
        <f aca="false">IF(INDEX(Raceways!$I$2:$I$18,MATCH(L158,Raceways!$A$2:$A$18,0))="","",INDEX(Raceways!$I$2:$I$18,MATCH(L158,Raceways!$A$2:$A$18,0)))</f>
        <v>0.8</v>
      </c>
      <c r="AM158" s="26" t="n">
        <f aca="false">INDEX('Cable Types'!$D$2:$D$41,MATCH(I158,'Cable Types'!$A$2:$A$41,0))</f>
        <v>1</v>
      </c>
      <c r="AN158" s="26" t="n">
        <f aca="false">IF(INDEX('Cable Types'!$E$2:$E$41,MATCH(I158,'Cable Types'!$A$2:$A$41,0))="","",INDEX('Cable Types'!$E$2:$E$41,MATCH(I158,'Cable Types'!$A$2:$A$41,0)))</f>
        <v>9</v>
      </c>
      <c r="AO158" s="26" t="str">
        <f aca="false">IF(INDEX('Cable Types'!$F$2:$F$41,MATCH(I158,'Cable Types'!$A$2:$A$41,0))="","",INDEX('Cable Types'!$F$2:$F$41,MATCH(I158,'Cable Types'!$A$2:$A$41,0)))</f>
        <v/>
      </c>
      <c r="AP158" s="33" t="str">
        <f aca="false">IF(INDEX('Cable Types'!$G$2:$G$41,MATCH(I158,'Cable Types'!$A$2:$A$41,0))="","",INDEX('Cable Types'!$G$2:$G$41,MATCH(I158,'Cable Types'!$A$2:$A$41,0)))</f>
        <v/>
      </c>
    </row>
    <row r="159" customFormat="false" ht="15" hidden="false" customHeight="false" outlineLevel="0" collapsed="false">
      <c r="A159" s="25" t="s">
        <v>963</v>
      </c>
      <c r="B159" s="25" t="s">
        <v>395</v>
      </c>
      <c r="C159" s="25" t="s">
        <v>77</v>
      </c>
      <c r="D159" s="25" t="s">
        <v>964</v>
      </c>
      <c r="E159" s="25" t="s">
        <v>444</v>
      </c>
      <c r="F159" s="26" t="str">
        <f aca="false">INDEX(Equipment!$B$2:$B$137,MATCH(E159,Equipment!$A$2:$A$137,0))</f>
        <v>Gas station instrument junction box</v>
      </c>
      <c r="G159" s="25" t="s">
        <v>422</v>
      </c>
      <c r="H159" s="26" t="str">
        <f aca="false">INDEX(Equipment!$B$2:$B$137,MATCH(G159,Equipment!$A$2:$A$137,0))</f>
        <v>DCS remote I/O cabinet - gas station (shelter)</v>
      </c>
      <c r="I159" s="25" t="s">
        <v>551</v>
      </c>
      <c r="J159" s="26" t="str">
        <f aca="false">INDEX('Cable Types'!$B$2:$B$41,MATCH(I159,'Cable Types'!$A$2:$A$41,0))</f>
        <v>300/500 V 24 pair 1.0 mm2 IS/OS/SWA instrument</v>
      </c>
      <c r="K159" s="25" t="n">
        <v>1</v>
      </c>
      <c r="L159" s="25" t="s">
        <v>829</v>
      </c>
      <c r="M159" s="25" t="s">
        <v>638</v>
      </c>
      <c r="N159" s="25"/>
      <c r="O159" s="27" t="n">
        <f aca="false">IF(N159&lt;&gt;"",N159,IF(M159="D",ROUNDUP(SQRT((AH159-AE159)^2+(AI159-AF159)^2+(AJ159-AG159)^2)*(1+'Design Basis'!$C$6),0),ROUNDUP((ABS(AH159-AE159)+ABS(AI159-AF159)+ABS(AK159-AG159)+ABS(AK159-AJ159))*(1+'Design Basis'!$C$4)+2*'Design Basis'!$C$5,0)))</f>
        <v>25</v>
      </c>
      <c r="P159" s="27" t="n">
        <f aca="false">O159*K159*AM159</f>
        <v>25</v>
      </c>
      <c r="Q159" s="28"/>
      <c r="R159" s="25"/>
      <c r="S159" s="28"/>
      <c r="T159" s="29"/>
      <c r="U159" s="27" t="str">
        <f aca="false">IF(OR(S159="",Q159=""),"",IF(R159=3,S159*1000/(SQRT(3)*Q159*T159),S159*1000/(Q159*T159)))</f>
        <v/>
      </c>
      <c r="V159" s="27" t="str">
        <f aca="false">IF(OR(AO159="",AL159=""),"",AO159*AL159)</f>
        <v/>
      </c>
      <c r="W159" s="27" t="str">
        <f aca="false">IF(V159="","",V159*K159)</f>
        <v/>
      </c>
      <c r="X159" s="30" t="str">
        <f aca="false">IF(OR(U159="",W159=""),"",U159/W159)</f>
        <v/>
      </c>
      <c r="Y159" s="30" t="str">
        <f aca="false">IF(OR(U159="",AP159=""),"",AP159*(U159/K159)*O159/1000/Q159)</f>
        <v/>
      </c>
      <c r="Z159" s="30" t="str">
        <f aca="false">IF(U159="","",IFERROR(IF(INDEX('Design Basis'!$C$13:$C$21,MATCH(C159,'Design Basis'!$A$13:$A$21,0))="","",INDEX('Design Basis'!$C$13:$C$21,MATCH(C159,'Design Basis'!$A$13:$A$21,0))),""))</f>
        <v/>
      </c>
      <c r="AA159" s="31" t="str">
        <f aca="false">IF(U159="","n/a",IF(W159="","CHECK",IF(AND(X159&lt;=1,OR(Y159="",Z159="",Y159&lt;=Z159)),"OK","CHECK")))</f>
        <v>n/a</v>
      </c>
      <c r="AB159" s="27" t="n">
        <f aca="false">IF(AN159="","",K159*AM159*PI()/4*AN159^2)</f>
        <v>804.247719318987</v>
      </c>
      <c r="AC159" s="31" t="s">
        <v>965</v>
      </c>
      <c r="AE159" s="32" t="n">
        <f aca="false">INDEX(Equipment!$D$2:$D$137,MATCH(E159,Equipment!$A$2:$A$137,0))</f>
        <v>-10</v>
      </c>
      <c r="AF159" s="32" t="n">
        <f aca="false">INDEX(Equipment!$E$2:$E$137,MATCH(E159,Equipment!$A$2:$A$137,0))</f>
        <v>8</v>
      </c>
      <c r="AG159" s="32" t="n">
        <f aca="false">INDEX(Equipment!$F$2:$F$137,MATCH(E159,Equipment!$A$2:$A$137,0))</f>
        <v>0.5</v>
      </c>
      <c r="AH159" s="32" t="n">
        <f aca="false">INDEX(Equipment!$D$2:$D$137,MATCH(G159,Equipment!$A$2:$A$137,0))</f>
        <v>-18</v>
      </c>
      <c r="AI159" s="32" t="n">
        <f aca="false">INDEX(Equipment!$E$2:$E$137,MATCH(G159,Equipment!$A$2:$A$137,0))</f>
        <v>12</v>
      </c>
      <c r="AJ159" s="32" t="n">
        <f aca="false">INDEX(Equipment!$F$2:$F$137,MATCH(G159,Equipment!$A$2:$A$137,0))</f>
        <v>0.5</v>
      </c>
      <c r="AK159" s="32" t="n">
        <f aca="false">IF(INDEX(Raceways!$D$2:$D$18,MATCH(L159,Raceways!$A$2:$A$18,0))="",0,INDEX(Raceways!$D$2:$D$18,MATCH(L159,Raceways!$A$2:$A$18,0)))</f>
        <v>3</v>
      </c>
      <c r="AL159" s="33" t="n">
        <f aca="false">IF(INDEX(Raceways!$I$2:$I$18,MATCH(L159,Raceways!$A$2:$A$18,0))="","",INDEX(Raceways!$I$2:$I$18,MATCH(L159,Raceways!$A$2:$A$18,0)))</f>
        <v>0.8</v>
      </c>
      <c r="AM159" s="26" t="n">
        <f aca="false">INDEX('Cable Types'!$D$2:$D$41,MATCH(I159,'Cable Types'!$A$2:$A$41,0))</f>
        <v>1</v>
      </c>
      <c r="AN159" s="26" t="n">
        <f aca="false">IF(INDEX('Cable Types'!$E$2:$E$41,MATCH(I159,'Cable Types'!$A$2:$A$41,0))="","",INDEX('Cable Types'!$E$2:$E$41,MATCH(I159,'Cable Types'!$A$2:$A$41,0)))</f>
        <v>32</v>
      </c>
      <c r="AO159" s="26" t="str">
        <f aca="false">IF(INDEX('Cable Types'!$F$2:$F$41,MATCH(I159,'Cable Types'!$A$2:$A$41,0))="","",INDEX('Cable Types'!$F$2:$F$41,MATCH(I159,'Cable Types'!$A$2:$A$41,0)))</f>
        <v/>
      </c>
      <c r="AP159" s="33" t="str">
        <f aca="false">IF(INDEX('Cable Types'!$G$2:$G$41,MATCH(I159,'Cable Types'!$A$2:$A$41,0))="","",INDEX('Cable Types'!$G$2:$G$41,MATCH(I159,'Cable Types'!$A$2:$A$41,0)))</f>
        <v/>
      </c>
    </row>
    <row r="160" customFormat="false" ht="15" hidden="false" customHeight="false" outlineLevel="0" collapsed="false">
      <c r="A160" s="25" t="s">
        <v>966</v>
      </c>
      <c r="B160" s="25" t="s">
        <v>395</v>
      </c>
      <c r="C160" s="25" t="s">
        <v>77</v>
      </c>
      <c r="D160" s="25" t="s">
        <v>967</v>
      </c>
      <c r="E160" s="25" t="s">
        <v>438</v>
      </c>
      <c r="F160" s="26" t="str">
        <f aca="false">INDEX(Equipment!$B$2:$B$137,MATCH(E160,Equipment!$A$2:$A$137,0))</f>
        <v>Pressure reducing / regulating valve skid</v>
      </c>
      <c r="G160" s="25" t="s">
        <v>444</v>
      </c>
      <c r="H160" s="26" t="str">
        <f aca="false">INDEX(Equipment!$B$2:$B$137,MATCH(G160,Equipment!$A$2:$A$137,0))</f>
        <v>Gas station instrument junction box</v>
      </c>
      <c r="I160" s="25" t="s">
        <v>545</v>
      </c>
      <c r="J160" s="26" t="str">
        <f aca="false">INDEX('Cable Types'!$B$2:$B$41,MATCH(I160,'Cable Types'!$A$2:$A$41,0))</f>
        <v>300/500 V 1 pair 1.5 mm2 OS/SWA instrument (IS blue)</v>
      </c>
      <c r="K160" s="25" t="n">
        <v>2</v>
      </c>
      <c r="L160" s="25" t="s">
        <v>829</v>
      </c>
      <c r="M160" s="25" t="s">
        <v>638</v>
      </c>
      <c r="N160" s="25"/>
      <c r="O160" s="27" t="n">
        <f aca="false">IF(N160&lt;&gt;"",N160,IF(M160="D",ROUNDUP(SQRT((AH160-AE160)^2+(AI160-AF160)^2+(AJ160-AG160)^2)*(1+'Design Basis'!$C$6),0),ROUNDUP((ABS(AH160-AE160)+ABS(AI160-AF160)+ABS(AK160-AG160)+ABS(AK160-AJ160))*(1+'Design Basis'!$C$4)+2*'Design Basis'!$C$5,0)))</f>
        <v>30</v>
      </c>
      <c r="P160" s="27" t="n">
        <f aca="false">O160*K160*AM160</f>
        <v>60</v>
      </c>
      <c r="Q160" s="28"/>
      <c r="R160" s="25"/>
      <c r="S160" s="28"/>
      <c r="T160" s="29"/>
      <c r="U160" s="27" t="str">
        <f aca="false">IF(OR(S160="",Q160=""),"",IF(R160=3,S160*1000/(SQRT(3)*Q160*T160),S160*1000/(Q160*T160)))</f>
        <v/>
      </c>
      <c r="V160" s="27" t="str">
        <f aca="false">IF(OR(AO160="",AL160=""),"",AO160*AL160)</f>
        <v/>
      </c>
      <c r="W160" s="27" t="str">
        <f aca="false">IF(V160="","",V160*K160)</f>
        <v/>
      </c>
      <c r="X160" s="30" t="str">
        <f aca="false">IF(OR(U160="",W160=""),"",U160/W160)</f>
        <v/>
      </c>
      <c r="Y160" s="30" t="str">
        <f aca="false">IF(OR(U160="",AP160=""),"",AP160*(U160/K160)*O160/1000/Q160)</f>
        <v/>
      </c>
      <c r="Z160" s="30" t="str">
        <f aca="false">IF(U160="","",IFERROR(IF(INDEX('Design Basis'!$C$13:$C$21,MATCH(C160,'Design Basis'!$A$13:$A$21,0))="","",INDEX('Design Basis'!$C$13:$C$21,MATCH(C160,'Design Basis'!$A$13:$A$21,0))),""))</f>
        <v/>
      </c>
      <c r="AA160" s="31" t="str">
        <f aca="false">IF(U160="","n/a",IF(W160="","CHECK",IF(AND(X160&lt;=1,OR(Y160="",Z160="",Y160&lt;=Z160)),"OK","CHECK")))</f>
        <v>n/a</v>
      </c>
      <c r="AB160" s="27" t="n">
        <f aca="false">IF(AN160="","",K160*AM160*PI()/4*AN160^2)</f>
        <v>157.07963267949</v>
      </c>
      <c r="AC160" s="31" t="s">
        <v>965</v>
      </c>
      <c r="AE160" s="32" t="n">
        <f aca="false">INDEX(Equipment!$D$2:$D$137,MATCH(E160,Equipment!$A$2:$A$137,0))</f>
        <v>1.5</v>
      </c>
      <c r="AF160" s="32" t="n">
        <f aca="false">INDEX(Equipment!$E$2:$E$137,MATCH(E160,Equipment!$A$2:$A$137,0))</f>
        <v>1.5</v>
      </c>
      <c r="AG160" s="32" t="n">
        <f aca="false">INDEX(Equipment!$F$2:$F$137,MATCH(E160,Equipment!$A$2:$A$137,0))</f>
        <v>2.5</v>
      </c>
      <c r="AH160" s="32" t="n">
        <f aca="false">INDEX(Equipment!$D$2:$D$137,MATCH(G160,Equipment!$A$2:$A$137,0))</f>
        <v>-10</v>
      </c>
      <c r="AI160" s="32" t="n">
        <f aca="false">INDEX(Equipment!$E$2:$E$137,MATCH(G160,Equipment!$A$2:$A$137,0))</f>
        <v>8</v>
      </c>
      <c r="AJ160" s="32" t="n">
        <f aca="false">INDEX(Equipment!$F$2:$F$137,MATCH(G160,Equipment!$A$2:$A$137,0))</f>
        <v>0.5</v>
      </c>
      <c r="AK160" s="32" t="n">
        <f aca="false">IF(INDEX(Raceways!$D$2:$D$18,MATCH(L160,Raceways!$A$2:$A$18,0))="",0,INDEX(Raceways!$D$2:$D$18,MATCH(L160,Raceways!$A$2:$A$18,0)))</f>
        <v>3</v>
      </c>
      <c r="AL160" s="33" t="n">
        <f aca="false">IF(INDEX(Raceways!$I$2:$I$18,MATCH(L160,Raceways!$A$2:$A$18,0))="","",INDEX(Raceways!$I$2:$I$18,MATCH(L160,Raceways!$A$2:$A$18,0)))</f>
        <v>0.8</v>
      </c>
      <c r="AM160" s="26" t="n">
        <f aca="false">INDEX('Cable Types'!$D$2:$D$41,MATCH(I160,'Cable Types'!$A$2:$A$41,0))</f>
        <v>1</v>
      </c>
      <c r="AN160" s="26" t="n">
        <f aca="false">IF(INDEX('Cable Types'!$E$2:$E$41,MATCH(I160,'Cable Types'!$A$2:$A$41,0))="","",INDEX('Cable Types'!$E$2:$E$41,MATCH(I160,'Cable Types'!$A$2:$A$41,0)))</f>
        <v>10</v>
      </c>
      <c r="AO160" s="26" t="str">
        <f aca="false">IF(INDEX('Cable Types'!$F$2:$F$41,MATCH(I160,'Cable Types'!$A$2:$A$41,0))="","",INDEX('Cable Types'!$F$2:$F$41,MATCH(I160,'Cable Types'!$A$2:$A$41,0)))</f>
        <v/>
      </c>
      <c r="AP160" s="33" t="str">
        <f aca="false">IF(INDEX('Cable Types'!$G$2:$G$41,MATCH(I160,'Cable Types'!$A$2:$A$41,0))="","",INDEX('Cable Types'!$G$2:$G$41,MATCH(I160,'Cable Types'!$A$2:$A$41,0)))</f>
        <v/>
      </c>
    </row>
    <row r="161" customFormat="false" ht="15" hidden="false" customHeight="false" outlineLevel="0" collapsed="false">
      <c r="A161" s="25" t="s">
        <v>968</v>
      </c>
      <c r="B161" s="25" t="s">
        <v>395</v>
      </c>
      <c r="C161" s="25" t="s">
        <v>77</v>
      </c>
      <c r="D161" s="25" t="s">
        <v>969</v>
      </c>
      <c r="E161" s="25" t="s">
        <v>402</v>
      </c>
      <c r="F161" s="26" t="str">
        <f aca="false">INDEX(Equipment!$B$2:$B$137,MATCH(E161,Equipment!$A$2:$A$137,0))</f>
        <v>LNG tank level / temperature gauging head</v>
      </c>
      <c r="G161" s="25" t="s">
        <v>422</v>
      </c>
      <c r="H161" s="26" t="str">
        <f aca="false">INDEX(Equipment!$B$2:$B$137,MATCH(G161,Equipment!$A$2:$A$137,0))</f>
        <v>DCS remote I/O cabinet - gas station (shelter)</v>
      </c>
      <c r="I161" s="25" t="s">
        <v>549</v>
      </c>
      <c r="J161" s="26" t="str">
        <f aca="false">INDEX('Cable Types'!$B$2:$B$41,MATCH(I161,'Cable Types'!$A$2:$A$41,0))</f>
        <v>300/500 V 12 pair 1.0 mm2 IS/OS/SWA instrument</v>
      </c>
      <c r="K161" s="25" t="n">
        <v>1</v>
      </c>
      <c r="L161" s="25" t="s">
        <v>829</v>
      </c>
      <c r="M161" s="25" t="s">
        <v>638</v>
      </c>
      <c r="N161" s="25"/>
      <c r="O161" s="27" t="n">
        <f aca="false">IF(N161&lt;&gt;"",N161,IF(M161="D",ROUNDUP(SQRT((AH161-AE161)^2+(AI161-AF161)^2+(AJ161-AG161)^2)*(1+'Design Basis'!$C$6),0),ROUNDUP((ABS(AH161-AE161)+ABS(AI161-AF161)+ABS(AK161-AG161)+ABS(AK161-AJ161))*(1+'Design Basis'!$C$4)+2*'Design Basis'!$C$5,0)))</f>
        <v>98</v>
      </c>
      <c r="P161" s="27" t="n">
        <f aca="false">O161*K161*AM161</f>
        <v>98</v>
      </c>
      <c r="Q161" s="28"/>
      <c r="R161" s="25"/>
      <c r="S161" s="28"/>
      <c r="T161" s="29"/>
      <c r="U161" s="27" t="str">
        <f aca="false">IF(OR(S161="",Q161=""),"",IF(R161=3,S161*1000/(SQRT(3)*Q161*T161),S161*1000/(Q161*T161)))</f>
        <v/>
      </c>
      <c r="V161" s="27" t="str">
        <f aca="false">IF(OR(AO161="",AL161=""),"",AO161*AL161)</f>
        <v/>
      </c>
      <c r="W161" s="27" t="str">
        <f aca="false">IF(V161="","",V161*K161)</f>
        <v/>
      </c>
      <c r="X161" s="30" t="str">
        <f aca="false">IF(OR(U161="",W161=""),"",U161/W161)</f>
        <v/>
      </c>
      <c r="Y161" s="30" t="str">
        <f aca="false">IF(OR(U161="",AP161=""),"",AP161*(U161/K161)*O161/1000/Q161)</f>
        <v/>
      </c>
      <c r="Z161" s="30" t="str">
        <f aca="false">IF(U161="","",IFERROR(IF(INDEX('Design Basis'!$C$13:$C$21,MATCH(C161,'Design Basis'!$A$13:$A$21,0))="","",INDEX('Design Basis'!$C$13:$C$21,MATCH(C161,'Design Basis'!$A$13:$A$21,0))),""))</f>
        <v/>
      </c>
      <c r="AA161" s="31" t="str">
        <f aca="false">IF(U161="","n/a",IF(W161="","CHECK",IF(AND(X161&lt;=1,OR(Y161="",Z161="",Y161&lt;=Z161)),"OK","CHECK")))</f>
        <v>n/a</v>
      </c>
      <c r="AB161" s="27" t="n">
        <f aca="false">IF(AN161="","",K161*AM161*PI()/4*AN161^2)</f>
        <v>530.929158456675</v>
      </c>
      <c r="AC161" s="31"/>
      <c r="AE161" s="32" t="n">
        <f aca="false">INDEX(Equipment!$D$2:$D$137,MATCH(E161,Equipment!$A$2:$A$137,0))</f>
        <v>-60</v>
      </c>
      <c r="AF161" s="32" t="n">
        <f aca="false">INDEX(Equipment!$E$2:$E$137,MATCH(E161,Equipment!$A$2:$A$137,0))</f>
        <v>-6</v>
      </c>
      <c r="AG161" s="32" t="n">
        <f aca="false">INDEX(Equipment!$F$2:$F$137,MATCH(E161,Equipment!$A$2:$A$137,0))</f>
        <v>24</v>
      </c>
      <c r="AH161" s="32" t="n">
        <f aca="false">INDEX(Equipment!$D$2:$D$137,MATCH(G161,Equipment!$A$2:$A$137,0))</f>
        <v>-18</v>
      </c>
      <c r="AI161" s="32" t="n">
        <f aca="false">INDEX(Equipment!$E$2:$E$137,MATCH(G161,Equipment!$A$2:$A$137,0))</f>
        <v>12</v>
      </c>
      <c r="AJ161" s="32" t="n">
        <f aca="false">INDEX(Equipment!$F$2:$F$137,MATCH(G161,Equipment!$A$2:$A$137,0))</f>
        <v>0.5</v>
      </c>
      <c r="AK161" s="32" t="n">
        <f aca="false">IF(INDEX(Raceways!$D$2:$D$18,MATCH(L161,Raceways!$A$2:$A$18,0))="",0,INDEX(Raceways!$D$2:$D$18,MATCH(L161,Raceways!$A$2:$A$18,0)))</f>
        <v>3</v>
      </c>
      <c r="AL161" s="33" t="n">
        <f aca="false">IF(INDEX(Raceways!$I$2:$I$18,MATCH(L161,Raceways!$A$2:$A$18,0))="","",INDEX(Raceways!$I$2:$I$18,MATCH(L161,Raceways!$A$2:$A$18,0)))</f>
        <v>0.8</v>
      </c>
      <c r="AM161" s="26" t="n">
        <f aca="false">INDEX('Cable Types'!$D$2:$D$41,MATCH(I161,'Cable Types'!$A$2:$A$41,0))</f>
        <v>1</v>
      </c>
      <c r="AN161" s="26" t="n">
        <f aca="false">IF(INDEX('Cable Types'!$E$2:$E$41,MATCH(I161,'Cable Types'!$A$2:$A$41,0))="","",INDEX('Cable Types'!$E$2:$E$41,MATCH(I161,'Cable Types'!$A$2:$A$41,0)))</f>
        <v>26</v>
      </c>
      <c r="AO161" s="26" t="str">
        <f aca="false">IF(INDEX('Cable Types'!$F$2:$F$41,MATCH(I161,'Cable Types'!$A$2:$A$41,0))="","",INDEX('Cable Types'!$F$2:$F$41,MATCH(I161,'Cable Types'!$A$2:$A$41,0)))</f>
        <v/>
      </c>
      <c r="AP161" s="33" t="str">
        <f aca="false">IF(INDEX('Cable Types'!$G$2:$G$41,MATCH(I161,'Cable Types'!$A$2:$A$41,0))="","",INDEX('Cable Types'!$G$2:$G$41,MATCH(I161,'Cable Types'!$A$2:$A$41,0)))</f>
        <v/>
      </c>
    </row>
    <row r="162" customFormat="false" ht="15" hidden="false" customHeight="false" outlineLevel="0" collapsed="false">
      <c r="A162" s="25" t="s">
        <v>970</v>
      </c>
      <c r="B162" s="25" t="s">
        <v>395</v>
      </c>
      <c r="C162" s="25" t="s">
        <v>77</v>
      </c>
      <c r="D162" s="25" t="s">
        <v>971</v>
      </c>
      <c r="E162" s="25" t="s">
        <v>408</v>
      </c>
      <c r="F162" s="26" t="str">
        <f aca="false">INDEX(Equipment!$B$2:$B$137,MATCH(E162,Equipment!$A$2:$A$137,0))</f>
        <v>LNG area instrument junction box</v>
      </c>
      <c r="G162" s="25" t="s">
        <v>422</v>
      </c>
      <c r="H162" s="26" t="str">
        <f aca="false">INDEX(Equipment!$B$2:$B$137,MATCH(G162,Equipment!$A$2:$A$137,0))</f>
        <v>DCS remote I/O cabinet - gas station (shelter)</v>
      </c>
      <c r="I162" s="25" t="s">
        <v>551</v>
      </c>
      <c r="J162" s="26" t="str">
        <f aca="false">INDEX('Cable Types'!$B$2:$B$41,MATCH(I162,'Cable Types'!$A$2:$A$41,0))</f>
        <v>300/500 V 24 pair 1.0 mm2 IS/OS/SWA instrument</v>
      </c>
      <c r="K162" s="25" t="n">
        <v>1</v>
      </c>
      <c r="L162" s="25" t="s">
        <v>829</v>
      </c>
      <c r="M162" s="25" t="s">
        <v>638</v>
      </c>
      <c r="N162" s="25"/>
      <c r="O162" s="27" t="n">
        <f aca="false">IF(N162&lt;&gt;"",N162,IF(M162="D",ROUNDUP(SQRT((AH162-AE162)^2+(AI162-AF162)^2+(AJ162-AG162)^2)*(1+'Design Basis'!$C$6),0),ROUNDUP((ABS(AH162-AE162)+ABS(AI162-AF162)+ABS(AK162-AG162)+ABS(AK162-AJ162))*(1+'Design Basis'!$C$4)+2*'Design Basis'!$C$5,0)))</f>
        <v>45</v>
      </c>
      <c r="P162" s="27" t="n">
        <f aca="false">O162*K162*AM162</f>
        <v>45</v>
      </c>
      <c r="Q162" s="28"/>
      <c r="R162" s="25"/>
      <c r="S162" s="28"/>
      <c r="T162" s="29"/>
      <c r="U162" s="27" t="str">
        <f aca="false">IF(OR(S162="",Q162=""),"",IF(R162=3,S162*1000/(SQRT(3)*Q162*T162),S162*1000/(Q162*T162)))</f>
        <v/>
      </c>
      <c r="V162" s="27" t="str">
        <f aca="false">IF(OR(AO162="",AL162=""),"",AO162*AL162)</f>
        <v/>
      </c>
      <c r="W162" s="27" t="str">
        <f aca="false">IF(V162="","",V162*K162)</f>
        <v/>
      </c>
      <c r="X162" s="30" t="str">
        <f aca="false">IF(OR(U162="",W162=""),"",U162/W162)</f>
        <v/>
      </c>
      <c r="Y162" s="30" t="str">
        <f aca="false">IF(OR(U162="",AP162=""),"",AP162*(U162/K162)*O162/1000/Q162)</f>
        <v/>
      </c>
      <c r="Z162" s="30" t="str">
        <f aca="false">IF(U162="","",IFERROR(IF(INDEX('Design Basis'!$C$13:$C$21,MATCH(C162,'Design Basis'!$A$13:$A$21,0))="","",INDEX('Design Basis'!$C$13:$C$21,MATCH(C162,'Design Basis'!$A$13:$A$21,0))),""))</f>
        <v/>
      </c>
      <c r="AA162" s="31" t="str">
        <f aca="false">IF(U162="","n/a",IF(W162="","CHECK",IF(AND(X162&lt;=1,OR(Y162="",Z162="",Y162&lt;=Z162)),"OK","CHECK")))</f>
        <v>n/a</v>
      </c>
      <c r="AB162" s="27" t="n">
        <f aca="false">IF(AN162="","",K162*AM162*PI()/4*AN162^2)</f>
        <v>804.247719318987</v>
      </c>
      <c r="AC162" s="31" t="s">
        <v>965</v>
      </c>
      <c r="AE162" s="32" t="n">
        <f aca="false">INDEX(Equipment!$D$2:$D$137,MATCH(E162,Equipment!$A$2:$A$137,0))</f>
        <v>-44</v>
      </c>
      <c r="AF162" s="32" t="n">
        <f aca="false">INDEX(Equipment!$E$2:$E$137,MATCH(E162,Equipment!$A$2:$A$137,0))</f>
        <v>8</v>
      </c>
      <c r="AG162" s="32" t="n">
        <f aca="false">INDEX(Equipment!$F$2:$F$137,MATCH(E162,Equipment!$A$2:$A$137,0))</f>
        <v>0.5</v>
      </c>
      <c r="AH162" s="32" t="n">
        <f aca="false">INDEX(Equipment!$D$2:$D$137,MATCH(G162,Equipment!$A$2:$A$137,0))</f>
        <v>-18</v>
      </c>
      <c r="AI162" s="32" t="n">
        <f aca="false">INDEX(Equipment!$E$2:$E$137,MATCH(G162,Equipment!$A$2:$A$137,0))</f>
        <v>12</v>
      </c>
      <c r="AJ162" s="32" t="n">
        <f aca="false">INDEX(Equipment!$F$2:$F$137,MATCH(G162,Equipment!$A$2:$A$137,0))</f>
        <v>0.5</v>
      </c>
      <c r="AK162" s="32" t="n">
        <f aca="false">IF(INDEX(Raceways!$D$2:$D$18,MATCH(L162,Raceways!$A$2:$A$18,0))="",0,INDEX(Raceways!$D$2:$D$18,MATCH(L162,Raceways!$A$2:$A$18,0)))</f>
        <v>3</v>
      </c>
      <c r="AL162" s="33" t="n">
        <f aca="false">IF(INDEX(Raceways!$I$2:$I$18,MATCH(L162,Raceways!$A$2:$A$18,0))="","",INDEX(Raceways!$I$2:$I$18,MATCH(L162,Raceways!$A$2:$A$18,0)))</f>
        <v>0.8</v>
      </c>
      <c r="AM162" s="26" t="n">
        <f aca="false">INDEX('Cable Types'!$D$2:$D$41,MATCH(I162,'Cable Types'!$A$2:$A$41,0))</f>
        <v>1</v>
      </c>
      <c r="AN162" s="26" t="n">
        <f aca="false">IF(INDEX('Cable Types'!$E$2:$E$41,MATCH(I162,'Cable Types'!$A$2:$A$41,0))="","",INDEX('Cable Types'!$E$2:$E$41,MATCH(I162,'Cable Types'!$A$2:$A$41,0)))</f>
        <v>32</v>
      </c>
      <c r="AO162" s="26" t="str">
        <f aca="false">IF(INDEX('Cable Types'!$F$2:$F$41,MATCH(I162,'Cable Types'!$A$2:$A$41,0))="","",INDEX('Cable Types'!$F$2:$F$41,MATCH(I162,'Cable Types'!$A$2:$A$41,0)))</f>
        <v/>
      </c>
      <c r="AP162" s="33" t="str">
        <f aca="false">IF(INDEX('Cable Types'!$G$2:$G$41,MATCH(I162,'Cable Types'!$A$2:$A$41,0))="","",INDEX('Cable Types'!$G$2:$G$41,MATCH(I162,'Cable Types'!$A$2:$A$41,0)))</f>
        <v/>
      </c>
    </row>
    <row r="163" customFormat="false" ht="15" hidden="false" customHeight="false" outlineLevel="0" collapsed="false">
      <c r="A163" s="25" t="s">
        <v>972</v>
      </c>
      <c r="B163" s="25" t="s">
        <v>133</v>
      </c>
      <c r="C163" s="25" t="s">
        <v>77</v>
      </c>
      <c r="D163" s="25" t="s">
        <v>973</v>
      </c>
      <c r="E163" s="25" t="s">
        <v>180</v>
      </c>
      <c r="F163" s="26" t="str">
        <f aca="false">INDEX(Equipment!$B$2:$B$137,MATCH(E163,Equipment!$A$2:$A$137,0))</f>
        <v>GT exhaust thermocouple junction box</v>
      </c>
      <c r="G163" s="25" t="s">
        <v>164</v>
      </c>
      <c r="H163" s="26" t="str">
        <f aca="false">INDEX(Equipment!$B$2:$B$137,MATCH(G163,Equipment!$A$2:$A$137,0))</f>
        <v>GT control panel (in PEECC)</v>
      </c>
      <c r="I163" s="25" t="s">
        <v>553</v>
      </c>
      <c r="J163" s="26" t="str">
        <f aca="false">INDEX('Cable Types'!$B$2:$B$41,MATCH(I163,'Cable Types'!$A$2:$A$41,0))</f>
        <v>Type K thermocouple extension 12 pair IS/OS/SWA</v>
      </c>
      <c r="K163" s="25" t="n">
        <v>2</v>
      </c>
      <c r="L163" s="25" t="s">
        <v>665</v>
      </c>
      <c r="M163" s="25" t="s">
        <v>638</v>
      </c>
      <c r="N163" s="25"/>
      <c r="O163" s="27" t="n">
        <f aca="false">IF(N163&lt;&gt;"",N163,IF(M163="D",ROUNDUP(SQRT((AH163-AE163)^2+(AI163-AF163)^2+(AJ163-AG163)^2)*(1+'Design Basis'!$C$6),0),ROUNDUP((ABS(AH163-AE163)+ABS(AI163-AF163)+ABS(AK163-AG163)+ABS(AK163-AJ163))*(1+'Design Basis'!$C$4)+2*'Design Basis'!$C$5,0)))</f>
        <v>50</v>
      </c>
      <c r="P163" s="27" t="n">
        <f aca="false">O163*K163*AM163</f>
        <v>100</v>
      </c>
      <c r="Q163" s="28"/>
      <c r="R163" s="25"/>
      <c r="S163" s="28"/>
      <c r="T163" s="29"/>
      <c r="U163" s="27" t="str">
        <f aca="false">IF(OR(S163="",Q163=""),"",IF(R163=3,S163*1000/(SQRT(3)*Q163*T163),S163*1000/(Q163*T163)))</f>
        <v/>
      </c>
      <c r="V163" s="27" t="str">
        <f aca="false">IF(OR(AO163="",AL163=""),"",AO163*AL163)</f>
        <v/>
      </c>
      <c r="W163" s="27" t="str">
        <f aca="false">IF(V163="","",V163*K163)</f>
        <v/>
      </c>
      <c r="X163" s="30" t="str">
        <f aca="false">IF(OR(U163="",W163=""),"",U163/W163)</f>
        <v/>
      </c>
      <c r="Y163" s="30" t="str">
        <f aca="false">IF(OR(U163="",AP163=""),"",AP163*(U163/K163)*O163/1000/Q163)</f>
        <v/>
      </c>
      <c r="Z163" s="30" t="str">
        <f aca="false">IF(U163="","",IFERROR(IF(INDEX('Design Basis'!$C$13:$C$21,MATCH(C163,'Design Basis'!$A$13:$A$21,0))="","",INDEX('Design Basis'!$C$13:$C$21,MATCH(C163,'Design Basis'!$A$13:$A$21,0))),""))</f>
        <v/>
      </c>
      <c r="AA163" s="31" t="str">
        <f aca="false">IF(U163="","n/a",IF(W163="","CHECK",IF(AND(X163&lt;=1,OR(Y163="",Z163="",Y163&lt;=Z163)),"OK","CHECK")))</f>
        <v>n/a</v>
      </c>
      <c r="AB163" s="27" t="n">
        <f aca="false">IF(AN163="","",K163*AM163*PI()/4*AN163^2)</f>
        <v>904.77868423386</v>
      </c>
      <c r="AC163" s="31"/>
      <c r="AE163" s="32" t="n">
        <f aca="false">INDEX(Equipment!$D$2:$D$137,MATCH(E163,Equipment!$A$2:$A$137,0))</f>
        <v>72</v>
      </c>
      <c r="AF163" s="32" t="n">
        <f aca="false">INDEX(Equipment!$E$2:$E$137,MATCH(E163,Equipment!$A$2:$A$137,0))</f>
        <v>2</v>
      </c>
      <c r="AG163" s="32" t="n">
        <f aca="false">INDEX(Equipment!$F$2:$F$137,MATCH(E163,Equipment!$A$2:$A$137,0))</f>
        <v>6</v>
      </c>
      <c r="AH163" s="32" t="n">
        <f aca="false">INDEX(Equipment!$D$2:$D$137,MATCH(G163,Equipment!$A$2:$A$137,0))</f>
        <v>46</v>
      </c>
      <c r="AI163" s="32" t="n">
        <f aca="false">INDEX(Equipment!$E$2:$E$137,MATCH(G163,Equipment!$A$2:$A$137,0))</f>
        <v>-6</v>
      </c>
      <c r="AJ163" s="32" t="n">
        <f aca="false">INDEX(Equipment!$F$2:$F$137,MATCH(G163,Equipment!$A$2:$A$137,0))</f>
        <v>0.5</v>
      </c>
      <c r="AK163" s="32" t="n">
        <f aca="false">IF(INDEX(Raceways!$D$2:$D$18,MATCH(L163,Raceways!$A$2:$A$18,0))="",0,INDEX(Raceways!$D$2:$D$18,MATCH(L163,Raceways!$A$2:$A$18,0)))</f>
        <v>5</v>
      </c>
      <c r="AL163" s="33" t="n">
        <f aca="false">IF(INDEX(Raceways!$I$2:$I$18,MATCH(L163,Raceways!$A$2:$A$18,0))="","",INDEX(Raceways!$I$2:$I$18,MATCH(L163,Raceways!$A$2:$A$18,0)))</f>
        <v>0.8</v>
      </c>
      <c r="AM163" s="26" t="n">
        <f aca="false">INDEX('Cable Types'!$D$2:$D$41,MATCH(I163,'Cable Types'!$A$2:$A$41,0))</f>
        <v>1</v>
      </c>
      <c r="AN163" s="26" t="n">
        <f aca="false">IF(INDEX('Cable Types'!$E$2:$E$41,MATCH(I163,'Cable Types'!$A$2:$A$41,0))="","",INDEX('Cable Types'!$E$2:$E$41,MATCH(I163,'Cable Types'!$A$2:$A$41,0)))</f>
        <v>24</v>
      </c>
      <c r="AO163" s="26" t="str">
        <f aca="false">IF(INDEX('Cable Types'!$F$2:$F$41,MATCH(I163,'Cable Types'!$A$2:$A$41,0))="","",INDEX('Cable Types'!$F$2:$F$41,MATCH(I163,'Cable Types'!$A$2:$A$41,0)))</f>
        <v/>
      </c>
      <c r="AP163" s="33" t="str">
        <f aca="false">IF(INDEX('Cable Types'!$G$2:$G$41,MATCH(I163,'Cable Types'!$A$2:$A$41,0))="","",INDEX('Cable Types'!$G$2:$G$41,MATCH(I163,'Cable Types'!$A$2:$A$41,0)))</f>
        <v/>
      </c>
    </row>
    <row r="164" customFormat="false" ht="15" hidden="false" customHeight="false" outlineLevel="0" collapsed="false">
      <c r="A164" s="25" t="s">
        <v>974</v>
      </c>
      <c r="B164" s="25" t="s">
        <v>133</v>
      </c>
      <c r="C164" s="25" t="s">
        <v>77</v>
      </c>
      <c r="D164" s="25" t="s">
        <v>975</v>
      </c>
      <c r="E164" s="25" t="s">
        <v>195</v>
      </c>
      <c r="F164" s="26" t="str">
        <f aca="false">INDEX(Equipment!$B$2:$B$137,MATCH(E164,Equipment!$A$2:$A$137,0))</f>
        <v>HRSG drum platform instrument junction box</v>
      </c>
      <c r="G164" s="25" t="s">
        <v>223</v>
      </c>
      <c r="H164" s="26" t="str">
        <f aca="false">INDEX(Equipment!$B$2:$B$137,MATCH(G164,Equipment!$A$2:$A$137,0))</f>
        <v>DCS remote I/O cabinet - power block</v>
      </c>
      <c r="I164" s="25" t="s">
        <v>551</v>
      </c>
      <c r="J164" s="26" t="str">
        <f aca="false">INDEX('Cable Types'!$B$2:$B$41,MATCH(I164,'Cable Types'!$A$2:$A$41,0))</f>
        <v>300/500 V 24 pair 1.0 mm2 IS/OS/SWA instrument</v>
      </c>
      <c r="K164" s="25" t="n">
        <v>2</v>
      </c>
      <c r="L164" s="25" t="s">
        <v>665</v>
      </c>
      <c r="M164" s="25" t="s">
        <v>638</v>
      </c>
      <c r="N164" s="25"/>
      <c r="O164" s="27" t="n">
        <f aca="false">IF(N164&lt;&gt;"",N164,IF(M164="D",ROUNDUP(SQRT((AH164-AE164)^2+(AI164-AF164)^2+(AJ164-AG164)^2)*(1+'Design Basis'!$C$6),0),ROUNDUP((ABS(AH164-AE164)+ABS(AI164-AF164)+ABS(AK164-AG164)+ABS(AK164-AJ164))*(1+'Design Basis'!$C$4)+2*'Design Basis'!$C$5,0)))</f>
        <v>102</v>
      </c>
      <c r="P164" s="27" t="n">
        <f aca="false">O164*K164*AM164</f>
        <v>204</v>
      </c>
      <c r="Q164" s="28"/>
      <c r="R164" s="25"/>
      <c r="S164" s="28"/>
      <c r="T164" s="29"/>
      <c r="U164" s="27" t="str">
        <f aca="false">IF(OR(S164="",Q164=""),"",IF(R164=3,S164*1000/(SQRT(3)*Q164*T164),S164*1000/(Q164*T164)))</f>
        <v/>
      </c>
      <c r="V164" s="27" t="str">
        <f aca="false">IF(OR(AO164="",AL164=""),"",AO164*AL164)</f>
        <v/>
      </c>
      <c r="W164" s="27" t="str">
        <f aca="false">IF(V164="","",V164*K164)</f>
        <v/>
      </c>
      <c r="X164" s="30" t="str">
        <f aca="false">IF(OR(U164="",W164=""),"",U164/W164)</f>
        <v/>
      </c>
      <c r="Y164" s="30" t="str">
        <f aca="false">IF(OR(U164="",AP164=""),"",AP164*(U164/K164)*O164/1000/Q164)</f>
        <v/>
      </c>
      <c r="Z164" s="30" t="str">
        <f aca="false">IF(U164="","",IFERROR(IF(INDEX('Design Basis'!$C$13:$C$21,MATCH(C164,'Design Basis'!$A$13:$A$21,0))="","",INDEX('Design Basis'!$C$13:$C$21,MATCH(C164,'Design Basis'!$A$13:$A$21,0))),""))</f>
        <v/>
      </c>
      <c r="AA164" s="31" t="str">
        <f aca="false">IF(U164="","n/a",IF(W164="","CHECK",IF(AND(X164&lt;=1,OR(Y164="",Z164="",Y164&lt;=Z164)),"OK","CHECK")))</f>
        <v>n/a</v>
      </c>
      <c r="AB164" s="27" t="n">
        <f aca="false">IF(AN164="","",K164*AM164*PI()/4*AN164^2)</f>
        <v>1608.49543863797</v>
      </c>
      <c r="AC164" s="31"/>
      <c r="AE164" s="32" t="n">
        <f aca="false">INDEX(Equipment!$D$2:$D$137,MATCH(E164,Equipment!$A$2:$A$137,0))</f>
        <v>97</v>
      </c>
      <c r="AF164" s="32" t="n">
        <f aca="false">INDEX(Equipment!$E$2:$E$137,MATCH(E164,Equipment!$A$2:$A$137,0))</f>
        <v>-6</v>
      </c>
      <c r="AG164" s="32" t="n">
        <f aca="false">INDEX(Equipment!$F$2:$F$137,MATCH(E164,Equipment!$A$2:$A$137,0))</f>
        <v>30</v>
      </c>
      <c r="AH164" s="32" t="n">
        <f aca="false">INDEX(Equipment!$D$2:$D$137,MATCH(G164,Equipment!$A$2:$A$137,0))</f>
        <v>68</v>
      </c>
      <c r="AI164" s="32" t="n">
        <f aca="false">INDEX(Equipment!$E$2:$E$137,MATCH(G164,Equipment!$A$2:$A$137,0))</f>
        <v>22</v>
      </c>
      <c r="AJ164" s="32" t="n">
        <f aca="false">INDEX(Equipment!$F$2:$F$137,MATCH(G164,Equipment!$A$2:$A$137,0))</f>
        <v>0.5</v>
      </c>
      <c r="AK164" s="32" t="n">
        <f aca="false">IF(INDEX(Raceways!$D$2:$D$18,MATCH(L164,Raceways!$A$2:$A$18,0))="",0,INDEX(Raceways!$D$2:$D$18,MATCH(L164,Raceways!$A$2:$A$18,0)))</f>
        <v>5</v>
      </c>
      <c r="AL164" s="33" t="n">
        <f aca="false">IF(INDEX(Raceways!$I$2:$I$18,MATCH(L164,Raceways!$A$2:$A$18,0))="","",INDEX(Raceways!$I$2:$I$18,MATCH(L164,Raceways!$A$2:$A$18,0)))</f>
        <v>0.8</v>
      </c>
      <c r="AM164" s="26" t="n">
        <f aca="false">INDEX('Cable Types'!$D$2:$D$41,MATCH(I164,'Cable Types'!$A$2:$A$41,0))</f>
        <v>1</v>
      </c>
      <c r="AN164" s="26" t="n">
        <f aca="false">IF(INDEX('Cable Types'!$E$2:$E$41,MATCH(I164,'Cable Types'!$A$2:$A$41,0))="","",INDEX('Cable Types'!$E$2:$E$41,MATCH(I164,'Cable Types'!$A$2:$A$41,0)))</f>
        <v>32</v>
      </c>
      <c r="AO164" s="26" t="str">
        <f aca="false">IF(INDEX('Cable Types'!$F$2:$F$41,MATCH(I164,'Cable Types'!$A$2:$A$41,0))="","",INDEX('Cable Types'!$F$2:$F$41,MATCH(I164,'Cable Types'!$A$2:$A$41,0)))</f>
        <v/>
      </c>
      <c r="AP164" s="33" t="str">
        <f aca="false">IF(INDEX('Cable Types'!$G$2:$G$41,MATCH(I164,'Cable Types'!$A$2:$A$41,0))="","",INDEX('Cable Types'!$G$2:$G$41,MATCH(I164,'Cable Types'!$A$2:$A$41,0)))</f>
        <v/>
      </c>
    </row>
    <row r="165" customFormat="false" ht="15" hidden="false" customHeight="false" outlineLevel="0" collapsed="false">
      <c r="A165" s="25" t="s">
        <v>976</v>
      </c>
      <c r="B165" s="25" t="s">
        <v>133</v>
      </c>
      <c r="C165" s="25" t="s">
        <v>77</v>
      </c>
      <c r="D165" s="25" t="s">
        <v>977</v>
      </c>
      <c r="E165" s="25" t="s">
        <v>201</v>
      </c>
      <c r="F165" s="26" t="str">
        <f aca="false">INDEX(Equipment!$B$2:$B$137,MATCH(E165,Equipment!$A$2:$A$137,0))</f>
        <v>CEMS probe at stack sample port</v>
      </c>
      <c r="G165" s="25" t="s">
        <v>204</v>
      </c>
      <c r="H165" s="26" t="str">
        <f aca="false">INDEX(Equipment!$B$2:$B$137,MATCH(G165,Equipment!$A$2:$A$137,0))</f>
        <v>CEMS analyser shelter</v>
      </c>
      <c r="I165" s="25" t="s">
        <v>547</v>
      </c>
      <c r="J165" s="26" t="str">
        <f aca="false">INDEX('Cable Types'!$B$2:$B$41,MATCH(I165,'Cable Types'!$A$2:$A$41,0))</f>
        <v>300/500 V 2 pair 1.5 mm2 IS/OS/SWA instrument (IS blue)</v>
      </c>
      <c r="K165" s="25" t="n">
        <v>1</v>
      </c>
      <c r="L165" s="25" t="s">
        <v>649</v>
      </c>
      <c r="M165" s="25" t="s">
        <v>638</v>
      </c>
      <c r="N165" s="25"/>
      <c r="O165" s="27" t="n">
        <f aca="false">IF(N165&lt;&gt;"",N165,IF(M165="D",ROUNDUP(SQRT((AH165-AE165)^2+(AI165-AF165)^2+(AJ165-AG165)^2)*(1+'Design Basis'!$C$6),0),ROUNDUP((ABS(AH165-AE165)+ABS(AI165-AF165)+ABS(AK165-AG165)+ABS(AK165-AJ165))*(1+'Design Basis'!$C$4)+2*'Design Basis'!$C$5,0)))</f>
        <v>64</v>
      </c>
      <c r="P165" s="27" t="n">
        <f aca="false">O165*K165*AM165</f>
        <v>64</v>
      </c>
      <c r="Q165" s="28"/>
      <c r="R165" s="25"/>
      <c r="S165" s="28"/>
      <c r="T165" s="29"/>
      <c r="U165" s="27" t="str">
        <f aca="false">IF(OR(S165="",Q165=""),"",IF(R165=3,S165*1000/(SQRT(3)*Q165*T165),S165*1000/(Q165*T165)))</f>
        <v/>
      </c>
      <c r="V165" s="27" t="str">
        <f aca="false">IF(OR(AO165="",AL165=""),"",AO165*AL165)</f>
        <v/>
      </c>
      <c r="W165" s="27" t="str">
        <f aca="false">IF(V165="","",V165*K165)</f>
        <v/>
      </c>
      <c r="X165" s="30" t="str">
        <f aca="false">IF(OR(U165="",W165=""),"",U165/W165)</f>
        <v/>
      </c>
      <c r="Y165" s="30" t="str">
        <f aca="false">IF(OR(U165="",AP165=""),"",AP165*(U165/K165)*O165/1000/Q165)</f>
        <v/>
      </c>
      <c r="Z165" s="30" t="str">
        <f aca="false">IF(U165="","",IFERROR(IF(INDEX('Design Basis'!$C$13:$C$21,MATCH(C165,'Design Basis'!$A$13:$A$21,0))="","",INDEX('Design Basis'!$C$13:$C$21,MATCH(C165,'Design Basis'!$A$13:$A$21,0))),""))</f>
        <v/>
      </c>
      <c r="AA165" s="31" t="str">
        <f aca="false">IF(U165="","n/a",IF(W165="","CHECK",IF(AND(X165&lt;=1,OR(Y165="",Z165="",Y165&lt;=Z165)),"OK","CHECK")))</f>
        <v>n/a</v>
      </c>
      <c r="AB165" s="27" t="n">
        <f aca="false">IF(AN165="","",K165*AM165*PI()/4*AN165^2)</f>
        <v>132.732289614169</v>
      </c>
      <c r="AC165" s="31" t="s">
        <v>978</v>
      </c>
      <c r="AE165" s="32" t="n">
        <f aca="false">INDEX(Equipment!$D$2:$D$137,MATCH(E165,Equipment!$A$2:$A$137,0))</f>
        <v>117</v>
      </c>
      <c r="AF165" s="32" t="n">
        <f aca="false">INDEX(Equipment!$E$2:$E$137,MATCH(E165,Equipment!$A$2:$A$137,0))</f>
        <v>-0.5</v>
      </c>
      <c r="AG165" s="32" t="n">
        <f aca="false">INDEX(Equipment!$F$2:$F$137,MATCH(E165,Equipment!$A$2:$A$137,0))</f>
        <v>40</v>
      </c>
      <c r="AH165" s="32" t="n">
        <f aca="false">INDEX(Equipment!$D$2:$D$137,MATCH(G165,Equipment!$A$2:$A$137,0))</f>
        <v>122</v>
      </c>
      <c r="AI165" s="32" t="n">
        <f aca="false">INDEX(Equipment!$E$2:$E$137,MATCH(G165,Equipment!$A$2:$A$137,0))</f>
        <v>-8</v>
      </c>
      <c r="AJ165" s="32" t="n">
        <f aca="false">INDEX(Equipment!$F$2:$F$137,MATCH(G165,Equipment!$A$2:$A$137,0))</f>
        <v>0.5</v>
      </c>
      <c r="AK165" s="32" t="n">
        <f aca="false">IF(INDEX(Raceways!$D$2:$D$18,MATCH(L165,Raceways!$A$2:$A$18,0))="",0,INDEX(Raceways!$D$2:$D$18,MATCH(L165,Raceways!$A$2:$A$18,0)))</f>
        <v>1</v>
      </c>
      <c r="AL165" s="33" t="n">
        <f aca="false">IF(INDEX(Raceways!$I$2:$I$18,MATCH(L165,Raceways!$A$2:$A$18,0))="","",INDEX(Raceways!$I$2:$I$18,MATCH(L165,Raceways!$A$2:$A$18,0)))</f>
        <v>0.8</v>
      </c>
      <c r="AM165" s="26" t="n">
        <f aca="false">INDEX('Cable Types'!$D$2:$D$41,MATCH(I165,'Cable Types'!$A$2:$A$41,0))</f>
        <v>1</v>
      </c>
      <c r="AN165" s="26" t="n">
        <f aca="false">IF(INDEX('Cable Types'!$E$2:$E$41,MATCH(I165,'Cable Types'!$A$2:$A$41,0))="","",INDEX('Cable Types'!$E$2:$E$41,MATCH(I165,'Cable Types'!$A$2:$A$41,0)))</f>
        <v>13</v>
      </c>
      <c r="AO165" s="26" t="str">
        <f aca="false">IF(INDEX('Cable Types'!$F$2:$F$41,MATCH(I165,'Cable Types'!$A$2:$A$41,0))="","",INDEX('Cable Types'!$F$2:$F$41,MATCH(I165,'Cable Types'!$A$2:$A$41,0)))</f>
        <v/>
      </c>
      <c r="AP165" s="33" t="str">
        <f aca="false">IF(INDEX('Cable Types'!$G$2:$G$41,MATCH(I165,'Cable Types'!$A$2:$A$41,0))="","",INDEX('Cable Types'!$G$2:$G$41,MATCH(I165,'Cable Types'!$A$2:$A$41,0)))</f>
        <v/>
      </c>
    </row>
    <row r="166" customFormat="false" ht="15" hidden="false" customHeight="false" outlineLevel="0" collapsed="false">
      <c r="A166" s="25" t="s">
        <v>979</v>
      </c>
      <c r="B166" s="25" t="s">
        <v>230</v>
      </c>
      <c r="C166" s="25" t="s">
        <v>77</v>
      </c>
      <c r="D166" s="25" t="s">
        <v>980</v>
      </c>
      <c r="E166" s="25" t="s">
        <v>235</v>
      </c>
      <c r="F166" s="26" t="str">
        <f aca="false">INDEX(Equipment!$B$2:$B$137,MATCH(E166,Equipment!$A$2:$A$137,0))</f>
        <v>ACC instrument junction box</v>
      </c>
      <c r="G166" s="25" t="s">
        <v>223</v>
      </c>
      <c r="H166" s="26" t="str">
        <f aca="false">INDEX(Equipment!$B$2:$B$137,MATCH(G166,Equipment!$A$2:$A$137,0))</f>
        <v>DCS remote I/O cabinet - power block</v>
      </c>
      <c r="I166" s="25" t="s">
        <v>551</v>
      </c>
      <c r="J166" s="26" t="str">
        <f aca="false">INDEX('Cable Types'!$B$2:$B$41,MATCH(I166,'Cable Types'!$A$2:$A$41,0))</f>
        <v>300/500 V 24 pair 1.0 mm2 IS/OS/SWA instrument</v>
      </c>
      <c r="K166" s="25" t="n">
        <v>1</v>
      </c>
      <c r="L166" s="25" t="s">
        <v>659</v>
      </c>
      <c r="M166" s="25" t="s">
        <v>638</v>
      </c>
      <c r="N166" s="25"/>
      <c r="O166" s="27" t="n">
        <f aca="false">IF(N166&lt;&gt;"",N166,IF(M166="D",ROUNDUP(SQRT((AH166-AE166)^2+(AI166-AF166)^2+(AJ166-AG166)^2)*(1+'Design Basis'!$C$6),0),ROUNDUP((ABS(AH166-AE166)+ABS(AI166-AF166)+ABS(AK166-AG166)+ABS(AK166-AJ166))*(1+'Design Basis'!$C$4)+2*'Design Basis'!$C$5,0)))</f>
        <v>107</v>
      </c>
      <c r="P166" s="27" t="n">
        <f aca="false">O166*K166*AM166</f>
        <v>107</v>
      </c>
      <c r="Q166" s="28"/>
      <c r="R166" s="25"/>
      <c r="S166" s="28"/>
      <c r="T166" s="29"/>
      <c r="U166" s="27" t="str">
        <f aca="false">IF(OR(S166="",Q166=""),"",IF(R166=3,S166*1000/(SQRT(3)*Q166*T166),S166*1000/(Q166*T166)))</f>
        <v/>
      </c>
      <c r="V166" s="27" t="str">
        <f aca="false">IF(OR(AO166="",AL166=""),"",AO166*AL166)</f>
        <v/>
      </c>
      <c r="W166" s="27" t="str">
        <f aca="false">IF(V166="","",V166*K166)</f>
        <v/>
      </c>
      <c r="X166" s="30" t="str">
        <f aca="false">IF(OR(U166="",W166=""),"",U166/W166)</f>
        <v/>
      </c>
      <c r="Y166" s="30" t="str">
        <f aca="false">IF(OR(U166="",AP166=""),"",AP166*(U166/K166)*O166/1000/Q166)</f>
        <v/>
      </c>
      <c r="Z166" s="30" t="str">
        <f aca="false">IF(U166="","",IFERROR(IF(INDEX('Design Basis'!$C$13:$C$21,MATCH(C166,'Design Basis'!$A$13:$A$21,0))="","",INDEX('Design Basis'!$C$13:$C$21,MATCH(C166,'Design Basis'!$A$13:$A$21,0))),""))</f>
        <v/>
      </c>
      <c r="AA166" s="31" t="str">
        <f aca="false">IF(U166="","n/a",IF(W166="","CHECK",IF(AND(X166&lt;=1,OR(Y166="",Z166="",Y166&lt;=Z166)),"OK","CHECK")))</f>
        <v>n/a</v>
      </c>
      <c r="AB166" s="27" t="n">
        <f aca="false">IF(AN166="","",K166*AM166*PI()/4*AN166^2)</f>
        <v>804.247719318987</v>
      </c>
      <c r="AC166" s="31"/>
      <c r="AE166" s="32" t="n">
        <f aca="false">INDEX(Equipment!$D$2:$D$137,MATCH(E166,Equipment!$A$2:$A$137,0))</f>
        <v>142</v>
      </c>
      <c r="AF166" s="32" t="n">
        <f aca="false">INDEX(Equipment!$E$2:$E$137,MATCH(E166,Equipment!$A$2:$A$137,0))</f>
        <v>30</v>
      </c>
      <c r="AG166" s="32" t="n">
        <f aca="false">INDEX(Equipment!$F$2:$F$137,MATCH(E166,Equipment!$A$2:$A$137,0))</f>
        <v>0.5</v>
      </c>
      <c r="AH166" s="32" t="n">
        <f aca="false">INDEX(Equipment!$D$2:$D$137,MATCH(G166,Equipment!$A$2:$A$137,0))</f>
        <v>68</v>
      </c>
      <c r="AI166" s="32" t="n">
        <f aca="false">INDEX(Equipment!$E$2:$E$137,MATCH(G166,Equipment!$A$2:$A$137,0))</f>
        <v>22</v>
      </c>
      <c r="AJ166" s="32" t="n">
        <f aca="false">INDEX(Equipment!$F$2:$F$137,MATCH(G166,Equipment!$A$2:$A$137,0))</f>
        <v>0.5</v>
      </c>
      <c r="AK166" s="32" t="n">
        <f aca="false">IF(INDEX(Raceways!$D$2:$D$18,MATCH(L166,Raceways!$A$2:$A$18,0))="",0,INDEX(Raceways!$D$2:$D$18,MATCH(L166,Raceways!$A$2:$A$18,0)))</f>
        <v>5</v>
      </c>
      <c r="AL166" s="33" t="n">
        <f aca="false">IF(INDEX(Raceways!$I$2:$I$18,MATCH(L166,Raceways!$A$2:$A$18,0))="","",INDEX(Raceways!$I$2:$I$18,MATCH(L166,Raceways!$A$2:$A$18,0)))</f>
        <v>0.8</v>
      </c>
      <c r="AM166" s="26" t="n">
        <f aca="false">INDEX('Cable Types'!$D$2:$D$41,MATCH(I166,'Cable Types'!$A$2:$A$41,0))</f>
        <v>1</v>
      </c>
      <c r="AN166" s="26" t="n">
        <f aca="false">IF(INDEX('Cable Types'!$E$2:$E$41,MATCH(I166,'Cable Types'!$A$2:$A$41,0))="","",INDEX('Cable Types'!$E$2:$E$41,MATCH(I166,'Cable Types'!$A$2:$A$41,0)))</f>
        <v>32</v>
      </c>
      <c r="AO166" s="26" t="str">
        <f aca="false">IF(INDEX('Cable Types'!$F$2:$F$41,MATCH(I166,'Cable Types'!$A$2:$A$41,0))="","",INDEX('Cable Types'!$F$2:$F$41,MATCH(I166,'Cable Types'!$A$2:$A$41,0)))</f>
        <v/>
      </c>
      <c r="AP166" s="33" t="str">
        <f aca="false">IF(INDEX('Cable Types'!$G$2:$G$41,MATCH(I166,'Cable Types'!$A$2:$A$41,0))="","",INDEX('Cable Types'!$G$2:$G$41,MATCH(I166,'Cable Types'!$A$2:$A$41,0)))</f>
        <v/>
      </c>
    </row>
    <row r="167" customFormat="false" ht="15" hidden="false" customHeight="false" outlineLevel="0" collapsed="false">
      <c r="A167" s="25" t="s">
        <v>981</v>
      </c>
      <c r="B167" s="25" t="s">
        <v>285</v>
      </c>
      <c r="C167" s="25" t="s">
        <v>77</v>
      </c>
      <c r="D167" s="25" t="s">
        <v>982</v>
      </c>
      <c r="E167" s="25" t="s">
        <v>330</v>
      </c>
      <c r="F167" s="26" t="str">
        <f aca="false">INDEX(Equipment!$B$2:$B$137,MATCH(E167,Equipment!$A$2:$A$137,0))</f>
        <v>Absorber instrument junction box (mid-height)</v>
      </c>
      <c r="G167" s="25" t="s">
        <v>292</v>
      </c>
      <c r="H167" s="26" t="str">
        <f aca="false">INDEX(Equipment!$B$2:$B$137,MATCH(G167,Equipment!$A$2:$A$137,0))</f>
        <v>DCS remote I/O cabinet - CCS</v>
      </c>
      <c r="I167" s="25" t="s">
        <v>551</v>
      </c>
      <c r="J167" s="26" t="str">
        <f aca="false">INDEX('Cable Types'!$B$2:$B$41,MATCH(I167,'Cable Types'!$A$2:$A$41,0))</f>
        <v>300/500 V 24 pair 1.0 mm2 IS/OS/SWA instrument</v>
      </c>
      <c r="K167" s="25" t="n">
        <v>2</v>
      </c>
      <c r="L167" s="25" t="s">
        <v>694</v>
      </c>
      <c r="M167" s="25" t="s">
        <v>638</v>
      </c>
      <c r="N167" s="25"/>
      <c r="O167" s="27" t="n">
        <f aca="false">IF(N167&lt;&gt;"",N167,IF(M167="D",ROUNDUP(SQRT((AH167-AE167)^2+(AI167-AF167)^2+(AJ167-AG167)^2)*(1+'Design Basis'!$C$6),0),ROUNDUP((ABS(AH167-AE167)+ABS(AI167-AF167)+ABS(AK167-AG167)+ABS(AK167-AJ167))*(1+'Design Basis'!$C$4)+2*'Design Basis'!$C$5,0)))</f>
        <v>110</v>
      </c>
      <c r="P167" s="27" t="n">
        <f aca="false">O167*K167*AM167</f>
        <v>220</v>
      </c>
      <c r="Q167" s="28"/>
      <c r="R167" s="25"/>
      <c r="S167" s="28"/>
      <c r="T167" s="29"/>
      <c r="U167" s="27" t="str">
        <f aca="false">IF(OR(S167="",Q167=""),"",IF(R167=3,S167*1000/(SQRT(3)*Q167*T167),S167*1000/(Q167*T167)))</f>
        <v/>
      </c>
      <c r="V167" s="27" t="str">
        <f aca="false">IF(OR(AO167="",AL167=""),"",AO167*AL167)</f>
        <v/>
      </c>
      <c r="W167" s="27" t="str">
        <f aca="false">IF(V167="","",V167*K167)</f>
        <v/>
      </c>
      <c r="X167" s="30" t="str">
        <f aca="false">IF(OR(U167="",W167=""),"",U167/W167)</f>
        <v/>
      </c>
      <c r="Y167" s="30" t="str">
        <f aca="false">IF(OR(U167="",AP167=""),"",AP167*(U167/K167)*O167/1000/Q167)</f>
        <v/>
      </c>
      <c r="Z167" s="30" t="str">
        <f aca="false">IF(U167="","",IFERROR(IF(INDEX('Design Basis'!$C$13:$C$21,MATCH(C167,'Design Basis'!$A$13:$A$21,0))="","",INDEX('Design Basis'!$C$13:$C$21,MATCH(C167,'Design Basis'!$A$13:$A$21,0))),""))</f>
        <v/>
      </c>
      <c r="AA167" s="31" t="str">
        <f aca="false">IF(U167="","n/a",IF(W167="","CHECK",IF(AND(X167&lt;=1,OR(Y167="",Z167="",Y167&lt;=Z167)),"OK","CHECK")))</f>
        <v>n/a</v>
      </c>
      <c r="AB167" s="27" t="n">
        <f aca="false">IF(AN167="","",K167*AM167*PI()/4*AN167^2)</f>
        <v>1608.49543863797</v>
      </c>
      <c r="AC167" s="31"/>
      <c r="AE167" s="32" t="n">
        <f aca="false">INDEX(Equipment!$D$2:$D$137,MATCH(E167,Equipment!$A$2:$A$137,0))</f>
        <v>170</v>
      </c>
      <c r="AF167" s="32" t="n">
        <f aca="false">INDEX(Equipment!$E$2:$E$137,MATCH(E167,Equipment!$A$2:$A$137,0))</f>
        <v>-2.5</v>
      </c>
      <c r="AG167" s="32" t="n">
        <f aca="false">INDEX(Equipment!$F$2:$F$137,MATCH(E167,Equipment!$A$2:$A$137,0))</f>
        <v>30</v>
      </c>
      <c r="AH167" s="32" t="n">
        <f aca="false">INDEX(Equipment!$D$2:$D$137,MATCH(G167,Equipment!$A$2:$A$137,0))</f>
        <v>174</v>
      </c>
      <c r="AI167" s="32" t="n">
        <f aca="false">INDEX(Equipment!$E$2:$E$137,MATCH(G167,Equipment!$A$2:$A$137,0))</f>
        <v>58</v>
      </c>
      <c r="AJ167" s="32" t="n">
        <f aca="false">INDEX(Equipment!$F$2:$F$137,MATCH(G167,Equipment!$A$2:$A$137,0))</f>
        <v>0.5</v>
      </c>
      <c r="AK167" s="32" t="n">
        <f aca="false">IF(INDEX(Raceways!$D$2:$D$18,MATCH(L167,Raceways!$A$2:$A$18,0))="",0,INDEX(Raceways!$D$2:$D$18,MATCH(L167,Raceways!$A$2:$A$18,0)))</f>
        <v>6</v>
      </c>
      <c r="AL167" s="33" t="n">
        <f aca="false">IF(INDEX(Raceways!$I$2:$I$18,MATCH(L167,Raceways!$A$2:$A$18,0))="","",INDEX(Raceways!$I$2:$I$18,MATCH(L167,Raceways!$A$2:$A$18,0)))</f>
        <v>0.8</v>
      </c>
      <c r="AM167" s="26" t="n">
        <f aca="false">INDEX('Cable Types'!$D$2:$D$41,MATCH(I167,'Cable Types'!$A$2:$A$41,0))</f>
        <v>1</v>
      </c>
      <c r="AN167" s="26" t="n">
        <f aca="false">IF(INDEX('Cable Types'!$E$2:$E$41,MATCH(I167,'Cable Types'!$A$2:$A$41,0))="","",INDEX('Cable Types'!$E$2:$E$41,MATCH(I167,'Cable Types'!$A$2:$A$41,0)))</f>
        <v>32</v>
      </c>
      <c r="AO167" s="26" t="str">
        <f aca="false">IF(INDEX('Cable Types'!$F$2:$F$41,MATCH(I167,'Cable Types'!$A$2:$A$41,0))="","",INDEX('Cable Types'!$F$2:$F$41,MATCH(I167,'Cable Types'!$A$2:$A$41,0)))</f>
        <v/>
      </c>
      <c r="AP167" s="33" t="str">
        <f aca="false">IF(INDEX('Cable Types'!$G$2:$G$41,MATCH(I167,'Cable Types'!$A$2:$A$41,0))="","",INDEX('Cable Types'!$G$2:$G$41,MATCH(I167,'Cable Types'!$A$2:$A$41,0)))</f>
        <v/>
      </c>
    </row>
    <row r="168" customFormat="false" ht="15" hidden="false" customHeight="false" outlineLevel="0" collapsed="false">
      <c r="A168" s="25" t="s">
        <v>983</v>
      </c>
      <c r="B168" s="25" t="s">
        <v>285</v>
      </c>
      <c r="C168" s="25" t="s">
        <v>77</v>
      </c>
      <c r="D168" s="25" t="s">
        <v>984</v>
      </c>
      <c r="E168" s="25" t="s">
        <v>332</v>
      </c>
      <c r="F168" s="26" t="str">
        <f aca="false">INDEX(Equipment!$B$2:$B$137,MATCH(E168,Equipment!$A$2:$A$137,0))</f>
        <v>Stripper instrument junction box</v>
      </c>
      <c r="G168" s="25" t="s">
        <v>292</v>
      </c>
      <c r="H168" s="26" t="str">
        <f aca="false">INDEX(Equipment!$B$2:$B$137,MATCH(G168,Equipment!$A$2:$A$137,0))</f>
        <v>DCS remote I/O cabinet - CCS</v>
      </c>
      <c r="I168" s="25" t="s">
        <v>551</v>
      </c>
      <c r="J168" s="26" t="str">
        <f aca="false">INDEX('Cable Types'!$B$2:$B$41,MATCH(I168,'Cable Types'!$A$2:$A$41,0))</f>
        <v>300/500 V 24 pair 1.0 mm2 IS/OS/SWA instrument</v>
      </c>
      <c r="K168" s="25" t="n">
        <v>1</v>
      </c>
      <c r="L168" s="25" t="s">
        <v>694</v>
      </c>
      <c r="M168" s="25" t="s">
        <v>638</v>
      </c>
      <c r="N168" s="25"/>
      <c r="O168" s="27" t="n">
        <f aca="false">IF(N168&lt;&gt;"",N168,IF(M168="D",ROUNDUP(SQRT((AH168-AE168)^2+(AI168-AF168)^2+(AJ168-AG168)^2)*(1+'Design Basis'!$C$6),0),ROUNDUP((ABS(AH168-AE168)+ABS(AI168-AF168)+ABS(AK168-AG168)+ABS(AK168-AJ168))*(1+'Design Basis'!$C$4)+2*'Design Basis'!$C$5,0)))</f>
        <v>92</v>
      </c>
      <c r="P168" s="27" t="n">
        <f aca="false">O168*K168*AM168</f>
        <v>92</v>
      </c>
      <c r="Q168" s="28"/>
      <c r="R168" s="25"/>
      <c r="S168" s="28"/>
      <c r="T168" s="29"/>
      <c r="U168" s="27" t="str">
        <f aca="false">IF(OR(S168="",Q168=""),"",IF(R168=3,S168*1000/(SQRT(3)*Q168*T168),S168*1000/(Q168*T168)))</f>
        <v/>
      </c>
      <c r="V168" s="27" t="str">
        <f aca="false">IF(OR(AO168="",AL168=""),"",AO168*AL168)</f>
        <v/>
      </c>
      <c r="W168" s="27" t="str">
        <f aca="false">IF(V168="","",V168*K168)</f>
        <v/>
      </c>
      <c r="X168" s="30" t="str">
        <f aca="false">IF(OR(U168="",W168=""),"",U168/W168)</f>
        <v/>
      </c>
      <c r="Y168" s="30" t="str">
        <f aca="false">IF(OR(U168="",AP168=""),"",AP168*(U168/K168)*O168/1000/Q168)</f>
        <v/>
      </c>
      <c r="Z168" s="30" t="str">
        <f aca="false">IF(U168="","",IFERROR(IF(INDEX('Design Basis'!$C$13:$C$21,MATCH(C168,'Design Basis'!$A$13:$A$21,0))="","",INDEX('Design Basis'!$C$13:$C$21,MATCH(C168,'Design Basis'!$A$13:$A$21,0))),""))</f>
        <v/>
      </c>
      <c r="AA168" s="31" t="str">
        <f aca="false">IF(U168="","n/a",IF(W168="","CHECK",IF(AND(X168&lt;=1,OR(Y168="",Z168="",Y168&lt;=Z168)),"OK","CHECK")))</f>
        <v>n/a</v>
      </c>
      <c r="AB168" s="27" t="n">
        <f aca="false">IF(AN168="","",K168*AM168*PI()/4*AN168^2)</f>
        <v>804.247719318987</v>
      </c>
      <c r="AC168" s="31"/>
      <c r="AE168" s="32" t="n">
        <f aca="false">INDEX(Equipment!$D$2:$D$137,MATCH(E168,Equipment!$A$2:$A$137,0))</f>
        <v>190</v>
      </c>
      <c r="AF168" s="32" t="n">
        <f aca="false">INDEX(Equipment!$E$2:$E$137,MATCH(E168,Equipment!$A$2:$A$137,0))</f>
        <v>15.5</v>
      </c>
      <c r="AG168" s="32" t="n">
        <f aca="false">INDEX(Equipment!$F$2:$F$137,MATCH(E168,Equipment!$A$2:$A$137,0))</f>
        <v>20</v>
      </c>
      <c r="AH168" s="32" t="n">
        <f aca="false">INDEX(Equipment!$D$2:$D$137,MATCH(G168,Equipment!$A$2:$A$137,0))</f>
        <v>174</v>
      </c>
      <c r="AI168" s="32" t="n">
        <f aca="false">INDEX(Equipment!$E$2:$E$137,MATCH(G168,Equipment!$A$2:$A$137,0))</f>
        <v>58</v>
      </c>
      <c r="AJ168" s="32" t="n">
        <f aca="false">INDEX(Equipment!$F$2:$F$137,MATCH(G168,Equipment!$A$2:$A$137,0))</f>
        <v>0.5</v>
      </c>
      <c r="AK168" s="32" t="n">
        <f aca="false">IF(INDEX(Raceways!$D$2:$D$18,MATCH(L168,Raceways!$A$2:$A$18,0))="",0,INDEX(Raceways!$D$2:$D$18,MATCH(L168,Raceways!$A$2:$A$18,0)))</f>
        <v>6</v>
      </c>
      <c r="AL168" s="33" t="n">
        <f aca="false">IF(INDEX(Raceways!$I$2:$I$18,MATCH(L168,Raceways!$A$2:$A$18,0))="","",INDEX(Raceways!$I$2:$I$18,MATCH(L168,Raceways!$A$2:$A$18,0)))</f>
        <v>0.8</v>
      </c>
      <c r="AM168" s="26" t="n">
        <f aca="false">INDEX('Cable Types'!$D$2:$D$41,MATCH(I168,'Cable Types'!$A$2:$A$41,0))</f>
        <v>1</v>
      </c>
      <c r="AN168" s="26" t="n">
        <f aca="false">IF(INDEX('Cable Types'!$E$2:$E$41,MATCH(I168,'Cable Types'!$A$2:$A$41,0))="","",INDEX('Cable Types'!$E$2:$E$41,MATCH(I168,'Cable Types'!$A$2:$A$41,0)))</f>
        <v>32</v>
      </c>
      <c r="AO168" s="26" t="str">
        <f aca="false">IF(INDEX('Cable Types'!$F$2:$F$41,MATCH(I168,'Cable Types'!$A$2:$A$41,0))="","",INDEX('Cable Types'!$F$2:$F$41,MATCH(I168,'Cable Types'!$A$2:$A$41,0)))</f>
        <v/>
      </c>
      <c r="AP168" s="33" t="str">
        <f aca="false">IF(INDEX('Cable Types'!$G$2:$G$41,MATCH(I168,'Cable Types'!$A$2:$A$41,0))="","",INDEX('Cable Types'!$G$2:$G$41,MATCH(I168,'Cable Types'!$A$2:$A$41,0)))</f>
        <v/>
      </c>
    </row>
    <row r="169" customFormat="false" ht="15" hidden="false" customHeight="false" outlineLevel="0" collapsed="false">
      <c r="A169" s="25" t="s">
        <v>985</v>
      </c>
      <c r="B169" s="25" t="s">
        <v>285</v>
      </c>
      <c r="C169" s="25" t="s">
        <v>77</v>
      </c>
      <c r="D169" s="25" t="s">
        <v>986</v>
      </c>
      <c r="E169" s="25" t="s">
        <v>327</v>
      </c>
      <c r="F169" s="26" t="str">
        <f aca="false">INDEX(Equipment!$B$2:$B$137,MATCH(E169,Equipment!$A$2:$A$137,0))</f>
        <v>CO2 export fiscal meter skid / flow computer</v>
      </c>
      <c r="G169" s="25" t="s">
        <v>292</v>
      </c>
      <c r="H169" s="26" t="str">
        <f aca="false">INDEX(Equipment!$B$2:$B$137,MATCH(G169,Equipment!$A$2:$A$137,0))</f>
        <v>DCS remote I/O cabinet - CCS</v>
      </c>
      <c r="I169" s="25" t="s">
        <v>555</v>
      </c>
      <c r="J169" s="26" t="str">
        <f aca="false">INDEX('Cable Types'!$B$2:$B$41,MATCH(I169,'Cable Types'!$A$2:$A$41,0))</f>
        <v>RS-485 1 pair 0.5 mm2 120 ohm screened/SWA</v>
      </c>
      <c r="K169" s="25" t="n">
        <v>1</v>
      </c>
      <c r="L169" s="25" t="s">
        <v>694</v>
      </c>
      <c r="M169" s="25" t="s">
        <v>638</v>
      </c>
      <c r="N169" s="25"/>
      <c r="O169" s="27" t="n">
        <f aca="false">IF(N169&lt;&gt;"",N169,IF(M169="D",ROUNDUP(SQRT((AH169-AE169)^2+(AI169-AF169)^2+(AJ169-AG169)^2)*(1+'Design Basis'!$C$6),0),ROUNDUP((ABS(AH169-AE169)+ABS(AI169-AF169)+ABS(AK169-AG169)+ABS(AK169-AJ169))*(1+'Design Basis'!$C$4)+2*'Design Basis'!$C$5,0)))</f>
        <v>114</v>
      </c>
      <c r="P169" s="27" t="n">
        <f aca="false">O169*K169*AM169</f>
        <v>114</v>
      </c>
      <c r="Q169" s="28"/>
      <c r="R169" s="25"/>
      <c r="S169" s="28"/>
      <c r="T169" s="29"/>
      <c r="U169" s="27" t="str">
        <f aca="false">IF(OR(S169="",Q169=""),"",IF(R169=3,S169*1000/(SQRT(3)*Q169*T169),S169*1000/(Q169*T169)))</f>
        <v/>
      </c>
      <c r="V169" s="27" t="str">
        <f aca="false">IF(OR(AO169="",AL169=""),"",AO169*AL169)</f>
        <v/>
      </c>
      <c r="W169" s="27" t="str">
        <f aca="false">IF(V169="","",V169*K169)</f>
        <v/>
      </c>
      <c r="X169" s="30" t="str">
        <f aca="false">IF(OR(U169="",W169=""),"",U169/W169)</f>
        <v/>
      </c>
      <c r="Y169" s="30" t="str">
        <f aca="false">IF(OR(U169="",AP169=""),"",AP169*(U169/K169)*O169/1000/Q169)</f>
        <v/>
      </c>
      <c r="Z169" s="30" t="str">
        <f aca="false">IF(U169="","",IFERROR(IF(INDEX('Design Basis'!$C$13:$C$21,MATCH(C169,'Design Basis'!$A$13:$A$21,0))="","",INDEX('Design Basis'!$C$13:$C$21,MATCH(C169,'Design Basis'!$A$13:$A$21,0))),""))</f>
        <v/>
      </c>
      <c r="AA169" s="31" t="str">
        <f aca="false">IF(U169="","n/a",IF(W169="","CHECK",IF(AND(X169&lt;=1,OR(Y169="",Z169="",Y169&lt;=Z169)),"OK","CHECK")))</f>
        <v>n/a</v>
      </c>
      <c r="AB169" s="27" t="n">
        <f aca="false">IF(AN169="","",K169*AM169*PI()/4*AN169^2)</f>
        <v>63.6172512351933</v>
      </c>
      <c r="AC169" s="31"/>
      <c r="AE169" s="32" t="n">
        <f aca="false">INDEX(Equipment!$D$2:$D$137,MATCH(E169,Equipment!$A$2:$A$137,0))</f>
        <v>242</v>
      </c>
      <c r="AF169" s="32" t="n">
        <f aca="false">INDEX(Equipment!$E$2:$E$137,MATCH(E169,Equipment!$A$2:$A$137,0))</f>
        <v>39</v>
      </c>
      <c r="AG169" s="32" t="n">
        <f aca="false">INDEX(Equipment!$F$2:$F$137,MATCH(E169,Equipment!$A$2:$A$137,0))</f>
        <v>1</v>
      </c>
      <c r="AH169" s="32" t="n">
        <f aca="false">INDEX(Equipment!$D$2:$D$137,MATCH(G169,Equipment!$A$2:$A$137,0))</f>
        <v>174</v>
      </c>
      <c r="AI169" s="32" t="n">
        <f aca="false">INDEX(Equipment!$E$2:$E$137,MATCH(G169,Equipment!$A$2:$A$137,0))</f>
        <v>58</v>
      </c>
      <c r="AJ169" s="32" t="n">
        <f aca="false">INDEX(Equipment!$F$2:$F$137,MATCH(G169,Equipment!$A$2:$A$137,0))</f>
        <v>0.5</v>
      </c>
      <c r="AK169" s="32" t="n">
        <f aca="false">IF(INDEX(Raceways!$D$2:$D$18,MATCH(L169,Raceways!$A$2:$A$18,0))="",0,INDEX(Raceways!$D$2:$D$18,MATCH(L169,Raceways!$A$2:$A$18,0)))</f>
        <v>6</v>
      </c>
      <c r="AL169" s="33" t="n">
        <f aca="false">IF(INDEX(Raceways!$I$2:$I$18,MATCH(L169,Raceways!$A$2:$A$18,0))="","",INDEX(Raceways!$I$2:$I$18,MATCH(L169,Raceways!$A$2:$A$18,0)))</f>
        <v>0.8</v>
      </c>
      <c r="AM169" s="26" t="n">
        <f aca="false">INDEX('Cable Types'!$D$2:$D$41,MATCH(I169,'Cable Types'!$A$2:$A$41,0))</f>
        <v>1</v>
      </c>
      <c r="AN169" s="26" t="n">
        <f aca="false">IF(INDEX('Cable Types'!$E$2:$E$41,MATCH(I169,'Cable Types'!$A$2:$A$41,0))="","",INDEX('Cable Types'!$E$2:$E$41,MATCH(I169,'Cable Types'!$A$2:$A$41,0)))</f>
        <v>9</v>
      </c>
      <c r="AO169" s="26" t="str">
        <f aca="false">IF(INDEX('Cable Types'!$F$2:$F$41,MATCH(I169,'Cable Types'!$A$2:$A$41,0))="","",INDEX('Cable Types'!$F$2:$F$41,MATCH(I169,'Cable Types'!$A$2:$A$41,0)))</f>
        <v/>
      </c>
      <c r="AP169" s="33" t="str">
        <f aca="false">IF(INDEX('Cable Types'!$G$2:$G$41,MATCH(I169,'Cable Types'!$A$2:$A$41,0))="","",INDEX('Cable Types'!$G$2:$G$41,MATCH(I169,'Cable Types'!$A$2:$A$41,0)))</f>
        <v/>
      </c>
    </row>
    <row r="170" customFormat="false" ht="15" hidden="false" customHeight="false" outlineLevel="0" collapsed="false">
      <c r="A170" s="25" t="s">
        <v>987</v>
      </c>
      <c r="B170" s="25" t="s">
        <v>395</v>
      </c>
      <c r="C170" s="25" t="s">
        <v>77</v>
      </c>
      <c r="D170" s="25" t="s">
        <v>988</v>
      </c>
      <c r="E170" s="25" t="s">
        <v>466</v>
      </c>
      <c r="F170" s="26" t="str">
        <f aca="false">INDEX(Equipment!$B$2:$B$137,MATCH(E170,Equipment!$A$2:$A$137,0))</f>
        <v>Fire &amp; gas panel</v>
      </c>
      <c r="G170" s="25" t="s">
        <v>444</v>
      </c>
      <c r="H170" s="26" t="str">
        <f aca="false">INDEX(Equipment!$B$2:$B$137,MATCH(G170,Equipment!$A$2:$A$137,0))</f>
        <v>Gas station instrument junction box</v>
      </c>
      <c r="I170" s="25" t="s">
        <v>549</v>
      </c>
      <c r="J170" s="26" t="str">
        <f aca="false">INDEX('Cable Types'!$B$2:$B$41,MATCH(I170,'Cable Types'!$A$2:$A$41,0))</f>
        <v>300/500 V 12 pair 1.0 mm2 IS/OS/SWA instrument</v>
      </c>
      <c r="K170" s="25" t="n">
        <v>1</v>
      </c>
      <c r="L170" s="25" t="s">
        <v>685</v>
      </c>
      <c r="M170" s="25" t="s">
        <v>638</v>
      </c>
      <c r="N170" s="25"/>
      <c r="O170" s="27" t="n">
        <f aca="false">IF(N170&lt;&gt;"",N170,IF(M170="D",ROUNDUP(SQRT((AH170-AE170)^2+(AI170-AF170)^2+(AJ170-AG170)^2)*(1+'Design Basis'!$C$6),0),ROUNDUP((ABS(AH170-AE170)+ABS(AI170-AF170)+ABS(AK170-AG170)+ABS(AK170-AJ170))*(1+'Design Basis'!$C$4)+2*'Design Basis'!$C$5,0)))</f>
        <v>123</v>
      </c>
      <c r="P170" s="27" t="n">
        <f aca="false">O170*K170*AM170</f>
        <v>123</v>
      </c>
      <c r="Q170" s="28"/>
      <c r="R170" s="25"/>
      <c r="S170" s="28"/>
      <c r="T170" s="29"/>
      <c r="U170" s="27" t="str">
        <f aca="false">IF(OR(S170="",Q170=""),"",IF(R170=3,S170*1000/(SQRT(3)*Q170*T170),S170*1000/(Q170*T170)))</f>
        <v/>
      </c>
      <c r="V170" s="27" t="str">
        <f aca="false">IF(OR(AO170="",AL170=""),"",AO170*AL170)</f>
        <v/>
      </c>
      <c r="W170" s="27" t="str">
        <f aca="false">IF(V170="","",V170*K170)</f>
        <v/>
      </c>
      <c r="X170" s="30" t="str">
        <f aca="false">IF(OR(U170="",W170=""),"",U170/W170)</f>
        <v/>
      </c>
      <c r="Y170" s="30" t="str">
        <f aca="false">IF(OR(U170="",AP170=""),"",AP170*(U170/K170)*O170/1000/Q170)</f>
        <v/>
      </c>
      <c r="Z170" s="30" t="str">
        <f aca="false">IF(U170="","",IFERROR(IF(INDEX('Design Basis'!$C$13:$C$21,MATCH(C170,'Design Basis'!$A$13:$A$21,0))="","",INDEX('Design Basis'!$C$13:$C$21,MATCH(C170,'Design Basis'!$A$13:$A$21,0))),""))</f>
        <v/>
      </c>
      <c r="AA170" s="31" t="str">
        <f aca="false">IF(U170="","n/a",IF(W170="","CHECK",IF(AND(X170&lt;=1,OR(Y170="",Z170="",Y170&lt;=Z170)),"OK","CHECK")))</f>
        <v>n/a</v>
      </c>
      <c r="AB170" s="27" t="n">
        <f aca="false">IF(AN170="","",K170*AM170*PI()/4*AN170^2)</f>
        <v>530.929158456675</v>
      </c>
      <c r="AC170" s="31" t="s">
        <v>989</v>
      </c>
      <c r="AE170" s="32" t="n">
        <f aca="false">INDEX(Equipment!$D$2:$D$137,MATCH(E170,Equipment!$A$2:$A$137,0))</f>
        <v>39</v>
      </c>
      <c r="AF170" s="32" t="n">
        <f aca="false">INDEX(Equipment!$E$2:$E$137,MATCH(E170,Equipment!$A$2:$A$137,0))</f>
        <v>55.5</v>
      </c>
      <c r="AG170" s="32" t="n">
        <f aca="false">INDEX(Equipment!$F$2:$F$137,MATCH(E170,Equipment!$A$2:$A$137,0))</f>
        <v>0.5</v>
      </c>
      <c r="AH170" s="32" t="n">
        <f aca="false">INDEX(Equipment!$D$2:$D$137,MATCH(G170,Equipment!$A$2:$A$137,0))</f>
        <v>-10</v>
      </c>
      <c r="AI170" s="32" t="n">
        <f aca="false">INDEX(Equipment!$E$2:$E$137,MATCH(G170,Equipment!$A$2:$A$137,0))</f>
        <v>8</v>
      </c>
      <c r="AJ170" s="32" t="n">
        <f aca="false">INDEX(Equipment!$F$2:$F$137,MATCH(G170,Equipment!$A$2:$A$137,0))</f>
        <v>0.5</v>
      </c>
      <c r="AK170" s="32" t="n">
        <f aca="false">IF(INDEX(Raceways!$D$2:$D$18,MATCH(L170,Raceways!$A$2:$A$18,0))="",0,INDEX(Raceways!$D$2:$D$18,MATCH(L170,Raceways!$A$2:$A$18,0)))</f>
        <v>5</v>
      </c>
      <c r="AL170" s="33" t="n">
        <f aca="false">IF(INDEX(Raceways!$I$2:$I$18,MATCH(L170,Raceways!$A$2:$A$18,0))="","",INDEX(Raceways!$I$2:$I$18,MATCH(L170,Raceways!$A$2:$A$18,0)))</f>
        <v>0.8</v>
      </c>
      <c r="AM170" s="26" t="n">
        <f aca="false">INDEX('Cable Types'!$D$2:$D$41,MATCH(I170,'Cable Types'!$A$2:$A$41,0))</f>
        <v>1</v>
      </c>
      <c r="AN170" s="26" t="n">
        <f aca="false">IF(INDEX('Cable Types'!$E$2:$E$41,MATCH(I170,'Cable Types'!$A$2:$A$41,0))="","",INDEX('Cable Types'!$E$2:$E$41,MATCH(I170,'Cable Types'!$A$2:$A$41,0)))</f>
        <v>26</v>
      </c>
      <c r="AO170" s="26" t="str">
        <f aca="false">IF(INDEX('Cable Types'!$F$2:$F$41,MATCH(I170,'Cable Types'!$A$2:$A$41,0))="","",INDEX('Cable Types'!$F$2:$F$41,MATCH(I170,'Cable Types'!$A$2:$A$41,0)))</f>
        <v/>
      </c>
      <c r="AP170" s="33" t="str">
        <f aca="false">IF(INDEX('Cable Types'!$G$2:$G$41,MATCH(I170,'Cable Types'!$A$2:$A$41,0))="","",INDEX('Cable Types'!$G$2:$G$41,MATCH(I170,'Cable Types'!$A$2:$A$41,0)))</f>
        <v/>
      </c>
    </row>
    <row r="171" customFormat="false" ht="15" hidden="false" customHeight="false" outlineLevel="0" collapsed="false">
      <c r="A171" s="25" t="s">
        <v>990</v>
      </c>
      <c r="B171" s="25" t="s">
        <v>133</v>
      </c>
      <c r="C171" s="25" t="s">
        <v>77</v>
      </c>
      <c r="D171" s="25" t="s">
        <v>991</v>
      </c>
      <c r="E171" s="25" t="s">
        <v>466</v>
      </c>
      <c r="F171" s="26" t="str">
        <f aca="false">INDEX(Equipment!$B$2:$B$137,MATCH(E171,Equipment!$A$2:$A$137,0))</f>
        <v>Fire &amp; gas panel</v>
      </c>
      <c r="G171" s="25" t="s">
        <v>183</v>
      </c>
      <c r="H171" s="26" t="str">
        <f aca="false">INDEX(Equipment!$B$2:$B$137,MATCH(G171,Equipment!$A$2:$A$137,0))</f>
        <v>F&amp;G junction box - GT enclosure</v>
      </c>
      <c r="I171" s="25" t="s">
        <v>549</v>
      </c>
      <c r="J171" s="26" t="str">
        <f aca="false">INDEX('Cable Types'!$B$2:$B$41,MATCH(I171,'Cable Types'!$A$2:$A$41,0))</f>
        <v>300/500 V 12 pair 1.0 mm2 IS/OS/SWA instrument</v>
      </c>
      <c r="K171" s="25" t="n">
        <v>1</v>
      </c>
      <c r="L171" s="25" t="s">
        <v>665</v>
      </c>
      <c r="M171" s="25" t="s">
        <v>638</v>
      </c>
      <c r="N171" s="25"/>
      <c r="O171" s="27" t="n">
        <f aca="false">IF(N171&lt;&gt;"",N171,IF(M171="D",ROUNDUP(SQRT((AH171-AE171)^2+(AI171-AF171)^2+(AJ171-AG171)^2)*(1+'Design Basis'!$C$6),0),ROUNDUP((ABS(AH171-AE171)+ABS(AI171-AF171)+ABS(AK171-AG171)+ABS(AK171-AJ171))*(1+'Design Basis'!$C$4)+2*'Design Basis'!$C$5,0)))</f>
        <v>103</v>
      </c>
      <c r="P171" s="27" t="n">
        <f aca="false">O171*K171*AM171</f>
        <v>103</v>
      </c>
      <c r="Q171" s="28"/>
      <c r="R171" s="25"/>
      <c r="S171" s="28"/>
      <c r="T171" s="29"/>
      <c r="U171" s="27" t="str">
        <f aca="false">IF(OR(S171="",Q171=""),"",IF(R171=3,S171*1000/(SQRT(3)*Q171*T171),S171*1000/(Q171*T171)))</f>
        <v/>
      </c>
      <c r="V171" s="27" t="str">
        <f aca="false">IF(OR(AO171="",AL171=""),"",AO171*AL171)</f>
        <v/>
      </c>
      <c r="W171" s="27" t="str">
        <f aca="false">IF(V171="","",V171*K171)</f>
        <v/>
      </c>
      <c r="X171" s="30" t="str">
        <f aca="false">IF(OR(U171="",W171=""),"",U171/W171)</f>
        <v/>
      </c>
      <c r="Y171" s="30" t="str">
        <f aca="false">IF(OR(U171="",AP171=""),"",AP171*(U171/K171)*O171/1000/Q171)</f>
        <v/>
      </c>
      <c r="Z171" s="30" t="str">
        <f aca="false">IF(U171="","",IFERROR(IF(INDEX('Design Basis'!$C$13:$C$21,MATCH(C171,'Design Basis'!$A$13:$A$21,0))="","",INDEX('Design Basis'!$C$13:$C$21,MATCH(C171,'Design Basis'!$A$13:$A$21,0))),""))</f>
        <v/>
      </c>
      <c r="AA171" s="31" t="str">
        <f aca="false">IF(U171="","n/a",IF(W171="","CHECK",IF(AND(X171&lt;=1,OR(Y171="",Z171="",Y171&lt;=Z171)),"OK","CHECK")))</f>
        <v>n/a</v>
      </c>
      <c r="AB171" s="27" t="n">
        <f aca="false">IF(AN171="","",K171*AM171*PI()/4*AN171^2)</f>
        <v>530.929158456675</v>
      </c>
      <c r="AC171" s="31" t="s">
        <v>989</v>
      </c>
      <c r="AE171" s="32" t="n">
        <f aca="false">INDEX(Equipment!$D$2:$D$137,MATCH(E171,Equipment!$A$2:$A$137,0))</f>
        <v>39</v>
      </c>
      <c r="AF171" s="32" t="n">
        <f aca="false">INDEX(Equipment!$E$2:$E$137,MATCH(E171,Equipment!$A$2:$A$137,0))</f>
        <v>55.5</v>
      </c>
      <c r="AG171" s="32" t="n">
        <f aca="false">INDEX(Equipment!$F$2:$F$137,MATCH(E171,Equipment!$A$2:$A$137,0))</f>
        <v>0.5</v>
      </c>
      <c r="AH171" s="32" t="n">
        <f aca="false">INDEX(Equipment!$D$2:$D$137,MATCH(G171,Equipment!$A$2:$A$137,0))</f>
        <v>60</v>
      </c>
      <c r="AI171" s="32" t="n">
        <f aca="false">INDEX(Equipment!$E$2:$E$137,MATCH(G171,Equipment!$A$2:$A$137,0))</f>
        <v>-3</v>
      </c>
      <c r="AJ171" s="32" t="n">
        <f aca="false">INDEX(Equipment!$F$2:$F$137,MATCH(G171,Equipment!$A$2:$A$137,0))</f>
        <v>1</v>
      </c>
      <c r="AK171" s="32" t="n">
        <f aca="false">IF(INDEX(Raceways!$D$2:$D$18,MATCH(L171,Raceways!$A$2:$A$18,0))="",0,INDEX(Raceways!$D$2:$D$18,MATCH(L171,Raceways!$A$2:$A$18,0)))</f>
        <v>5</v>
      </c>
      <c r="AL171" s="33" t="n">
        <f aca="false">IF(INDEX(Raceways!$I$2:$I$18,MATCH(L171,Raceways!$A$2:$A$18,0))="","",INDEX(Raceways!$I$2:$I$18,MATCH(L171,Raceways!$A$2:$A$18,0)))</f>
        <v>0.8</v>
      </c>
      <c r="AM171" s="26" t="n">
        <f aca="false">INDEX('Cable Types'!$D$2:$D$41,MATCH(I171,'Cable Types'!$A$2:$A$41,0))</f>
        <v>1</v>
      </c>
      <c r="AN171" s="26" t="n">
        <f aca="false">IF(INDEX('Cable Types'!$E$2:$E$41,MATCH(I171,'Cable Types'!$A$2:$A$41,0))="","",INDEX('Cable Types'!$E$2:$E$41,MATCH(I171,'Cable Types'!$A$2:$A$41,0)))</f>
        <v>26</v>
      </c>
      <c r="AO171" s="26" t="str">
        <f aca="false">IF(INDEX('Cable Types'!$F$2:$F$41,MATCH(I171,'Cable Types'!$A$2:$A$41,0))="","",INDEX('Cable Types'!$F$2:$F$41,MATCH(I171,'Cable Types'!$A$2:$A$41,0)))</f>
        <v/>
      </c>
      <c r="AP171" s="33" t="str">
        <f aca="false">IF(INDEX('Cable Types'!$G$2:$G$41,MATCH(I171,'Cable Types'!$A$2:$A$41,0))="","",INDEX('Cable Types'!$G$2:$G$41,MATCH(I171,'Cable Types'!$A$2:$A$41,0)))</f>
        <v/>
      </c>
    </row>
    <row r="172" customFormat="false" ht="15" hidden="false" customHeight="false" outlineLevel="0" collapsed="false">
      <c r="A172" s="25" t="s">
        <v>992</v>
      </c>
      <c r="B172" s="25" t="s">
        <v>285</v>
      </c>
      <c r="C172" s="25" t="s">
        <v>77</v>
      </c>
      <c r="D172" s="25" t="s">
        <v>993</v>
      </c>
      <c r="E172" s="25" t="s">
        <v>466</v>
      </c>
      <c r="F172" s="26" t="str">
        <f aca="false">INDEX(Equipment!$B$2:$B$137,MATCH(E172,Equipment!$A$2:$A$137,0))</f>
        <v>Fire &amp; gas panel</v>
      </c>
      <c r="G172" s="25" t="s">
        <v>334</v>
      </c>
      <c r="H172" s="26" t="str">
        <f aca="false">INDEX(Equipment!$B$2:$B$137,MATCH(G172,Equipment!$A$2:$A$137,0))</f>
        <v>F&amp;G junction box - CCS area</v>
      </c>
      <c r="I172" s="25" t="s">
        <v>549</v>
      </c>
      <c r="J172" s="26" t="str">
        <f aca="false">INDEX('Cable Types'!$B$2:$B$41,MATCH(I172,'Cable Types'!$A$2:$A$41,0))</f>
        <v>300/500 V 12 pair 1.0 mm2 IS/OS/SWA instrument</v>
      </c>
      <c r="K172" s="25" t="n">
        <v>1</v>
      </c>
      <c r="L172" s="25" t="s">
        <v>659</v>
      </c>
      <c r="M172" s="25" t="s">
        <v>638</v>
      </c>
      <c r="N172" s="25"/>
      <c r="O172" s="27" t="n">
        <f aca="false">IF(N172&lt;&gt;"",N172,IF(M172="D",ROUNDUP(SQRT((AH172-AE172)^2+(AI172-AF172)^2+(AJ172-AG172)^2)*(1+'Design Basis'!$C$6),0),ROUNDUP((ABS(AH172-AE172)+ABS(AI172-AF172)+ABS(AK172-AG172)+ABS(AK172-AJ172))*(1+'Design Basis'!$C$4)+2*'Design Basis'!$C$5,0)))</f>
        <v>226</v>
      </c>
      <c r="P172" s="27" t="n">
        <f aca="false">O172*K172*AM172</f>
        <v>226</v>
      </c>
      <c r="Q172" s="28"/>
      <c r="R172" s="25"/>
      <c r="S172" s="28"/>
      <c r="T172" s="29"/>
      <c r="U172" s="27" t="str">
        <f aca="false">IF(OR(S172="",Q172=""),"",IF(R172=3,S172*1000/(SQRT(3)*Q172*T172),S172*1000/(Q172*T172)))</f>
        <v/>
      </c>
      <c r="V172" s="27" t="str">
        <f aca="false">IF(OR(AO172="",AL172=""),"",AO172*AL172)</f>
        <v/>
      </c>
      <c r="W172" s="27" t="str">
        <f aca="false">IF(V172="","",V172*K172)</f>
        <v/>
      </c>
      <c r="X172" s="30" t="str">
        <f aca="false">IF(OR(U172="",W172=""),"",U172/W172)</f>
        <v/>
      </c>
      <c r="Y172" s="30" t="str">
        <f aca="false">IF(OR(U172="",AP172=""),"",AP172*(U172/K172)*O172/1000/Q172)</f>
        <v/>
      </c>
      <c r="Z172" s="30" t="str">
        <f aca="false">IF(U172="","",IFERROR(IF(INDEX('Design Basis'!$C$13:$C$21,MATCH(C172,'Design Basis'!$A$13:$A$21,0))="","",INDEX('Design Basis'!$C$13:$C$21,MATCH(C172,'Design Basis'!$A$13:$A$21,0))),""))</f>
        <v/>
      </c>
      <c r="AA172" s="31" t="str">
        <f aca="false">IF(U172="","n/a",IF(W172="","CHECK",IF(AND(X172&lt;=1,OR(Y172="",Z172="",Y172&lt;=Z172)),"OK","CHECK")))</f>
        <v>n/a</v>
      </c>
      <c r="AB172" s="27" t="n">
        <f aca="false">IF(AN172="","",K172*AM172*PI()/4*AN172^2)</f>
        <v>530.929158456675</v>
      </c>
      <c r="AC172" s="31" t="s">
        <v>989</v>
      </c>
      <c r="AE172" s="32" t="n">
        <f aca="false">INDEX(Equipment!$D$2:$D$137,MATCH(E172,Equipment!$A$2:$A$137,0))</f>
        <v>39</v>
      </c>
      <c r="AF172" s="32" t="n">
        <f aca="false">INDEX(Equipment!$E$2:$E$137,MATCH(E172,Equipment!$A$2:$A$137,0))</f>
        <v>55.5</v>
      </c>
      <c r="AG172" s="32" t="n">
        <f aca="false">INDEX(Equipment!$F$2:$F$137,MATCH(E172,Equipment!$A$2:$A$137,0))</f>
        <v>0.5</v>
      </c>
      <c r="AH172" s="32" t="n">
        <f aca="false">INDEX(Equipment!$D$2:$D$137,MATCH(G172,Equipment!$A$2:$A$137,0))</f>
        <v>172</v>
      </c>
      <c r="AI172" s="32" t="n">
        <f aca="false">INDEX(Equipment!$E$2:$E$137,MATCH(G172,Equipment!$A$2:$A$137,0))</f>
        <v>-3</v>
      </c>
      <c r="AJ172" s="32" t="n">
        <f aca="false">INDEX(Equipment!$F$2:$F$137,MATCH(G172,Equipment!$A$2:$A$137,0))</f>
        <v>1</v>
      </c>
      <c r="AK172" s="32" t="n">
        <f aca="false">IF(INDEX(Raceways!$D$2:$D$18,MATCH(L172,Raceways!$A$2:$A$18,0))="",0,INDEX(Raceways!$D$2:$D$18,MATCH(L172,Raceways!$A$2:$A$18,0)))</f>
        <v>5</v>
      </c>
      <c r="AL172" s="33" t="n">
        <f aca="false">IF(INDEX(Raceways!$I$2:$I$18,MATCH(L172,Raceways!$A$2:$A$18,0))="","",INDEX(Raceways!$I$2:$I$18,MATCH(L172,Raceways!$A$2:$A$18,0)))</f>
        <v>0.8</v>
      </c>
      <c r="AM172" s="26" t="n">
        <f aca="false">INDEX('Cable Types'!$D$2:$D$41,MATCH(I172,'Cable Types'!$A$2:$A$41,0))</f>
        <v>1</v>
      </c>
      <c r="AN172" s="26" t="n">
        <f aca="false">IF(INDEX('Cable Types'!$E$2:$E$41,MATCH(I172,'Cable Types'!$A$2:$A$41,0))="","",INDEX('Cable Types'!$E$2:$E$41,MATCH(I172,'Cable Types'!$A$2:$A$41,0)))</f>
        <v>26</v>
      </c>
      <c r="AO172" s="26" t="str">
        <f aca="false">IF(INDEX('Cable Types'!$F$2:$F$41,MATCH(I172,'Cable Types'!$A$2:$A$41,0))="","",INDEX('Cable Types'!$F$2:$F$41,MATCH(I172,'Cable Types'!$A$2:$A$41,0)))</f>
        <v/>
      </c>
      <c r="AP172" s="33" t="str">
        <f aca="false">IF(INDEX('Cable Types'!$G$2:$G$41,MATCH(I172,'Cable Types'!$A$2:$A$41,0))="","",INDEX('Cable Types'!$G$2:$G$41,MATCH(I172,'Cable Types'!$A$2:$A$41,0)))</f>
        <v/>
      </c>
    </row>
    <row r="173" customFormat="false" ht="15" hidden="false" customHeight="false" outlineLevel="0" collapsed="false">
      <c r="A173" s="25" t="s">
        <v>994</v>
      </c>
      <c r="B173" s="25" t="s">
        <v>133</v>
      </c>
      <c r="C173" s="25" t="s">
        <v>82</v>
      </c>
      <c r="D173" s="25" t="s">
        <v>995</v>
      </c>
      <c r="E173" s="25" t="s">
        <v>225</v>
      </c>
      <c r="F173" s="26" t="str">
        <f aca="false">INDEX(Equipment!$B$2:$B$137,MATCH(E173,Equipment!$A$2:$A$137,0))</f>
        <v>Power block main earth grid (nearest riser)</v>
      </c>
      <c r="G173" s="25" t="s">
        <v>225</v>
      </c>
      <c r="H173" s="26" t="str">
        <f aca="false">INDEX(Equipment!$B$2:$B$137,MATCH(G173,Equipment!$A$2:$A$137,0))</f>
        <v>Power block main earth grid (nearest riser)</v>
      </c>
      <c r="I173" s="25" t="s">
        <v>561</v>
      </c>
      <c r="J173" s="26" t="str">
        <f aca="false">INDEX('Cable Types'!$B$2:$B$41,MATCH(I173,'Cable Types'!$A$2:$A$41,0))</f>
        <v>Bare stranded Cu 120 mm2 earth conductor (buried)</v>
      </c>
      <c r="K173" s="25" t="n">
        <v>1</v>
      </c>
      <c r="L173" s="25" t="s">
        <v>996</v>
      </c>
      <c r="M173" s="25" t="s">
        <v>638</v>
      </c>
      <c r="N173" s="25" t="n">
        <v>1800</v>
      </c>
      <c r="O173" s="27" t="n">
        <f aca="false">IF(N173&lt;&gt;"",N173,IF(M173="D",ROUNDUP(SQRT((AH173-AE173)^2+(AI173-AF173)^2+(AJ173-AG173)^2)*(1+'Design Basis'!$C$6),0),ROUNDUP((ABS(AH173-AE173)+ABS(AI173-AF173)+ABS(AK173-AG173)+ABS(AK173-AJ173))*(1+'Design Basis'!$C$4)+2*'Design Basis'!$C$5,0)))</f>
        <v>1800</v>
      </c>
      <c r="P173" s="27" t="n">
        <f aca="false">O173*K173*AM173</f>
        <v>1800</v>
      </c>
      <c r="Q173" s="28"/>
      <c r="R173" s="25"/>
      <c r="S173" s="28"/>
      <c r="T173" s="29"/>
      <c r="U173" s="27" t="str">
        <f aca="false">IF(OR(S173="",Q173=""),"",IF(R173=3,S173*1000/(SQRT(3)*Q173*T173),S173*1000/(Q173*T173)))</f>
        <v/>
      </c>
      <c r="V173" s="27" t="str">
        <f aca="false">IF(OR(AO173="",AL173=""),"",AO173*AL173)</f>
        <v/>
      </c>
      <c r="W173" s="27" t="str">
        <f aca="false">IF(V173="","",V173*K173)</f>
        <v/>
      </c>
      <c r="X173" s="30" t="str">
        <f aca="false">IF(OR(U173="",W173=""),"",U173/W173)</f>
        <v/>
      </c>
      <c r="Y173" s="30" t="str">
        <f aca="false">IF(OR(U173="",AP173=""),"",AP173*(U173/K173)*O173/1000/Q173)</f>
        <v/>
      </c>
      <c r="Z173" s="30" t="str">
        <f aca="false">IF(U173="","",IFERROR(IF(INDEX('Design Basis'!$C$13:$C$21,MATCH(C173,'Design Basis'!$A$13:$A$21,0))="","",INDEX('Design Basis'!$C$13:$C$21,MATCH(C173,'Design Basis'!$A$13:$A$21,0))),""))</f>
        <v/>
      </c>
      <c r="AA173" s="31" t="str">
        <f aca="false">IF(U173="","n/a",IF(W173="","CHECK",IF(AND(X173&lt;=1,OR(Y173="",Z173="",Y173&lt;=Z173)),"OK","CHECK")))</f>
        <v>n/a</v>
      </c>
      <c r="AB173" s="27" t="n">
        <f aca="false">IF(AN173="","",K173*AM173*PI()/4*AN173^2)</f>
        <v>153.9380400259</v>
      </c>
      <c r="AC173" s="31" t="s">
        <v>997</v>
      </c>
      <c r="AE173" s="32" t="n">
        <f aca="false">INDEX(Equipment!$D$2:$D$137,MATCH(E173,Equipment!$A$2:$A$137,0))</f>
        <v>75</v>
      </c>
      <c r="AF173" s="32" t="n">
        <f aca="false">INDEX(Equipment!$E$2:$E$137,MATCH(E173,Equipment!$A$2:$A$137,0))</f>
        <v>20</v>
      </c>
      <c r="AG173" s="32" t="n">
        <f aca="false">INDEX(Equipment!$F$2:$F$137,MATCH(E173,Equipment!$A$2:$A$137,0))</f>
        <v>-0.8</v>
      </c>
      <c r="AH173" s="32" t="n">
        <f aca="false">INDEX(Equipment!$D$2:$D$137,MATCH(G173,Equipment!$A$2:$A$137,0))</f>
        <v>75</v>
      </c>
      <c r="AI173" s="32" t="n">
        <f aca="false">INDEX(Equipment!$E$2:$E$137,MATCH(G173,Equipment!$A$2:$A$137,0))</f>
        <v>20</v>
      </c>
      <c r="AJ173" s="32" t="n">
        <f aca="false">INDEX(Equipment!$F$2:$F$137,MATCH(G173,Equipment!$A$2:$A$137,0))</f>
        <v>-0.8</v>
      </c>
      <c r="AK173" s="32" t="n">
        <f aca="false">IF(INDEX(Raceways!$D$2:$D$18,MATCH(L173,Raceways!$A$2:$A$18,0))="",0,INDEX(Raceways!$D$2:$D$18,MATCH(L173,Raceways!$A$2:$A$18,0)))</f>
        <v>-0.8</v>
      </c>
      <c r="AL173" s="33" t="str">
        <f aca="false">IF(INDEX(Raceways!$I$2:$I$18,MATCH(L173,Raceways!$A$2:$A$18,0))="","",INDEX(Raceways!$I$2:$I$18,MATCH(L173,Raceways!$A$2:$A$18,0)))</f>
        <v/>
      </c>
      <c r="AM173" s="26" t="n">
        <f aca="false">INDEX('Cable Types'!$D$2:$D$41,MATCH(I173,'Cable Types'!$A$2:$A$41,0))</f>
        <v>1</v>
      </c>
      <c r="AN173" s="26" t="n">
        <f aca="false">IF(INDEX('Cable Types'!$E$2:$E$41,MATCH(I173,'Cable Types'!$A$2:$A$41,0))="","",INDEX('Cable Types'!$E$2:$E$41,MATCH(I173,'Cable Types'!$A$2:$A$41,0)))</f>
        <v>14</v>
      </c>
      <c r="AO173" s="26" t="str">
        <f aca="false">IF(INDEX('Cable Types'!$F$2:$F$41,MATCH(I173,'Cable Types'!$A$2:$A$41,0))="","",INDEX('Cable Types'!$F$2:$F$41,MATCH(I173,'Cable Types'!$A$2:$A$41,0)))</f>
        <v/>
      </c>
      <c r="AP173" s="33" t="str">
        <f aca="false">IF(INDEX('Cable Types'!$G$2:$G$41,MATCH(I173,'Cable Types'!$A$2:$A$41,0))="","",INDEX('Cable Types'!$G$2:$G$41,MATCH(I173,'Cable Types'!$A$2:$A$41,0)))</f>
        <v/>
      </c>
    </row>
    <row r="174" customFormat="false" ht="15" hidden="false" customHeight="false" outlineLevel="0" collapsed="false">
      <c r="A174" s="25" t="s">
        <v>998</v>
      </c>
      <c r="B174" s="25" t="s">
        <v>102</v>
      </c>
      <c r="C174" s="25" t="s">
        <v>82</v>
      </c>
      <c r="D174" s="25" t="s">
        <v>999</v>
      </c>
      <c r="E174" s="25" t="s">
        <v>468</v>
      </c>
      <c r="F174" s="26" t="str">
        <f aca="false">INDEX(Equipment!$B$2:$B$137,MATCH(E174,Equipment!$A$2:$A$137,0))</f>
        <v>Switchyard earth grid (nearest riser)</v>
      </c>
      <c r="G174" s="25" t="s">
        <v>468</v>
      </c>
      <c r="H174" s="26" t="str">
        <f aca="false">INDEX(Equipment!$B$2:$B$137,MATCH(G174,Equipment!$A$2:$A$137,0))</f>
        <v>Switchyard earth grid (nearest riser)</v>
      </c>
      <c r="I174" s="25" t="s">
        <v>561</v>
      </c>
      <c r="J174" s="26" t="str">
        <f aca="false">INDEX('Cable Types'!$B$2:$B$41,MATCH(I174,'Cable Types'!$A$2:$A$41,0))</f>
        <v>Bare stranded Cu 120 mm2 earth conductor (buried)</v>
      </c>
      <c r="K174" s="25" t="n">
        <v>1</v>
      </c>
      <c r="L174" s="25" t="s">
        <v>996</v>
      </c>
      <c r="M174" s="25" t="s">
        <v>638</v>
      </c>
      <c r="N174" s="25" t="n">
        <v>2400</v>
      </c>
      <c r="O174" s="27" t="n">
        <f aca="false">IF(N174&lt;&gt;"",N174,IF(M174="D",ROUNDUP(SQRT((AH174-AE174)^2+(AI174-AF174)^2+(AJ174-AG174)^2)*(1+'Design Basis'!$C$6),0),ROUNDUP((ABS(AH174-AE174)+ABS(AI174-AF174)+ABS(AK174-AG174)+ABS(AK174-AJ174))*(1+'Design Basis'!$C$4)+2*'Design Basis'!$C$5,0)))</f>
        <v>2400</v>
      </c>
      <c r="P174" s="27" t="n">
        <f aca="false">O174*K174*AM174</f>
        <v>2400</v>
      </c>
      <c r="Q174" s="28"/>
      <c r="R174" s="25"/>
      <c r="S174" s="28"/>
      <c r="T174" s="29"/>
      <c r="U174" s="27" t="str">
        <f aca="false">IF(OR(S174="",Q174=""),"",IF(R174=3,S174*1000/(SQRT(3)*Q174*T174),S174*1000/(Q174*T174)))</f>
        <v/>
      </c>
      <c r="V174" s="27" t="str">
        <f aca="false">IF(OR(AO174="",AL174=""),"",AO174*AL174)</f>
        <v/>
      </c>
      <c r="W174" s="27" t="str">
        <f aca="false">IF(V174="","",V174*K174)</f>
        <v/>
      </c>
      <c r="X174" s="30" t="str">
        <f aca="false">IF(OR(U174="",W174=""),"",U174/W174)</f>
        <v/>
      </c>
      <c r="Y174" s="30" t="str">
        <f aca="false">IF(OR(U174="",AP174=""),"",AP174*(U174/K174)*O174/1000/Q174)</f>
        <v/>
      </c>
      <c r="Z174" s="30" t="str">
        <f aca="false">IF(U174="","",IFERROR(IF(INDEX('Design Basis'!$C$13:$C$21,MATCH(C174,'Design Basis'!$A$13:$A$21,0))="","",INDEX('Design Basis'!$C$13:$C$21,MATCH(C174,'Design Basis'!$A$13:$A$21,0))),""))</f>
        <v/>
      </c>
      <c r="AA174" s="31" t="str">
        <f aca="false">IF(U174="","n/a",IF(W174="","CHECK",IF(AND(X174&lt;=1,OR(Y174="",Z174="",Y174&lt;=Z174)),"OK","CHECK")))</f>
        <v>n/a</v>
      </c>
      <c r="AB174" s="27" t="n">
        <f aca="false">IF(AN174="","",K174*AM174*PI()/4*AN174^2)</f>
        <v>153.9380400259</v>
      </c>
      <c r="AC174" s="31" t="s">
        <v>997</v>
      </c>
      <c r="AE174" s="32" t="n">
        <f aca="false">INDEX(Equipment!$D$2:$D$137,MATCH(E174,Equipment!$A$2:$A$137,0))</f>
        <v>50</v>
      </c>
      <c r="AF174" s="32" t="n">
        <f aca="false">INDEX(Equipment!$E$2:$E$137,MATCH(E174,Equipment!$A$2:$A$137,0))</f>
        <v>137.5</v>
      </c>
      <c r="AG174" s="32" t="n">
        <f aca="false">INDEX(Equipment!$F$2:$F$137,MATCH(E174,Equipment!$A$2:$A$137,0))</f>
        <v>-0.8</v>
      </c>
      <c r="AH174" s="32" t="n">
        <f aca="false">INDEX(Equipment!$D$2:$D$137,MATCH(G174,Equipment!$A$2:$A$137,0))</f>
        <v>50</v>
      </c>
      <c r="AI174" s="32" t="n">
        <f aca="false">INDEX(Equipment!$E$2:$E$137,MATCH(G174,Equipment!$A$2:$A$137,0))</f>
        <v>137.5</v>
      </c>
      <c r="AJ174" s="32" t="n">
        <f aca="false">INDEX(Equipment!$F$2:$F$137,MATCH(G174,Equipment!$A$2:$A$137,0))</f>
        <v>-0.8</v>
      </c>
      <c r="AK174" s="32" t="n">
        <f aca="false">IF(INDEX(Raceways!$D$2:$D$18,MATCH(L174,Raceways!$A$2:$A$18,0))="",0,INDEX(Raceways!$D$2:$D$18,MATCH(L174,Raceways!$A$2:$A$18,0)))</f>
        <v>-0.8</v>
      </c>
      <c r="AL174" s="33" t="str">
        <f aca="false">IF(INDEX(Raceways!$I$2:$I$18,MATCH(L174,Raceways!$A$2:$A$18,0))="","",INDEX(Raceways!$I$2:$I$18,MATCH(L174,Raceways!$A$2:$A$18,0)))</f>
        <v/>
      </c>
      <c r="AM174" s="26" t="n">
        <f aca="false">INDEX('Cable Types'!$D$2:$D$41,MATCH(I174,'Cable Types'!$A$2:$A$41,0))</f>
        <v>1</v>
      </c>
      <c r="AN174" s="26" t="n">
        <f aca="false">IF(INDEX('Cable Types'!$E$2:$E$41,MATCH(I174,'Cable Types'!$A$2:$A$41,0))="","",INDEX('Cable Types'!$E$2:$E$41,MATCH(I174,'Cable Types'!$A$2:$A$41,0)))</f>
        <v>14</v>
      </c>
      <c r="AO174" s="26" t="str">
        <f aca="false">IF(INDEX('Cable Types'!$F$2:$F$41,MATCH(I174,'Cable Types'!$A$2:$A$41,0))="","",INDEX('Cable Types'!$F$2:$F$41,MATCH(I174,'Cable Types'!$A$2:$A$41,0)))</f>
        <v/>
      </c>
      <c r="AP174" s="33" t="str">
        <f aca="false">IF(INDEX('Cable Types'!$G$2:$G$41,MATCH(I174,'Cable Types'!$A$2:$A$41,0))="","",INDEX('Cable Types'!$G$2:$G$41,MATCH(I174,'Cable Types'!$A$2:$A$41,0)))</f>
        <v/>
      </c>
    </row>
    <row r="175" customFormat="false" ht="15" hidden="false" customHeight="false" outlineLevel="0" collapsed="false">
      <c r="A175" s="25" t="s">
        <v>1000</v>
      </c>
      <c r="B175" s="25" t="s">
        <v>285</v>
      </c>
      <c r="C175" s="25" t="s">
        <v>82</v>
      </c>
      <c r="D175" s="25" t="s">
        <v>1001</v>
      </c>
      <c r="E175" s="25" t="s">
        <v>339</v>
      </c>
      <c r="F175" s="26" t="str">
        <f aca="false">INDEX(Equipment!$B$2:$B$137,MATCH(E175,Equipment!$A$2:$A$137,0))</f>
        <v>CCS area earth grid (nearest riser)</v>
      </c>
      <c r="G175" s="25" t="s">
        <v>339</v>
      </c>
      <c r="H175" s="26" t="str">
        <f aca="false">INDEX(Equipment!$B$2:$B$137,MATCH(G175,Equipment!$A$2:$A$137,0))</f>
        <v>CCS area earth grid (nearest riser)</v>
      </c>
      <c r="I175" s="25" t="s">
        <v>561</v>
      </c>
      <c r="J175" s="26" t="str">
        <f aca="false">INDEX('Cable Types'!$B$2:$B$41,MATCH(I175,'Cable Types'!$A$2:$A$41,0))</f>
        <v>Bare stranded Cu 120 mm2 earth conductor (buried)</v>
      </c>
      <c r="K175" s="25" t="n">
        <v>1</v>
      </c>
      <c r="L175" s="25" t="s">
        <v>996</v>
      </c>
      <c r="M175" s="25" t="s">
        <v>638</v>
      </c>
      <c r="N175" s="25" t="n">
        <v>1200</v>
      </c>
      <c r="O175" s="27" t="n">
        <f aca="false">IF(N175&lt;&gt;"",N175,IF(M175="D",ROUNDUP(SQRT((AH175-AE175)^2+(AI175-AF175)^2+(AJ175-AG175)^2)*(1+'Design Basis'!$C$6),0),ROUNDUP((ABS(AH175-AE175)+ABS(AI175-AF175)+ABS(AK175-AG175)+ABS(AK175-AJ175))*(1+'Design Basis'!$C$4)+2*'Design Basis'!$C$5,0)))</f>
        <v>1200</v>
      </c>
      <c r="P175" s="27" t="n">
        <f aca="false">O175*K175*AM175</f>
        <v>1200</v>
      </c>
      <c r="Q175" s="28"/>
      <c r="R175" s="25"/>
      <c r="S175" s="28"/>
      <c r="T175" s="29"/>
      <c r="U175" s="27" t="str">
        <f aca="false">IF(OR(S175="",Q175=""),"",IF(R175=3,S175*1000/(SQRT(3)*Q175*T175),S175*1000/(Q175*T175)))</f>
        <v/>
      </c>
      <c r="V175" s="27" t="str">
        <f aca="false">IF(OR(AO175="",AL175=""),"",AO175*AL175)</f>
        <v/>
      </c>
      <c r="W175" s="27" t="str">
        <f aca="false">IF(V175="","",V175*K175)</f>
        <v/>
      </c>
      <c r="X175" s="30" t="str">
        <f aca="false">IF(OR(U175="",W175=""),"",U175/W175)</f>
        <v/>
      </c>
      <c r="Y175" s="30" t="str">
        <f aca="false">IF(OR(U175="",AP175=""),"",AP175*(U175/K175)*O175/1000/Q175)</f>
        <v/>
      </c>
      <c r="Z175" s="30" t="str">
        <f aca="false">IF(U175="","",IFERROR(IF(INDEX('Design Basis'!$C$13:$C$21,MATCH(C175,'Design Basis'!$A$13:$A$21,0))="","",INDEX('Design Basis'!$C$13:$C$21,MATCH(C175,'Design Basis'!$A$13:$A$21,0))),""))</f>
        <v/>
      </c>
      <c r="AA175" s="31" t="str">
        <f aca="false">IF(U175="","n/a",IF(W175="","CHECK",IF(AND(X175&lt;=1,OR(Y175="",Z175="",Y175&lt;=Z175)),"OK","CHECK")))</f>
        <v>n/a</v>
      </c>
      <c r="AB175" s="27" t="n">
        <f aca="false">IF(AN175="","",K175*AM175*PI()/4*AN175^2)</f>
        <v>153.9380400259</v>
      </c>
      <c r="AC175" s="31" t="s">
        <v>1002</v>
      </c>
      <c r="AE175" s="32" t="n">
        <f aca="false">INDEX(Equipment!$D$2:$D$137,MATCH(E175,Equipment!$A$2:$A$137,0))</f>
        <v>190</v>
      </c>
      <c r="AF175" s="32" t="n">
        <f aca="false">INDEX(Equipment!$E$2:$E$137,MATCH(E175,Equipment!$A$2:$A$137,0))</f>
        <v>25</v>
      </c>
      <c r="AG175" s="32" t="n">
        <f aca="false">INDEX(Equipment!$F$2:$F$137,MATCH(E175,Equipment!$A$2:$A$137,0))</f>
        <v>-0.8</v>
      </c>
      <c r="AH175" s="32" t="n">
        <f aca="false">INDEX(Equipment!$D$2:$D$137,MATCH(G175,Equipment!$A$2:$A$137,0))</f>
        <v>190</v>
      </c>
      <c r="AI175" s="32" t="n">
        <f aca="false">INDEX(Equipment!$E$2:$E$137,MATCH(G175,Equipment!$A$2:$A$137,0))</f>
        <v>25</v>
      </c>
      <c r="AJ175" s="32" t="n">
        <f aca="false">INDEX(Equipment!$F$2:$F$137,MATCH(G175,Equipment!$A$2:$A$137,0))</f>
        <v>-0.8</v>
      </c>
      <c r="AK175" s="32" t="n">
        <f aca="false">IF(INDEX(Raceways!$D$2:$D$18,MATCH(L175,Raceways!$A$2:$A$18,0))="",0,INDEX(Raceways!$D$2:$D$18,MATCH(L175,Raceways!$A$2:$A$18,0)))</f>
        <v>-0.8</v>
      </c>
      <c r="AL175" s="33" t="str">
        <f aca="false">IF(INDEX(Raceways!$I$2:$I$18,MATCH(L175,Raceways!$A$2:$A$18,0))="","",INDEX(Raceways!$I$2:$I$18,MATCH(L175,Raceways!$A$2:$A$18,0)))</f>
        <v/>
      </c>
      <c r="AM175" s="26" t="n">
        <f aca="false">INDEX('Cable Types'!$D$2:$D$41,MATCH(I175,'Cable Types'!$A$2:$A$41,0))</f>
        <v>1</v>
      </c>
      <c r="AN175" s="26" t="n">
        <f aca="false">IF(INDEX('Cable Types'!$E$2:$E$41,MATCH(I175,'Cable Types'!$A$2:$A$41,0))="","",INDEX('Cable Types'!$E$2:$E$41,MATCH(I175,'Cable Types'!$A$2:$A$41,0)))</f>
        <v>14</v>
      </c>
      <c r="AO175" s="26" t="str">
        <f aca="false">IF(INDEX('Cable Types'!$F$2:$F$41,MATCH(I175,'Cable Types'!$A$2:$A$41,0))="","",INDEX('Cable Types'!$F$2:$F$41,MATCH(I175,'Cable Types'!$A$2:$A$41,0)))</f>
        <v/>
      </c>
      <c r="AP175" s="33" t="str">
        <f aca="false">IF(INDEX('Cable Types'!$G$2:$G$41,MATCH(I175,'Cable Types'!$A$2:$A$41,0))="","",INDEX('Cable Types'!$G$2:$G$41,MATCH(I175,'Cable Types'!$A$2:$A$41,0)))</f>
        <v/>
      </c>
    </row>
    <row r="176" customFormat="false" ht="15" hidden="false" customHeight="false" outlineLevel="0" collapsed="false">
      <c r="A176" s="25" t="s">
        <v>1003</v>
      </c>
      <c r="B176" s="25" t="s">
        <v>395</v>
      </c>
      <c r="C176" s="25" t="s">
        <v>82</v>
      </c>
      <c r="D176" s="25" t="s">
        <v>1004</v>
      </c>
      <c r="E176" s="25" t="s">
        <v>447</v>
      </c>
      <c r="F176" s="26" t="str">
        <f aca="false">INDEX(Equipment!$B$2:$B$137,MATCH(E176,Equipment!$A$2:$A$137,0))</f>
        <v>Gas / LNG area earth grid (nearest riser)</v>
      </c>
      <c r="G176" s="25" t="s">
        <v>447</v>
      </c>
      <c r="H176" s="26" t="str">
        <f aca="false">INDEX(Equipment!$B$2:$B$137,MATCH(G176,Equipment!$A$2:$A$137,0))</f>
        <v>Gas / LNG area earth grid (nearest riser)</v>
      </c>
      <c r="I176" s="25" t="s">
        <v>561</v>
      </c>
      <c r="J176" s="26" t="str">
        <f aca="false">INDEX('Cable Types'!$B$2:$B$41,MATCH(I176,'Cable Types'!$A$2:$A$41,0))</f>
        <v>Bare stranded Cu 120 mm2 earth conductor (buried)</v>
      </c>
      <c r="K176" s="25" t="n">
        <v>1</v>
      </c>
      <c r="L176" s="25" t="s">
        <v>996</v>
      </c>
      <c r="M176" s="25" t="s">
        <v>638</v>
      </c>
      <c r="N176" s="25" t="n">
        <v>900</v>
      </c>
      <c r="O176" s="27" t="n">
        <f aca="false">IF(N176&lt;&gt;"",N176,IF(M176="D",ROUNDUP(SQRT((AH176-AE176)^2+(AI176-AF176)^2+(AJ176-AG176)^2)*(1+'Design Basis'!$C$6),0),ROUNDUP((ABS(AH176-AE176)+ABS(AI176-AF176)+ABS(AK176-AG176)+ABS(AK176-AJ176))*(1+'Design Basis'!$C$4)+2*'Design Basis'!$C$5,0)))</f>
        <v>900</v>
      </c>
      <c r="P176" s="27" t="n">
        <f aca="false">O176*K176*AM176</f>
        <v>900</v>
      </c>
      <c r="Q176" s="28"/>
      <c r="R176" s="25"/>
      <c r="S176" s="28"/>
      <c r="T176" s="29"/>
      <c r="U176" s="27" t="str">
        <f aca="false">IF(OR(S176="",Q176=""),"",IF(R176=3,S176*1000/(SQRT(3)*Q176*T176),S176*1000/(Q176*T176)))</f>
        <v/>
      </c>
      <c r="V176" s="27" t="str">
        <f aca="false">IF(OR(AO176="",AL176=""),"",AO176*AL176)</f>
        <v/>
      </c>
      <c r="W176" s="27" t="str">
        <f aca="false">IF(V176="","",V176*K176)</f>
        <v/>
      </c>
      <c r="X176" s="30" t="str">
        <f aca="false">IF(OR(U176="",W176=""),"",U176/W176)</f>
        <v/>
      </c>
      <c r="Y176" s="30" t="str">
        <f aca="false">IF(OR(U176="",AP176=""),"",AP176*(U176/K176)*O176/1000/Q176)</f>
        <v/>
      </c>
      <c r="Z176" s="30" t="str">
        <f aca="false">IF(U176="","",IFERROR(IF(INDEX('Design Basis'!$C$13:$C$21,MATCH(C176,'Design Basis'!$A$13:$A$21,0))="","",INDEX('Design Basis'!$C$13:$C$21,MATCH(C176,'Design Basis'!$A$13:$A$21,0))),""))</f>
        <v/>
      </c>
      <c r="AA176" s="31" t="str">
        <f aca="false">IF(U176="","n/a",IF(W176="","CHECK",IF(AND(X176&lt;=1,OR(Y176="",Z176="",Y176&lt;=Z176)),"OK","CHECK")))</f>
        <v>n/a</v>
      </c>
      <c r="AB176" s="27" t="n">
        <f aca="false">IF(AN176="","",K176*AM176*PI()/4*AN176^2)</f>
        <v>153.9380400259</v>
      </c>
      <c r="AC176" s="31" t="s">
        <v>1002</v>
      </c>
      <c r="AE176" s="32" t="n">
        <f aca="false">INDEX(Equipment!$D$2:$D$137,MATCH(E176,Equipment!$A$2:$A$137,0))</f>
        <v>-30</v>
      </c>
      <c r="AF176" s="32" t="n">
        <f aca="false">INDEX(Equipment!$E$2:$E$137,MATCH(E176,Equipment!$A$2:$A$137,0))</f>
        <v>5</v>
      </c>
      <c r="AG176" s="32" t="n">
        <f aca="false">INDEX(Equipment!$F$2:$F$137,MATCH(E176,Equipment!$A$2:$A$137,0))</f>
        <v>-0.8</v>
      </c>
      <c r="AH176" s="32" t="n">
        <f aca="false">INDEX(Equipment!$D$2:$D$137,MATCH(G176,Equipment!$A$2:$A$137,0))</f>
        <v>-30</v>
      </c>
      <c r="AI176" s="32" t="n">
        <f aca="false">INDEX(Equipment!$E$2:$E$137,MATCH(G176,Equipment!$A$2:$A$137,0))</f>
        <v>5</v>
      </c>
      <c r="AJ176" s="32" t="n">
        <f aca="false">INDEX(Equipment!$F$2:$F$137,MATCH(G176,Equipment!$A$2:$A$137,0))</f>
        <v>-0.8</v>
      </c>
      <c r="AK176" s="32" t="n">
        <f aca="false">IF(INDEX(Raceways!$D$2:$D$18,MATCH(L176,Raceways!$A$2:$A$18,0))="",0,INDEX(Raceways!$D$2:$D$18,MATCH(L176,Raceways!$A$2:$A$18,0)))</f>
        <v>-0.8</v>
      </c>
      <c r="AL176" s="33" t="str">
        <f aca="false">IF(INDEX(Raceways!$I$2:$I$18,MATCH(L176,Raceways!$A$2:$A$18,0))="","",INDEX(Raceways!$I$2:$I$18,MATCH(L176,Raceways!$A$2:$A$18,0)))</f>
        <v/>
      </c>
      <c r="AM176" s="26" t="n">
        <f aca="false">INDEX('Cable Types'!$D$2:$D$41,MATCH(I176,'Cable Types'!$A$2:$A$41,0))</f>
        <v>1</v>
      </c>
      <c r="AN176" s="26" t="n">
        <f aca="false">IF(INDEX('Cable Types'!$E$2:$E$41,MATCH(I176,'Cable Types'!$A$2:$A$41,0))="","",INDEX('Cable Types'!$E$2:$E$41,MATCH(I176,'Cable Types'!$A$2:$A$41,0)))</f>
        <v>14</v>
      </c>
      <c r="AO176" s="26" t="str">
        <f aca="false">IF(INDEX('Cable Types'!$F$2:$F$41,MATCH(I176,'Cable Types'!$A$2:$A$41,0))="","",INDEX('Cable Types'!$F$2:$F$41,MATCH(I176,'Cable Types'!$A$2:$A$41,0)))</f>
        <v/>
      </c>
      <c r="AP176" s="33" t="str">
        <f aca="false">IF(INDEX('Cable Types'!$G$2:$G$41,MATCH(I176,'Cable Types'!$A$2:$A$41,0))="","",INDEX('Cable Types'!$G$2:$G$41,MATCH(I176,'Cable Types'!$A$2:$A$41,0)))</f>
        <v/>
      </c>
    </row>
    <row r="177" customFormat="false" ht="15" hidden="false" customHeight="false" outlineLevel="0" collapsed="false">
      <c r="A177" s="25" t="s">
        <v>1005</v>
      </c>
      <c r="B177" s="25" t="s">
        <v>127</v>
      </c>
      <c r="C177" s="25" t="s">
        <v>82</v>
      </c>
      <c r="D177" s="25" t="s">
        <v>1006</v>
      </c>
      <c r="E177" s="25" t="s">
        <v>351</v>
      </c>
      <c r="F177" s="26" t="str">
        <f aca="false">INDEX(Equipment!$B$2:$B$137,MATCH(E177,Equipment!$A$2:$A$137,0))</f>
        <v>RICE area earth grid (nearest riser)</v>
      </c>
      <c r="G177" s="25" t="s">
        <v>351</v>
      </c>
      <c r="H177" s="26" t="str">
        <f aca="false">INDEX(Equipment!$B$2:$B$137,MATCH(G177,Equipment!$A$2:$A$137,0))</f>
        <v>RICE area earth grid (nearest riser)</v>
      </c>
      <c r="I177" s="25" t="s">
        <v>561</v>
      </c>
      <c r="J177" s="26" t="str">
        <f aca="false">INDEX('Cable Types'!$B$2:$B$41,MATCH(I177,'Cable Types'!$A$2:$A$41,0))</f>
        <v>Bare stranded Cu 120 mm2 earth conductor (buried)</v>
      </c>
      <c r="K177" s="25" t="n">
        <v>1</v>
      </c>
      <c r="L177" s="25" t="s">
        <v>996</v>
      </c>
      <c r="M177" s="25" t="s">
        <v>638</v>
      </c>
      <c r="N177" s="25" t="n">
        <v>600</v>
      </c>
      <c r="O177" s="27" t="n">
        <f aca="false">IF(N177&lt;&gt;"",N177,IF(M177="D",ROUNDUP(SQRT((AH177-AE177)^2+(AI177-AF177)^2+(AJ177-AG177)^2)*(1+'Design Basis'!$C$6),0),ROUNDUP((ABS(AH177-AE177)+ABS(AI177-AF177)+ABS(AK177-AG177)+ABS(AK177-AJ177))*(1+'Design Basis'!$C$4)+2*'Design Basis'!$C$5,0)))</f>
        <v>600</v>
      </c>
      <c r="P177" s="27" t="n">
        <f aca="false">O177*K177*AM177</f>
        <v>600</v>
      </c>
      <c r="Q177" s="28"/>
      <c r="R177" s="25"/>
      <c r="S177" s="28"/>
      <c r="T177" s="29"/>
      <c r="U177" s="27" t="str">
        <f aca="false">IF(OR(S177="",Q177=""),"",IF(R177=3,S177*1000/(SQRT(3)*Q177*T177),S177*1000/(Q177*T177)))</f>
        <v/>
      </c>
      <c r="V177" s="27" t="str">
        <f aca="false">IF(OR(AO177="",AL177=""),"",AO177*AL177)</f>
        <v/>
      </c>
      <c r="W177" s="27" t="str">
        <f aca="false">IF(V177="","",V177*K177)</f>
        <v/>
      </c>
      <c r="X177" s="30" t="str">
        <f aca="false">IF(OR(U177="",W177=""),"",U177/W177)</f>
        <v/>
      </c>
      <c r="Y177" s="30" t="str">
        <f aca="false">IF(OR(U177="",AP177=""),"",AP177*(U177/K177)*O177/1000/Q177)</f>
        <v/>
      </c>
      <c r="Z177" s="30" t="str">
        <f aca="false">IF(U177="","",IFERROR(IF(INDEX('Design Basis'!$C$13:$C$21,MATCH(C177,'Design Basis'!$A$13:$A$21,0))="","",INDEX('Design Basis'!$C$13:$C$21,MATCH(C177,'Design Basis'!$A$13:$A$21,0))),""))</f>
        <v/>
      </c>
      <c r="AA177" s="31" t="str">
        <f aca="false">IF(U177="","n/a",IF(W177="","CHECK",IF(AND(X177&lt;=1,OR(Y177="",Z177="",Y177&lt;=Z177)),"OK","CHECK")))</f>
        <v>n/a</v>
      </c>
      <c r="AB177" s="27" t="n">
        <f aca="false">IF(AN177="","",K177*AM177*PI()/4*AN177^2)</f>
        <v>153.9380400259</v>
      </c>
      <c r="AC177" s="31" t="s">
        <v>1002</v>
      </c>
      <c r="AE177" s="32" t="n">
        <f aca="false">INDEX(Equipment!$D$2:$D$137,MATCH(E177,Equipment!$A$2:$A$137,0))</f>
        <v>-4</v>
      </c>
      <c r="AF177" s="32" t="n">
        <f aca="false">INDEX(Equipment!$E$2:$E$137,MATCH(E177,Equipment!$A$2:$A$137,0))</f>
        <v>85</v>
      </c>
      <c r="AG177" s="32" t="n">
        <f aca="false">INDEX(Equipment!$F$2:$F$137,MATCH(E177,Equipment!$A$2:$A$137,0))</f>
        <v>-0.8</v>
      </c>
      <c r="AH177" s="32" t="n">
        <f aca="false">INDEX(Equipment!$D$2:$D$137,MATCH(G177,Equipment!$A$2:$A$137,0))</f>
        <v>-4</v>
      </c>
      <c r="AI177" s="32" t="n">
        <f aca="false">INDEX(Equipment!$E$2:$E$137,MATCH(G177,Equipment!$A$2:$A$137,0))</f>
        <v>85</v>
      </c>
      <c r="AJ177" s="32" t="n">
        <f aca="false">INDEX(Equipment!$F$2:$F$137,MATCH(G177,Equipment!$A$2:$A$137,0))</f>
        <v>-0.8</v>
      </c>
      <c r="AK177" s="32" t="n">
        <f aca="false">IF(INDEX(Raceways!$D$2:$D$18,MATCH(L177,Raceways!$A$2:$A$18,0))="",0,INDEX(Raceways!$D$2:$D$18,MATCH(L177,Raceways!$A$2:$A$18,0)))</f>
        <v>-0.8</v>
      </c>
      <c r="AL177" s="33" t="str">
        <f aca="false">IF(INDEX(Raceways!$I$2:$I$18,MATCH(L177,Raceways!$A$2:$A$18,0))="","",INDEX(Raceways!$I$2:$I$18,MATCH(L177,Raceways!$A$2:$A$18,0)))</f>
        <v/>
      </c>
      <c r="AM177" s="26" t="n">
        <f aca="false">INDEX('Cable Types'!$D$2:$D$41,MATCH(I177,'Cable Types'!$A$2:$A$41,0))</f>
        <v>1</v>
      </c>
      <c r="AN177" s="26" t="n">
        <f aca="false">IF(INDEX('Cable Types'!$E$2:$E$41,MATCH(I177,'Cable Types'!$A$2:$A$41,0))="","",INDEX('Cable Types'!$E$2:$E$41,MATCH(I177,'Cable Types'!$A$2:$A$41,0)))</f>
        <v>14</v>
      </c>
      <c r="AO177" s="26" t="str">
        <f aca="false">IF(INDEX('Cable Types'!$F$2:$F$41,MATCH(I177,'Cable Types'!$A$2:$A$41,0))="","",INDEX('Cable Types'!$F$2:$F$41,MATCH(I177,'Cable Types'!$A$2:$A$41,0)))</f>
        <v/>
      </c>
      <c r="AP177" s="33" t="str">
        <f aca="false">IF(INDEX('Cable Types'!$G$2:$G$41,MATCH(I177,'Cable Types'!$A$2:$A$41,0))="","",INDEX('Cable Types'!$G$2:$G$41,MATCH(I177,'Cable Types'!$A$2:$A$41,0)))</f>
        <v/>
      </c>
    </row>
    <row r="178" customFormat="false" ht="15" hidden="false" customHeight="false" outlineLevel="0" collapsed="false">
      <c r="A178" s="25" t="s">
        <v>1007</v>
      </c>
      <c r="B178" s="25" t="s">
        <v>102</v>
      </c>
      <c r="C178" s="25" t="s">
        <v>82</v>
      </c>
      <c r="D178" s="25" t="s">
        <v>1008</v>
      </c>
      <c r="E178" s="25" t="s">
        <v>225</v>
      </c>
      <c r="F178" s="26" t="str">
        <f aca="false">INDEX(Equipment!$B$2:$B$137,MATCH(E178,Equipment!$A$2:$A$137,0))</f>
        <v>Power block main earth grid (nearest riser)</v>
      </c>
      <c r="G178" s="25" t="s">
        <v>468</v>
      </c>
      <c r="H178" s="26" t="str">
        <f aca="false">INDEX(Equipment!$B$2:$B$137,MATCH(G178,Equipment!$A$2:$A$137,0))</f>
        <v>Switchyard earth grid (nearest riser)</v>
      </c>
      <c r="I178" s="25" t="s">
        <v>561</v>
      </c>
      <c r="J178" s="26" t="str">
        <f aca="false">INDEX('Cable Types'!$B$2:$B$41,MATCH(I178,'Cable Types'!$A$2:$A$41,0))</f>
        <v>Bare stranded Cu 120 mm2 earth conductor (buried)</v>
      </c>
      <c r="K178" s="25" t="n">
        <v>2</v>
      </c>
      <c r="L178" s="25" t="s">
        <v>996</v>
      </c>
      <c r="M178" s="25" t="s">
        <v>638</v>
      </c>
      <c r="N178" s="25"/>
      <c r="O178" s="27" t="n">
        <f aca="false">IF(N178&lt;&gt;"",N178,IF(M178="D",ROUNDUP(SQRT((AH178-AE178)^2+(AI178-AF178)^2+(AJ178-AG178)^2)*(1+'Design Basis'!$C$6),0),ROUNDUP((ABS(AH178-AE178)+ABS(AI178-AF178)+ABS(AK178-AG178)+ABS(AK178-AJ178))*(1+'Design Basis'!$C$4)+2*'Design Basis'!$C$5,0)))</f>
        <v>163</v>
      </c>
      <c r="P178" s="27" t="n">
        <f aca="false">O178*K178*AM178</f>
        <v>326</v>
      </c>
      <c r="Q178" s="28"/>
      <c r="R178" s="25"/>
      <c r="S178" s="28"/>
      <c r="T178" s="29"/>
      <c r="U178" s="27" t="str">
        <f aca="false">IF(OR(S178="",Q178=""),"",IF(R178=3,S178*1000/(SQRT(3)*Q178*T178),S178*1000/(Q178*T178)))</f>
        <v/>
      </c>
      <c r="V178" s="27" t="str">
        <f aca="false">IF(OR(AO178="",AL178=""),"",AO178*AL178)</f>
        <v/>
      </c>
      <c r="W178" s="27" t="str">
        <f aca="false">IF(V178="","",V178*K178)</f>
        <v/>
      </c>
      <c r="X178" s="30" t="str">
        <f aca="false">IF(OR(U178="",W178=""),"",U178/W178)</f>
        <v/>
      </c>
      <c r="Y178" s="30" t="str">
        <f aca="false">IF(OR(U178="",AP178=""),"",AP178*(U178/K178)*O178/1000/Q178)</f>
        <v/>
      </c>
      <c r="Z178" s="30" t="str">
        <f aca="false">IF(U178="","",IFERROR(IF(INDEX('Design Basis'!$C$13:$C$21,MATCH(C178,'Design Basis'!$A$13:$A$21,0))="","",INDEX('Design Basis'!$C$13:$C$21,MATCH(C178,'Design Basis'!$A$13:$A$21,0))),""))</f>
        <v/>
      </c>
      <c r="AA178" s="31" t="str">
        <f aca="false">IF(U178="","n/a",IF(W178="","CHECK",IF(AND(X178&lt;=1,OR(Y178="",Z178="",Y178&lt;=Z178)),"OK","CHECK")))</f>
        <v>n/a</v>
      </c>
      <c r="AB178" s="27" t="n">
        <f aca="false">IF(AN178="","",K178*AM178*PI()/4*AN178^2)</f>
        <v>307.8760800518</v>
      </c>
      <c r="AC178" s="31" t="s">
        <v>1009</v>
      </c>
      <c r="AE178" s="32" t="n">
        <f aca="false">INDEX(Equipment!$D$2:$D$137,MATCH(E178,Equipment!$A$2:$A$137,0))</f>
        <v>75</v>
      </c>
      <c r="AF178" s="32" t="n">
        <f aca="false">INDEX(Equipment!$E$2:$E$137,MATCH(E178,Equipment!$A$2:$A$137,0))</f>
        <v>20</v>
      </c>
      <c r="AG178" s="32" t="n">
        <f aca="false">INDEX(Equipment!$F$2:$F$137,MATCH(E178,Equipment!$A$2:$A$137,0))</f>
        <v>-0.8</v>
      </c>
      <c r="AH178" s="32" t="n">
        <f aca="false">INDEX(Equipment!$D$2:$D$137,MATCH(G178,Equipment!$A$2:$A$137,0))</f>
        <v>50</v>
      </c>
      <c r="AI178" s="32" t="n">
        <f aca="false">INDEX(Equipment!$E$2:$E$137,MATCH(G178,Equipment!$A$2:$A$137,0))</f>
        <v>137.5</v>
      </c>
      <c r="AJ178" s="32" t="n">
        <f aca="false">INDEX(Equipment!$F$2:$F$137,MATCH(G178,Equipment!$A$2:$A$137,0))</f>
        <v>-0.8</v>
      </c>
      <c r="AK178" s="32" t="n">
        <f aca="false">IF(INDEX(Raceways!$D$2:$D$18,MATCH(L178,Raceways!$A$2:$A$18,0))="",0,INDEX(Raceways!$D$2:$D$18,MATCH(L178,Raceways!$A$2:$A$18,0)))</f>
        <v>-0.8</v>
      </c>
      <c r="AL178" s="33" t="str">
        <f aca="false">IF(INDEX(Raceways!$I$2:$I$18,MATCH(L178,Raceways!$A$2:$A$18,0))="","",INDEX(Raceways!$I$2:$I$18,MATCH(L178,Raceways!$A$2:$A$18,0)))</f>
        <v/>
      </c>
      <c r="AM178" s="26" t="n">
        <f aca="false">INDEX('Cable Types'!$D$2:$D$41,MATCH(I178,'Cable Types'!$A$2:$A$41,0))</f>
        <v>1</v>
      </c>
      <c r="AN178" s="26" t="n">
        <f aca="false">IF(INDEX('Cable Types'!$E$2:$E$41,MATCH(I178,'Cable Types'!$A$2:$A$41,0))="","",INDEX('Cable Types'!$E$2:$E$41,MATCH(I178,'Cable Types'!$A$2:$A$41,0)))</f>
        <v>14</v>
      </c>
      <c r="AO178" s="26" t="str">
        <f aca="false">IF(INDEX('Cable Types'!$F$2:$F$41,MATCH(I178,'Cable Types'!$A$2:$A$41,0))="","",INDEX('Cable Types'!$F$2:$F$41,MATCH(I178,'Cable Types'!$A$2:$A$41,0)))</f>
        <v/>
      </c>
      <c r="AP178" s="33" t="str">
        <f aca="false">IF(INDEX('Cable Types'!$G$2:$G$41,MATCH(I178,'Cable Types'!$A$2:$A$41,0))="","",INDEX('Cable Types'!$G$2:$G$41,MATCH(I178,'Cable Types'!$A$2:$A$41,0)))</f>
        <v/>
      </c>
    </row>
    <row r="179" customFormat="false" ht="15" hidden="false" customHeight="false" outlineLevel="0" collapsed="false">
      <c r="A179" s="25" t="s">
        <v>1010</v>
      </c>
      <c r="B179" s="25" t="s">
        <v>127</v>
      </c>
      <c r="C179" s="25" t="s">
        <v>82</v>
      </c>
      <c r="D179" s="25" t="s">
        <v>1011</v>
      </c>
      <c r="E179" s="25" t="s">
        <v>225</v>
      </c>
      <c r="F179" s="26" t="str">
        <f aca="false">INDEX(Equipment!$B$2:$B$137,MATCH(E179,Equipment!$A$2:$A$137,0))</f>
        <v>Power block main earth grid (nearest riser)</v>
      </c>
      <c r="G179" s="25" t="s">
        <v>351</v>
      </c>
      <c r="H179" s="26" t="str">
        <f aca="false">INDEX(Equipment!$B$2:$B$137,MATCH(G179,Equipment!$A$2:$A$137,0))</f>
        <v>RICE area earth grid (nearest riser)</v>
      </c>
      <c r="I179" s="25" t="s">
        <v>561</v>
      </c>
      <c r="J179" s="26" t="str">
        <f aca="false">INDEX('Cable Types'!$B$2:$B$41,MATCH(I179,'Cable Types'!$A$2:$A$41,0))</f>
        <v>Bare stranded Cu 120 mm2 earth conductor (buried)</v>
      </c>
      <c r="K179" s="25" t="n">
        <v>2</v>
      </c>
      <c r="L179" s="25" t="s">
        <v>996</v>
      </c>
      <c r="M179" s="25" t="s">
        <v>638</v>
      </c>
      <c r="N179" s="25"/>
      <c r="O179" s="27" t="n">
        <f aca="false">IF(N179&lt;&gt;"",N179,IF(M179="D",ROUNDUP(SQRT((AH179-AE179)^2+(AI179-AF179)^2+(AJ179-AG179)^2)*(1+'Design Basis'!$C$6),0),ROUNDUP((ABS(AH179-AE179)+ABS(AI179-AF179)+ABS(AK179-AG179)+ABS(AK179-AJ179))*(1+'Design Basis'!$C$4)+2*'Design Basis'!$C$5,0)))</f>
        <v>165</v>
      </c>
      <c r="P179" s="27" t="n">
        <f aca="false">O179*K179*AM179</f>
        <v>330</v>
      </c>
      <c r="Q179" s="28"/>
      <c r="R179" s="25"/>
      <c r="S179" s="28"/>
      <c r="T179" s="29"/>
      <c r="U179" s="27" t="str">
        <f aca="false">IF(OR(S179="",Q179=""),"",IF(R179=3,S179*1000/(SQRT(3)*Q179*T179),S179*1000/(Q179*T179)))</f>
        <v/>
      </c>
      <c r="V179" s="27" t="str">
        <f aca="false">IF(OR(AO179="",AL179=""),"",AO179*AL179)</f>
        <v/>
      </c>
      <c r="W179" s="27" t="str">
        <f aca="false">IF(V179="","",V179*K179)</f>
        <v/>
      </c>
      <c r="X179" s="30" t="str">
        <f aca="false">IF(OR(U179="",W179=""),"",U179/W179)</f>
        <v/>
      </c>
      <c r="Y179" s="30" t="str">
        <f aca="false">IF(OR(U179="",AP179=""),"",AP179*(U179/K179)*O179/1000/Q179)</f>
        <v/>
      </c>
      <c r="Z179" s="30" t="str">
        <f aca="false">IF(U179="","",IFERROR(IF(INDEX('Design Basis'!$C$13:$C$21,MATCH(C179,'Design Basis'!$A$13:$A$21,0))="","",INDEX('Design Basis'!$C$13:$C$21,MATCH(C179,'Design Basis'!$A$13:$A$21,0))),""))</f>
        <v/>
      </c>
      <c r="AA179" s="31" t="str">
        <f aca="false">IF(U179="","n/a",IF(W179="","CHECK",IF(AND(X179&lt;=1,OR(Y179="",Z179="",Y179&lt;=Z179)),"OK","CHECK")))</f>
        <v>n/a</v>
      </c>
      <c r="AB179" s="27" t="n">
        <f aca="false">IF(AN179="","",K179*AM179*PI()/4*AN179^2)</f>
        <v>307.8760800518</v>
      </c>
      <c r="AC179" s="31"/>
      <c r="AE179" s="32" t="n">
        <f aca="false">INDEX(Equipment!$D$2:$D$137,MATCH(E179,Equipment!$A$2:$A$137,0))</f>
        <v>75</v>
      </c>
      <c r="AF179" s="32" t="n">
        <f aca="false">INDEX(Equipment!$E$2:$E$137,MATCH(E179,Equipment!$A$2:$A$137,0))</f>
        <v>20</v>
      </c>
      <c r="AG179" s="32" t="n">
        <f aca="false">INDEX(Equipment!$F$2:$F$137,MATCH(E179,Equipment!$A$2:$A$137,0))</f>
        <v>-0.8</v>
      </c>
      <c r="AH179" s="32" t="n">
        <f aca="false">INDEX(Equipment!$D$2:$D$137,MATCH(G179,Equipment!$A$2:$A$137,0))</f>
        <v>-4</v>
      </c>
      <c r="AI179" s="32" t="n">
        <f aca="false">INDEX(Equipment!$E$2:$E$137,MATCH(G179,Equipment!$A$2:$A$137,0))</f>
        <v>85</v>
      </c>
      <c r="AJ179" s="32" t="n">
        <f aca="false">INDEX(Equipment!$F$2:$F$137,MATCH(G179,Equipment!$A$2:$A$137,0))</f>
        <v>-0.8</v>
      </c>
      <c r="AK179" s="32" t="n">
        <f aca="false">IF(INDEX(Raceways!$D$2:$D$18,MATCH(L179,Raceways!$A$2:$A$18,0))="",0,INDEX(Raceways!$D$2:$D$18,MATCH(L179,Raceways!$A$2:$A$18,0)))</f>
        <v>-0.8</v>
      </c>
      <c r="AL179" s="33" t="str">
        <f aca="false">IF(INDEX(Raceways!$I$2:$I$18,MATCH(L179,Raceways!$A$2:$A$18,0))="","",INDEX(Raceways!$I$2:$I$18,MATCH(L179,Raceways!$A$2:$A$18,0)))</f>
        <v/>
      </c>
      <c r="AM179" s="26" t="n">
        <f aca="false">INDEX('Cable Types'!$D$2:$D$41,MATCH(I179,'Cable Types'!$A$2:$A$41,0))</f>
        <v>1</v>
      </c>
      <c r="AN179" s="26" t="n">
        <f aca="false">IF(INDEX('Cable Types'!$E$2:$E$41,MATCH(I179,'Cable Types'!$A$2:$A$41,0))="","",INDEX('Cable Types'!$E$2:$E$41,MATCH(I179,'Cable Types'!$A$2:$A$41,0)))</f>
        <v>14</v>
      </c>
      <c r="AO179" s="26" t="str">
        <f aca="false">IF(INDEX('Cable Types'!$F$2:$F$41,MATCH(I179,'Cable Types'!$A$2:$A$41,0))="","",INDEX('Cable Types'!$F$2:$F$41,MATCH(I179,'Cable Types'!$A$2:$A$41,0)))</f>
        <v/>
      </c>
      <c r="AP179" s="33" t="str">
        <f aca="false">IF(INDEX('Cable Types'!$G$2:$G$41,MATCH(I179,'Cable Types'!$A$2:$A$41,0))="","",INDEX('Cable Types'!$G$2:$G$41,MATCH(I179,'Cable Types'!$A$2:$A$41,0)))</f>
        <v/>
      </c>
    </row>
    <row r="180" customFormat="false" ht="15" hidden="false" customHeight="false" outlineLevel="0" collapsed="false">
      <c r="A180" s="25" t="s">
        <v>1012</v>
      </c>
      <c r="B180" s="25" t="s">
        <v>285</v>
      </c>
      <c r="C180" s="25" t="s">
        <v>82</v>
      </c>
      <c r="D180" s="25" t="s">
        <v>1013</v>
      </c>
      <c r="E180" s="25" t="s">
        <v>225</v>
      </c>
      <c r="F180" s="26" t="str">
        <f aca="false">INDEX(Equipment!$B$2:$B$137,MATCH(E180,Equipment!$A$2:$A$137,0))</f>
        <v>Power block main earth grid (nearest riser)</v>
      </c>
      <c r="G180" s="25" t="s">
        <v>339</v>
      </c>
      <c r="H180" s="26" t="str">
        <f aca="false">INDEX(Equipment!$B$2:$B$137,MATCH(G180,Equipment!$A$2:$A$137,0))</f>
        <v>CCS area earth grid (nearest riser)</v>
      </c>
      <c r="I180" s="25" t="s">
        <v>561</v>
      </c>
      <c r="J180" s="26" t="str">
        <f aca="false">INDEX('Cable Types'!$B$2:$B$41,MATCH(I180,'Cable Types'!$A$2:$A$41,0))</f>
        <v>Bare stranded Cu 120 mm2 earth conductor (buried)</v>
      </c>
      <c r="K180" s="25" t="n">
        <v>2</v>
      </c>
      <c r="L180" s="25" t="s">
        <v>996</v>
      </c>
      <c r="M180" s="25" t="s">
        <v>638</v>
      </c>
      <c r="N180" s="25"/>
      <c r="O180" s="27" t="n">
        <f aca="false">IF(N180&lt;&gt;"",N180,IF(M180="D",ROUNDUP(SQRT((AH180-AE180)^2+(AI180-AF180)^2+(AJ180-AG180)^2)*(1+'Design Basis'!$C$6),0),ROUNDUP((ABS(AH180-AE180)+ABS(AI180-AF180)+ABS(AK180-AG180)+ABS(AK180-AJ180))*(1+'Design Basis'!$C$4)+2*'Design Basis'!$C$5,0)))</f>
        <v>138</v>
      </c>
      <c r="P180" s="27" t="n">
        <f aca="false">O180*K180*AM180</f>
        <v>276</v>
      </c>
      <c r="Q180" s="28"/>
      <c r="R180" s="25"/>
      <c r="S180" s="28"/>
      <c r="T180" s="29"/>
      <c r="U180" s="27" t="str">
        <f aca="false">IF(OR(S180="",Q180=""),"",IF(R180=3,S180*1000/(SQRT(3)*Q180*T180),S180*1000/(Q180*T180)))</f>
        <v/>
      </c>
      <c r="V180" s="27" t="str">
        <f aca="false">IF(OR(AO180="",AL180=""),"",AO180*AL180)</f>
        <v/>
      </c>
      <c r="W180" s="27" t="str">
        <f aca="false">IF(V180="","",V180*K180)</f>
        <v/>
      </c>
      <c r="X180" s="30" t="str">
        <f aca="false">IF(OR(U180="",W180=""),"",U180/W180)</f>
        <v/>
      </c>
      <c r="Y180" s="30" t="str">
        <f aca="false">IF(OR(U180="",AP180=""),"",AP180*(U180/K180)*O180/1000/Q180)</f>
        <v/>
      </c>
      <c r="Z180" s="30" t="str">
        <f aca="false">IF(U180="","",IFERROR(IF(INDEX('Design Basis'!$C$13:$C$21,MATCH(C180,'Design Basis'!$A$13:$A$21,0))="","",INDEX('Design Basis'!$C$13:$C$21,MATCH(C180,'Design Basis'!$A$13:$A$21,0))),""))</f>
        <v/>
      </c>
      <c r="AA180" s="31" t="str">
        <f aca="false">IF(U180="","n/a",IF(W180="","CHECK",IF(AND(X180&lt;=1,OR(Y180="",Z180="",Y180&lt;=Z180)),"OK","CHECK")))</f>
        <v>n/a</v>
      </c>
      <c r="AB180" s="27" t="n">
        <f aca="false">IF(AN180="","",K180*AM180*PI()/4*AN180^2)</f>
        <v>307.8760800518</v>
      </c>
      <c r="AC180" s="31"/>
      <c r="AE180" s="32" t="n">
        <f aca="false">INDEX(Equipment!$D$2:$D$137,MATCH(E180,Equipment!$A$2:$A$137,0))</f>
        <v>75</v>
      </c>
      <c r="AF180" s="32" t="n">
        <f aca="false">INDEX(Equipment!$E$2:$E$137,MATCH(E180,Equipment!$A$2:$A$137,0))</f>
        <v>20</v>
      </c>
      <c r="AG180" s="32" t="n">
        <f aca="false">INDEX(Equipment!$F$2:$F$137,MATCH(E180,Equipment!$A$2:$A$137,0))</f>
        <v>-0.8</v>
      </c>
      <c r="AH180" s="32" t="n">
        <f aca="false">INDEX(Equipment!$D$2:$D$137,MATCH(G180,Equipment!$A$2:$A$137,0))</f>
        <v>190</v>
      </c>
      <c r="AI180" s="32" t="n">
        <f aca="false">INDEX(Equipment!$E$2:$E$137,MATCH(G180,Equipment!$A$2:$A$137,0))</f>
        <v>25</v>
      </c>
      <c r="AJ180" s="32" t="n">
        <f aca="false">INDEX(Equipment!$F$2:$F$137,MATCH(G180,Equipment!$A$2:$A$137,0))</f>
        <v>-0.8</v>
      </c>
      <c r="AK180" s="32" t="n">
        <f aca="false">IF(INDEX(Raceways!$D$2:$D$18,MATCH(L180,Raceways!$A$2:$A$18,0))="",0,INDEX(Raceways!$D$2:$D$18,MATCH(L180,Raceways!$A$2:$A$18,0)))</f>
        <v>-0.8</v>
      </c>
      <c r="AL180" s="33" t="str">
        <f aca="false">IF(INDEX(Raceways!$I$2:$I$18,MATCH(L180,Raceways!$A$2:$A$18,0))="","",INDEX(Raceways!$I$2:$I$18,MATCH(L180,Raceways!$A$2:$A$18,0)))</f>
        <v/>
      </c>
      <c r="AM180" s="26" t="n">
        <f aca="false">INDEX('Cable Types'!$D$2:$D$41,MATCH(I180,'Cable Types'!$A$2:$A$41,0))</f>
        <v>1</v>
      </c>
      <c r="AN180" s="26" t="n">
        <f aca="false">IF(INDEX('Cable Types'!$E$2:$E$41,MATCH(I180,'Cable Types'!$A$2:$A$41,0))="","",INDEX('Cable Types'!$E$2:$E$41,MATCH(I180,'Cable Types'!$A$2:$A$41,0)))</f>
        <v>14</v>
      </c>
      <c r="AO180" s="26" t="str">
        <f aca="false">IF(INDEX('Cable Types'!$F$2:$F$41,MATCH(I180,'Cable Types'!$A$2:$A$41,0))="","",INDEX('Cable Types'!$F$2:$F$41,MATCH(I180,'Cable Types'!$A$2:$A$41,0)))</f>
        <v/>
      </c>
      <c r="AP180" s="33" t="str">
        <f aca="false">IF(INDEX('Cable Types'!$G$2:$G$41,MATCH(I180,'Cable Types'!$A$2:$A$41,0))="","",INDEX('Cable Types'!$G$2:$G$41,MATCH(I180,'Cable Types'!$A$2:$A$41,0)))</f>
        <v/>
      </c>
    </row>
    <row r="181" customFormat="false" ht="15" hidden="false" customHeight="false" outlineLevel="0" collapsed="false">
      <c r="A181" s="25" t="s">
        <v>1014</v>
      </c>
      <c r="B181" s="25" t="s">
        <v>395</v>
      </c>
      <c r="C181" s="25" t="s">
        <v>82</v>
      </c>
      <c r="D181" s="25" t="s">
        <v>1015</v>
      </c>
      <c r="E181" s="25" t="s">
        <v>225</v>
      </c>
      <c r="F181" s="26" t="str">
        <f aca="false">INDEX(Equipment!$B$2:$B$137,MATCH(E181,Equipment!$A$2:$A$137,0))</f>
        <v>Power block main earth grid (nearest riser)</v>
      </c>
      <c r="G181" s="25" t="s">
        <v>447</v>
      </c>
      <c r="H181" s="26" t="str">
        <f aca="false">INDEX(Equipment!$B$2:$B$137,MATCH(G181,Equipment!$A$2:$A$137,0))</f>
        <v>Gas / LNG area earth grid (nearest riser)</v>
      </c>
      <c r="I181" s="25" t="s">
        <v>561</v>
      </c>
      <c r="J181" s="26" t="str">
        <f aca="false">INDEX('Cable Types'!$B$2:$B$41,MATCH(I181,'Cable Types'!$A$2:$A$41,0))</f>
        <v>Bare stranded Cu 120 mm2 earth conductor (buried)</v>
      </c>
      <c r="K181" s="25" t="n">
        <v>2</v>
      </c>
      <c r="L181" s="25" t="s">
        <v>996</v>
      </c>
      <c r="M181" s="25" t="s">
        <v>638</v>
      </c>
      <c r="N181" s="25"/>
      <c r="O181" s="27" t="n">
        <f aca="false">IF(N181&lt;&gt;"",N181,IF(M181="D",ROUNDUP(SQRT((AH181-AE181)^2+(AI181-AF181)^2+(AJ181-AG181)^2)*(1+'Design Basis'!$C$6),0),ROUNDUP((ABS(AH181-AE181)+ABS(AI181-AF181)+ABS(AK181-AG181)+ABS(AK181-AJ181))*(1+'Design Basis'!$C$4)+2*'Design Basis'!$C$5,0)))</f>
        <v>138</v>
      </c>
      <c r="P181" s="27" t="n">
        <f aca="false">O181*K181*AM181</f>
        <v>276</v>
      </c>
      <c r="Q181" s="28"/>
      <c r="R181" s="25"/>
      <c r="S181" s="28"/>
      <c r="T181" s="29"/>
      <c r="U181" s="27" t="str">
        <f aca="false">IF(OR(S181="",Q181=""),"",IF(R181=3,S181*1000/(SQRT(3)*Q181*T181),S181*1000/(Q181*T181)))</f>
        <v/>
      </c>
      <c r="V181" s="27" t="str">
        <f aca="false">IF(OR(AO181="",AL181=""),"",AO181*AL181)</f>
        <v/>
      </c>
      <c r="W181" s="27" t="str">
        <f aca="false">IF(V181="","",V181*K181)</f>
        <v/>
      </c>
      <c r="X181" s="30" t="str">
        <f aca="false">IF(OR(U181="",W181=""),"",U181/W181)</f>
        <v/>
      </c>
      <c r="Y181" s="30" t="str">
        <f aca="false">IF(OR(U181="",AP181=""),"",AP181*(U181/K181)*O181/1000/Q181)</f>
        <v/>
      </c>
      <c r="Z181" s="30" t="str">
        <f aca="false">IF(U181="","",IFERROR(IF(INDEX('Design Basis'!$C$13:$C$21,MATCH(C181,'Design Basis'!$A$13:$A$21,0))="","",INDEX('Design Basis'!$C$13:$C$21,MATCH(C181,'Design Basis'!$A$13:$A$21,0))),""))</f>
        <v/>
      </c>
      <c r="AA181" s="31" t="str">
        <f aca="false">IF(U181="","n/a",IF(W181="","CHECK",IF(AND(X181&lt;=1,OR(Y181="",Z181="",Y181&lt;=Z181)),"OK","CHECK")))</f>
        <v>n/a</v>
      </c>
      <c r="AB181" s="27" t="n">
        <f aca="false">IF(AN181="","",K181*AM181*PI()/4*AN181^2)</f>
        <v>307.8760800518</v>
      </c>
      <c r="AC181" s="31" t="s">
        <v>1016</v>
      </c>
      <c r="AE181" s="32" t="n">
        <f aca="false">INDEX(Equipment!$D$2:$D$137,MATCH(E181,Equipment!$A$2:$A$137,0))</f>
        <v>75</v>
      </c>
      <c r="AF181" s="32" t="n">
        <f aca="false">INDEX(Equipment!$E$2:$E$137,MATCH(E181,Equipment!$A$2:$A$137,0))</f>
        <v>20</v>
      </c>
      <c r="AG181" s="32" t="n">
        <f aca="false">INDEX(Equipment!$F$2:$F$137,MATCH(E181,Equipment!$A$2:$A$137,0))</f>
        <v>-0.8</v>
      </c>
      <c r="AH181" s="32" t="n">
        <f aca="false">INDEX(Equipment!$D$2:$D$137,MATCH(G181,Equipment!$A$2:$A$137,0))</f>
        <v>-30</v>
      </c>
      <c r="AI181" s="32" t="n">
        <f aca="false">INDEX(Equipment!$E$2:$E$137,MATCH(G181,Equipment!$A$2:$A$137,0))</f>
        <v>5</v>
      </c>
      <c r="AJ181" s="32" t="n">
        <f aca="false">INDEX(Equipment!$F$2:$F$137,MATCH(G181,Equipment!$A$2:$A$137,0))</f>
        <v>-0.8</v>
      </c>
      <c r="AK181" s="32" t="n">
        <f aca="false">IF(INDEX(Raceways!$D$2:$D$18,MATCH(L181,Raceways!$A$2:$A$18,0))="",0,INDEX(Raceways!$D$2:$D$18,MATCH(L181,Raceways!$A$2:$A$18,0)))</f>
        <v>-0.8</v>
      </c>
      <c r="AL181" s="33" t="str">
        <f aca="false">IF(INDEX(Raceways!$I$2:$I$18,MATCH(L181,Raceways!$A$2:$A$18,0))="","",INDEX(Raceways!$I$2:$I$18,MATCH(L181,Raceways!$A$2:$A$18,0)))</f>
        <v/>
      </c>
      <c r="AM181" s="26" t="n">
        <f aca="false">INDEX('Cable Types'!$D$2:$D$41,MATCH(I181,'Cable Types'!$A$2:$A$41,0))</f>
        <v>1</v>
      </c>
      <c r="AN181" s="26" t="n">
        <f aca="false">IF(INDEX('Cable Types'!$E$2:$E$41,MATCH(I181,'Cable Types'!$A$2:$A$41,0))="","",INDEX('Cable Types'!$E$2:$E$41,MATCH(I181,'Cable Types'!$A$2:$A$41,0)))</f>
        <v>14</v>
      </c>
      <c r="AO181" s="26" t="str">
        <f aca="false">IF(INDEX('Cable Types'!$F$2:$F$41,MATCH(I181,'Cable Types'!$A$2:$A$41,0))="","",INDEX('Cable Types'!$F$2:$F$41,MATCH(I181,'Cable Types'!$A$2:$A$41,0)))</f>
        <v/>
      </c>
      <c r="AP181" s="33" t="str">
        <f aca="false">IF(INDEX('Cable Types'!$G$2:$G$41,MATCH(I181,'Cable Types'!$A$2:$A$41,0))="","",INDEX('Cable Types'!$G$2:$G$41,MATCH(I181,'Cable Types'!$A$2:$A$41,0)))</f>
        <v/>
      </c>
    </row>
    <row r="182" customFormat="false" ht="15" hidden="false" customHeight="false" outlineLevel="0" collapsed="false">
      <c r="A182" s="25" t="s">
        <v>1017</v>
      </c>
      <c r="B182" s="25" t="s">
        <v>133</v>
      </c>
      <c r="C182" s="25" t="s">
        <v>82</v>
      </c>
      <c r="D182" s="25" t="s">
        <v>1018</v>
      </c>
      <c r="E182" s="25" t="s">
        <v>141</v>
      </c>
      <c r="F182" s="26" t="str">
        <f aca="false">INDEX(Equipment!$B$2:$B$137,MATCH(E182,Equipment!$A$2:$A$137,0))</f>
        <v>GT step-up transformer - LV bushings / marshalling box</v>
      </c>
      <c r="G182" s="25" t="s">
        <v>225</v>
      </c>
      <c r="H182" s="26" t="str">
        <f aca="false">INDEX(Equipment!$B$2:$B$137,MATCH(G182,Equipment!$A$2:$A$137,0))</f>
        <v>Power block main earth grid (nearest riser)</v>
      </c>
      <c r="I182" s="25" t="s">
        <v>564</v>
      </c>
      <c r="J182" s="26" t="str">
        <f aca="false">INDEX('Cable Types'!$B$2:$B$41,MATCH(I182,'Cable Types'!$A$2:$A$41,0))</f>
        <v>G/Y PVC Cu 70 mm2 bonding conductor</v>
      </c>
      <c r="K182" s="25" t="n">
        <v>4</v>
      </c>
      <c r="L182" s="25" t="s">
        <v>996</v>
      </c>
      <c r="M182" s="25" t="s">
        <v>638</v>
      </c>
      <c r="N182" s="25" t="n">
        <v>15</v>
      </c>
      <c r="O182" s="27" t="n">
        <f aca="false">IF(N182&lt;&gt;"",N182,IF(M182="D",ROUNDUP(SQRT((AH182-AE182)^2+(AI182-AF182)^2+(AJ182-AG182)^2)*(1+'Design Basis'!$C$6),0),ROUNDUP((ABS(AH182-AE182)+ABS(AI182-AF182)+ABS(AK182-AG182)+ABS(AK182-AJ182))*(1+'Design Basis'!$C$4)+2*'Design Basis'!$C$5,0)))</f>
        <v>15</v>
      </c>
      <c r="P182" s="27" t="n">
        <f aca="false">O182*K182*AM182</f>
        <v>60</v>
      </c>
      <c r="Q182" s="28"/>
      <c r="R182" s="25"/>
      <c r="S182" s="28"/>
      <c r="T182" s="29"/>
      <c r="U182" s="27" t="str">
        <f aca="false">IF(OR(S182="",Q182=""),"",IF(R182=3,S182*1000/(SQRT(3)*Q182*T182),S182*1000/(Q182*T182)))</f>
        <v/>
      </c>
      <c r="V182" s="27" t="str">
        <f aca="false">IF(OR(AO182="",AL182=""),"",AO182*AL182)</f>
        <v/>
      </c>
      <c r="W182" s="27" t="str">
        <f aca="false">IF(V182="","",V182*K182)</f>
        <v/>
      </c>
      <c r="X182" s="30" t="str">
        <f aca="false">IF(OR(U182="",W182=""),"",U182/W182)</f>
        <v/>
      </c>
      <c r="Y182" s="30" t="str">
        <f aca="false">IF(OR(U182="",AP182=""),"",AP182*(U182/K182)*O182/1000/Q182)</f>
        <v/>
      </c>
      <c r="Z182" s="30" t="str">
        <f aca="false">IF(U182="","",IFERROR(IF(INDEX('Design Basis'!$C$13:$C$21,MATCH(C182,'Design Basis'!$A$13:$A$21,0))="","",INDEX('Design Basis'!$C$13:$C$21,MATCH(C182,'Design Basis'!$A$13:$A$21,0))),""))</f>
        <v/>
      </c>
      <c r="AA182" s="31" t="str">
        <f aca="false">IF(U182="","n/a",IF(W182="","CHECK",IF(AND(X182&lt;=1,OR(Y182="",Z182="",Y182&lt;=Z182)),"OK","CHECK")))</f>
        <v>n/a</v>
      </c>
      <c r="AB182" s="27" t="n">
        <f aca="false">IF(AN182="","",K182*AM182*PI()/4*AN182^2)</f>
        <v>615.752160103599</v>
      </c>
      <c r="AC182" s="31"/>
      <c r="AE182" s="32" t="n">
        <f aca="false">INDEX(Equipment!$D$2:$D$137,MATCH(E182,Equipment!$A$2:$A$137,0))</f>
        <v>54</v>
      </c>
      <c r="AF182" s="32" t="n">
        <f aca="false">INDEX(Equipment!$E$2:$E$137,MATCH(E182,Equipment!$A$2:$A$137,0))</f>
        <v>60</v>
      </c>
      <c r="AG182" s="32" t="n">
        <f aca="false">INDEX(Equipment!$F$2:$F$137,MATCH(E182,Equipment!$A$2:$A$137,0))</f>
        <v>4.5</v>
      </c>
      <c r="AH182" s="32" t="n">
        <f aca="false">INDEX(Equipment!$D$2:$D$137,MATCH(G182,Equipment!$A$2:$A$137,0))</f>
        <v>75</v>
      </c>
      <c r="AI182" s="32" t="n">
        <f aca="false">INDEX(Equipment!$E$2:$E$137,MATCH(G182,Equipment!$A$2:$A$137,0))</f>
        <v>20</v>
      </c>
      <c r="AJ182" s="32" t="n">
        <f aca="false">INDEX(Equipment!$F$2:$F$137,MATCH(G182,Equipment!$A$2:$A$137,0))</f>
        <v>-0.8</v>
      </c>
      <c r="AK182" s="32" t="n">
        <f aca="false">IF(INDEX(Raceways!$D$2:$D$18,MATCH(L182,Raceways!$A$2:$A$18,0))="",0,INDEX(Raceways!$D$2:$D$18,MATCH(L182,Raceways!$A$2:$A$18,0)))</f>
        <v>-0.8</v>
      </c>
      <c r="AL182" s="33" t="str">
        <f aca="false">IF(INDEX(Raceways!$I$2:$I$18,MATCH(L182,Raceways!$A$2:$A$18,0))="","",INDEX(Raceways!$I$2:$I$18,MATCH(L182,Raceways!$A$2:$A$18,0)))</f>
        <v/>
      </c>
      <c r="AM182" s="26" t="n">
        <f aca="false">INDEX('Cable Types'!$D$2:$D$41,MATCH(I182,'Cable Types'!$A$2:$A$41,0))</f>
        <v>1</v>
      </c>
      <c r="AN182" s="26" t="n">
        <f aca="false">IF(INDEX('Cable Types'!$E$2:$E$41,MATCH(I182,'Cable Types'!$A$2:$A$41,0))="","",INDEX('Cable Types'!$E$2:$E$41,MATCH(I182,'Cable Types'!$A$2:$A$41,0)))</f>
        <v>14</v>
      </c>
      <c r="AO182" s="26" t="str">
        <f aca="false">IF(INDEX('Cable Types'!$F$2:$F$41,MATCH(I182,'Cable Types'!$A$2:$A$41,0))="","",INDEX('Cable Types'!$F$2:$F$41,MATCH(I182,'Cable Types'!$A$2:$A$41,0)))</f>
        <v/>
      </c>
      <c r="AP182" s="33" t="str">
        <f aca="false">IF(INDEX('Cable Types'!$G$2:$G$41,MATCH(I182,'Cable Types'!$A$2:$A$41,0))="","",INDEX('Cable Types'!$G$2:$G$41,MATCH(I182,'Cable Types'!$A$2:$A$41,0)))</f>
        <v/>
      </c>
    </row>
    <row r="183" customFormat="false" ht="15" hidden="false" customHeight="false" outlineLevel="0" collapsed="false">
      <c r="A183" s="25" t="s">
        <v>1019</v>
      </c>
      <c r="B183" s="25" t="s">
        <v>133</v>
      </c>
      <c r="C183" s="25" t="s">
        <v>82</v>
      </c>
      <c r="D183" s="25" t="s">
        <v>1020</v>
      </c>
      <c r="E183" s="25" t="s">
        <v>146</v>
      </c>
      <c r="F183" s="26" t="str">
        <f aca="false">INDEX(Equipment!$B$2:$B$137,MATCH(E183,Equipment!$A$2:$A$137,0))</f>
        <v>ST step-up transformer - LV bushings / marshalling box</v>
      </c>
      <c r="G183" s="25" t="s">
        <v>225</v>
      </c>
      <c r="H183" s="26" t="str">
        <f aca="false">INDEX(Equipment!$B$2:$B$137,MATCH(G183,Equipment!$A$2:$A$137,0))</f>
        <v>Power block main earth grid (nearest riser)</v>
      </c>
      <c r="I183" s="25" t="s">
        <v>564</v>
      </c>
      <c r="J183" s="26" t="str">
        <f aca="false">INDEX('Cable Types'!$B$2:$B$41,MATCH(I183,'Cable Types'!$A$2:$A$41,0))</f>
        <v>G/Y PVC Cu 70 mm2 bonding conductor</v>
      </c>
      <c r="K183" s="25" t="n">
        <v>4</v>
      </c>
      <c r="L183" s="25" t="s">
        <v>996</v>
      </c>
      <c r="M183" s="25" t="s">
        <v>638</v>
      </c>
      <c r="N183" s="25" t="n">
        <v>15</v>
      </c>
      <c r="O183" s="27" t="n">
        <f aca="false">IF(N183&lt;&gt;"",N183,IF(M183="D",ROUNDUP(SQRT((AH183-AE183)^2+(AI183-AF183)^2+(AJ183-AG183)^2)*(1+'Design Basis'!$C$6),0),ROUNDUP((ABS(AH183-AE183)+ABS(AI183-AF183)+ABS(AK183-AG183)+ABS(AK183-AJ183))*(1+'Design Basis'!$C$4)+2*'Design Basis'!$C$5,0)))</f>
        <v>15</v>
      </c>
      <c r="P183" s="27" t="n">
        <f aca="false">O183*K183*AM183</f>
        <v>60</v>
      </c>
      <c r="Q183" s="28"/>
      <c r="R183" s="25"/>
      <c r="S183" s="28"/>
      <c r="T183" s="29"/>
      <c r="U183" s="27" t="str">
        <f aca="false">IF(OR(S183="",Q183=""),"",IF(R183=3,S183*1000/(SQRT(3)*Q183*T183),S183*1000/(Q183*T183)))</f>
        <v/>
      </c>
      <c r="V183" s="27" t="str">
        <f aca="false">IF(OR(AO183="",AL183=""),"",AO183*AL183)</f>
        <v/>
      </c>
      <c r="W183" s="27" t="str">
        <f aca="false">IF(V183="","",V183*K183)</f>
        <v/>
      </c>
      <c r="X183" s="30" t="str">
        <f aca="false">IF(OR(U183="",W183=""),"",U183/W183)</f>
        <v/>
      </c>
      <c r="Y183" s="30" t="str">
        <f aca="false">IF(OR(U183="",AP183=""),"",AP183*(U183/K183)*O183/1000/Q183)</f>
        <v/>
      </c>
      <c r="Z183" s="30" t="str">
        <f aca="false">IF(U183="","",IFERROR(IF(INDEX('Design Basis'!$C$13:$C$21,MATCH(C183,'Design Basis'!$A$13:$A$21,0))="","",INDEX('Design Basis'!$C$13:$C$21,MATCH(C183,'Design Basis'!$A$13:$A$21,0))),""))</f>
        <v/>
      </c>
      <c r="AA183" s="31" t="str">
        <f aca="false">IF(U183="","n/a",IF(W183="","CHECK",IF(AND(X183&lt;=1,OR(Y183="",Z183="",Y183&lt;=Z183)),"OK","CHECK")))</f>
        <v>n/a</v>
      </c>
      <c r="AB183" s="27" t="n">
        <f aca="false">IF(AN183="","",K183*AM183*PI()/4*AN183^2)</f>
        <v>615.752160103599</v>
      </c>
      <c r="AC183" s="31"/>
      <c r="AE183" s="32" t="n">
        <f aca="false">INDEX(Equipment!$D$2:$D$137,MATCH(E183,Equipment!$A$2:$A$137,0))</f>
        <v>74</v>
      </c>
      <c r="AF183" s="32" t="n">
        <f aca="false">INDEX(Equipment!$E$2:$E$137,MATCH(E183,Equipment!$A$2:$A$137,0))</f>
        <v>60</v>
      </c>
      <c r="AG183" s="32" t="n">
        <f aca="false">INDEX(Equipment!$F$2:$F$137,MATCH(E183,Equipment!$A$2:$A$137,0))</f>
        <v>4.5</v>
      </c>
      <c r="AH183" s="32" t="n">
        <f aca="false">INDEX(Equipment!$D$2:$D$137,MATCH(G183,Equipment!$A$2:$A$137,0))</f>
        <v>75</v>
      </c>
      <c r="AI183" s="32" t="n">
        <f aca="false">INDEX(Equipment!$E$2:$E$137,MATCH(G183,Equipment!$A$2:$A$137,0))</f>
        <v>20</v>
      </c>
      <c r="AJ183" s="32" t="n">
        <f aca="false">INDEX(Equipment!$F$2:$F$137,MATCH(G183,Equipment!$A$2:$A$137,0))</f>
        <v>-0.8</v>
      </c>
      <c r="AK183" s="32" t="n">
        <f aca="false">IF(INDEX(Raceways!$D$2:$D$18,MATCH(L183,Raceways!$A$2:$A$18,0))="",0,INDEX(Raceways!$D$2:$D$18,MATCH(L183,Raceways!$A$2:$A$18,0)))</f>
        <v>-0.8</v>
      </c>
      <c r="AL183" s="33" t="str">
        <f aca="false">IF(INDEX(Raceways!$I$2:$I$18,MATCH(L183,Raceways!$A$2:$A$18,0))="","",INDEX(Raceways!$I$2:$I$18,MATCH(L183,Raceways!$A$2:$A$18,0)))</f>
        <v/>
      </c>
      <c r="AM183" s="26" t="n">
        <f aca="false">INDEX('Cable Types'!$D$2:$D$41,MATCH(I183,'Cable Types'!$A$2:$A$41,0))</f>
        <v>1</v>
      </c>
      <c r="AN183" s="26" t="n">
        <f aca="false">IF(INDEX('Cable Types'!$E$2:$E$41,MATCH(I183,'Cable Types'!$A$2:$A$41,0))="","",INDEX('Cable Types'!$E$2:$E$41,MATCH(I183,'Cable Types'!$A$2:$A$41,0)))</f>
        <v>14</v>
      </c>
      <c r="AO183" s="26" t="str">
        <f aca="false">IF(INDEX('Cable Types'!$F$2:$F$41,MATCH(I183,'Cable Types'!$A$2:$A$41,0))="","",INDEX('Cable Types'!$F$2:$F$41,MATCH(I183,'Cable Types'!$A$2:$A$41,0)))</f>
        <v/>
      </c>
      <c r="AP183" s="33" t="str">
        <f aca="false">IF(INDEX('Cable Types'!$G$2:$G$41,MATCH(I183,'Cable Types'!$A$2:$A$41,0))="","",INDEX('Cable Types'!$G$2:$G$41,MATCH(I183,'Cable Types'!$A$2:$A$41,0)))</f>
        <v/>
      </c>
    </row>
    <row r="184" customFormat="false" ht="15" hidden="false" customHeight="false" outlineLevel="0" collapsed="false">
      <c r="A184" s="25" t="s">
        <v>1021</v>
      </c>
      <c r="B184" s="25" t="s">
        <v>133</v>
      </c>
      <c r="C184" s="25" t="s">
        <v>82</v>
      </c>
      <c r="D184" s="25" t="s">
        <v>1022</v>
      </c>
      <c r="E184" s="25" t="s">
        <v>198</v>
      </c>
      <c r="F184" s="26" t="str">
        <f aca="false">INDEX(Equipment!$B$2:$B$137,MATCH(E184,Equipment!$A$2:$A$137,0))</f>
        <v>HRSG stack (lightning down conductor)</v>
      </c>
      <c r="G184" s="25" t="s">
        <v>225</v>
      </c>
      <c r="H184" s="26" t="str">
        <f aca="false">INDEX(Equipment!$B$2:$B$137,MATCH(G184,Equipment!$A$2:$A$137,0))</f>
        <v>Power block main earth grid (nearest riser)</v>
      </c>
      <c r="I184" s="25" t="s">
        <v>561</v>
      </c>
      <c r="J184" s="26" t="str">
        <f aca="false">INDEX('Cable Types'!$B$2:$B$41,MATCH(I184,'Cable Types'!$A$2:$A$41,0))</f>
        <v>Bare stranded Cu 120 mm2 earth conductor (buried)</v>
      </c>
      <c r="K184" s="25" t="n">
        <v>2</v>
      </c>
      <c r="L184" s="25" t="s">
        <v>996</v>
      </c>
      <c r="M184" s="25" t="s">
        <v>638</v>
      </c>
      <c r="N184" s="25" t="n">
        <v>70</v>
      </c>
      <c r="O184" s="27" t="n">
        <f aca="false">IF(N184&lt;&gt;"",N184,IF(M184="D",ROUNDUP(SQRT((AH184-AE184)^2+(AI184-AF184)^2+(AJ184-AG184)^2)*(1+'Design Basis'!$C$6),0),ROUNDUP((ABS(AH184-AE184)+ABS(AI184-AF184)+ABS(AK184-AG184)+ABS(AK184-AJ184))*(1+'Design Basis'!$C$4)+2*'Design Basis'!$C$5,0)))</f>
        <v>70</v>
      </c>
      <c r="P184" s="27" t="n">
        <f aca="false">O184*K184*AM184</f>
        <v>140</v>
      </c>
      <c r="Q184" s="28"/>
      <c r="R184" s="25"/>
      <c r="S184" s="28"/>
      <c r="T184" s="29"/>
      <c r="U184" s="27" t="str">
        <f aca="false">IF(OR(S184="",Q184=""),"",IF(R184=3,S184*1000/(SQRT(3)*Q184*T184),S184*1000/(Q184*T184)))</f>
        <v/>
      </c>
      <c r="V184" s="27" t="str">
        <f aca="false">IF(OR(AO184="",AL184=""),"",AO184*AL184)</f>
        <v/>
      </c>
      <c r="W184" s="27" t="str">
        <f aca="false">IF(V184="","",V184*K184)</f>
        <v/>
      </c>
      <c r="X184" s="30" t="str">
        <f aca="false">IF(OR(U184="",W184=""),"",U184/W184)</f>
        <v/>
      </c>
      <c r="Y184" s="30" t="str">
        <f aca="false">IF(OR(U184="",AP184=""),"",AP184*(U184/K184)*O184/1000/Q184)</f>
        <v/>
      </c>
      <c r="Z184" s="30" t="str">
        <f aca="false">IF(U184="","",IFERROR(IF(INDEX('Design Basis'!$C$13:$C$21,MATCH(C184,'Design Basis'!$A$13:$A$21,0))="","",INDEX('Design Basis'!$C$13:$C$21,MATCH(C184,'Design Basis'!$A$13:$A$21,0))),""))</f>
        <v/>
      </c>
      <c r="AA184" s="31" t="str">
        <f aca="false">IF(U184="","n/a",IF(W184="","CHECK",IF(AND(X184&lt;=1,OR(Y184="",Z184="",Y184&lt;=Z184)),"OK","CHECK")))</f>
        <v>n/a</v>
      </c>
      <c r="AB184" s="27" t="n">
        <f aca="false">IF(AN184="","",K184*AM184*PI()/4*AN184^2)</f>
        <v>307.8760800518</v>
      </c>
      <c r="AC184" s="31"/>
      <c r="AE184" s="32" t="n">
        <f aca="false">INDEX(Equipment!$D$2:$D$137,MATCH(E184,Equipment!$A$2:$A$137,0))</f>
        <v>117</v>
      </c>
      <c r="AF184" s="32" t="n">
        <f aca="false">INDEX(Equipment!$E$2:$E$137,MATCH(E184,Equipment!$A$2:$A$137,0))</f>
        <v>3</v>
      </c>
      <c r="AG184" s="32" t="n">
        <f aca="false">INDEX(Equipment!$F$2:$F$137,MATCH(E184,Equipment!$A$2:$A$137,0))</f>
        <v>55</v>
      </c>
      <c r="AH184" s="32" t="n">
        <f aca="false">INDEX(Equipment!$D$2:$D$137,MATCH(G184,Equipment!$A$2:$A$137,0))</f>
        <v>75</v>
      </c>
      <c r="AI184" s="32" t="n">
        <f aca="false">INDEX(Equipment!$E$2:$E$137,MATCH(G184,Equipment!$A$2:$A$137,0))</f>
        <v>20</v>
      </c>
      <c r="AJ184" s="32" t="n">
        <f aca="false">INDEX(Equipment!$F$2:$F$137,MATCH(G184,Equipment!$A$2:$A$137,0))</f>
        <v>-0.8</v>
      </c>
      <c r="AK184" s="32" t="n">
        <f aca="false">IF(INDEX(Raceways!$D$2:$D$18,MATCH(L184,Raceways!$A$2:$A$18,0))="",0,INDEX(Raceways!$D$2:$D$18,MATCH(L184,Raceways!$A$2:$A$18,0)))</f>
        <v>-0.8</v>
      </c>
      <c r="AL184" s="33" t="str">
        <f aca="false">IF(INDEX(Raceways!$I$2:$I$18,MATCH(L184,Raceways!$A$2:$A$18,0))="","",INDEX(Raceways!$I$2:$I$18,MATCH(L184,Raceways!$A$2:$A$18,0)))</f>
        <v/>
      </c>
      <c r="AM184" s="26" t="n">
        <f aca="false">INDEX('Cable Types'!$D$2:$D$41,MATCH(I184,'Cable Types'!$A$2:$A$41,0))</f>
        <v>1</v>
      </c>
      <c r="AN184" s="26" t="n">
        <f aca="false">IF(INDEX('Cable Types'!$E$2:$E$41,MATCH(I184,'Cable Types'!$A$2:$A$41,0))="","",INDEX('Cable Types'!$E$2:$E$41,MATCH(I184,'Cable Types'!$A$2:$A$41,0)))</f>
        <v>14</v>
      </c>
      <c r="AO184" s="26" t="str">
        <f aca="false">IF(INDEX('Cable Types'!$F$2:$F$41,MATCH(I184,'Cable Types'!$A$2:$A$41,0))="","",INDEX('Cable Types'!$F$2:$F$41,MATCH(I184,'Cable Types'!$A$2:$A$41,0)))</f>
        <v/>
      </c>
      <c r="AP184" s="33" t="str">
        <f aca="false">IF(INDEX('Cable Types'!$G$2:$G$41,MATCH(I184,'Cable Types'!$A$2:$A$41,0))="","",INDEX('Cable Types'!$G$2:$G$41,MATCH(I184,'Cable Types'!$A$2:$A$41,0)))</f>
        <v/>
      </c>
    </row>
    <row r="185" customFormat="false" ht="15" hidden="false" customHeight="false" outlineLevel="0" collapsed="false">
      <c r="A185" s="25" t="s">
        <v>1023</v>
      </c>
      <c r="B185" s="25" t="s">
        <v>285</v>
      </c>
      <c r="C185" s="25" t="s">
        <v>82</v>
      </c>
      <c r="D185" s="25" t="s">
        <v>1024</v>
      </c>
      <c r="E185" s="25" t="s">
        <v>337</v>
      </c>
      <c r="F185" s="26" t="str">
        <f aca="false">INDEX(Equipment!$B$2:$B$137,MATCH(E185,Equipment!$A$2:$A$137,0))</f>
        <v>Absorber column shell (lightning / bonding)</v>
      </c>
      <c r="G185" s="25" t="s">
        <v>339</v>
      </c>
      <c r="H185" s="26" t="str">
        <f aca="false">INDEX(Equipment!$B$2:$B$137,MATCH(G185,Equipment!$A$2:$A$137,0))</f>
        <v>CCS area earth grid (nearest riser)</v>
      </c>
      <c r="I185" s="25" t="s">
        <v>564</v>
      </c>
      <c r="J185" s="26" t="str">
        <f aca="false">INDEX('Cable Types'!$B$2:$B$41,MATCH(I185,'Cable Types'!$A$2:$A$41,0))</f>
        <v>G/Y PVC Cu 70 mm2 bonding conductor</v>
      </c>
      <c r="K185" s="25" t="n">
        <v>2</v>
      </c>
      <c r="L185" s="25" t="s">
        <v>996</v>
      </c>
      <c r="M185" s="25" t="s">
        <v>638</v>
      </c>
      <c r="N185" s="25" t="n">
        <v>10</v>
      </c>
      <c r="O185" s="27" t="n">
        <f aca="false">IF(N185&lt;&gt;"",N185,IF(M185="D",ROUNDUP(SQRT((AH185-AE185)^2+(AI185-AF185)^2+(AJ185-AG185)^2)*(1+'Design Basis'!$C$6),0),ROUNDUP((ABS(AH185-AE185)+ABS(AI185-AF185)+ABS(AK185-AG185)+ABS(AK185-AJ185))*(1+'Design Basis'!$C$4)+2*'Design Basis'!$C$5,0)))</f>
        <v>10</v>
      </c>
      <c r="P185" s="27" t="n">
        <f aca="false">O185*K185*AM185</f>
        <v>20</v>
      </c>
      <c r="Q185" s="28"/>
      <c r="R185" s="25"/>
      <c r="S185" s="28"/>
      <c r="T185" s="29"/>
      <c r="U185" s="27" t="str">
        <f aca="false">IF(OR(S185="",Q185=""),"",IF(R185=3,S185*1000/(SQRT(3)*Q185*T185),S185*1000/(Q185*T185)))</f>
        <v/>
      </c>
      <c r="V185" s="27" t="str">
        <f aca="false">IF(OR(AO185="",AL185=""),"",AO185*AL185)</f>
        <v/>
      </c>
      <c r="W185" s="27" t="str">
        <f aca="false">IF(V185="","",V185*K185)</f>
        <v/>
      </c>
      <c r="X185" s="30" t="str">
        <f aca="false">IF(OR(U185="",W185=""),"",U185/W185)</f>
        <v/>
      </c>
      <c r="Y185" s="30" t="str">
        <f aca="false">IF(OR(U185="",AP185=""),"",AP185*(U185/K185)*O185/1000/Q185)</f>
        <v/>
      </c>
      <c r="Z185" s="30" t="str">
        <f aca="false">IF(U185="","",IFERROR(IF(INDEX('Design Basis'!$C$13:$C$21,MATCH(C185,'Design Basis'!$A$13:$A$21,0))="","",INDEX('Design Basis'!$C$13:$C$21,MATCH(C185,'Design Basis'!$A$13:$A$21,0))),""))</f>
        <v/>
      </c>
      <c r="AA185" s="31" t="str">
        <f aca="false">IF(U185="","n/a",IF(W185="","CHECK",IF(AND(X185&lt;=1,OR(Y185="",Z185="",Y185&lt;=Z185)),"OK","CHECK")))</f>
        <v>n/a</v>
      </c>
      <c r="AB185" s="27" t="n">
        <f aca="false">IF(AN185="","",K185*AM185*PI()/4*AN185^2)</f>
        <v>307.8760800518</v>
      </c>
      <c r="AC185" s="31"/>
      <c r="AE185" s="32" t="n">
        <f aca="false">INDEX(Equipment!$D$2:$D$137,MATCH(E185,Equipment!$A$2:$A$137,0))</f>
        <v>170</v>
      </c>
      <c r="AF185" s="32" t="n">
        <f aca="false">INDEX(Equipment!$E$2:$E$137,MATCH(E185,Equipment!$A$2:$A$137,0))</f>
        <v>6</v>
      </c>
      <c r="AG185" s="32" t="n">
        <f aca="false">INDEX(Equipment!$F$2:$F$137,MATCH(E185,Equipment!$A$2:$A$137,0))</f>
        <v>0</v>
      </c>
      <c r="AH185" s="32" t="n">
        <f aca="false">INDEX(Equipment!$D$2:$D$137,MATCH(G185,Equipment!$A$2:$A$137,0))</f>
        <v>190</v>
      </c>
      <c r="AI185" s="32" t="n">
        <f aca="false">INDEX(Equipment!$E$2:$E$137,MATCH(G185,Equipment!$A$2:$A$137,0))</f>
        <v>25</v>
      </c>
      <c r="AJ185" s="32" t="n">
        <f aca="false">INDEX(Equipment!$F$2:$F$137,MATCH(G185,Equipment!$A$2:$A$137,0))</f>
        <v>-0.8</v>
      </c>
      <c r="AK185" s="32" t="n">
        <f aca="false">IF(INDEX(Raceways!$D$2:$D$18,MATCH(L185,Raceways!$A$2:$A$18,0))="",0,INDEX(Raceways!$D$2:$D$18,MATCH(L185,Raceways!$A$2:$A$18,0)))</f>
        <v>-0.8</v>
      </c>
      <c r="AL185" s="33" t="str">
        <f aca="false">IF(INDEX(Raceways!$I$2:$I$18,MATCH(L185,Raceways!$A$2:$A$18,0))="","",INDEX(Raceways!$I$2:$I$18,MATCH(L185,Raceways!$A$2:$A$18,0)))</f>
        <v/>
      </c>
      <c r="AM185" s="26" t="n">
        <f aca="false">INDEX('Cable Types'!$D$2:$D$41,MATCH(I185,'Cable Types'!$A$2:$A$41,0))</f>
        <v>1</v>
      </c>
      <c r="AN185" s="26" t="n">
        <f aca="false">IF(INDEX('Cable Types'!$E$2:$E$41,MATCH(I185,'Cable Types'!$A$2:$A$41,0))="","",INDEX('Cable Types'!$E$2:$E$41,MATCH(I185,'Cable Types'!$A$2:$A$41,0)))</f>
        <v>14</v>
      </c>
      <c r="AO185" s="26" t="str">
        <f aca="false">IF(INDEX('Cable Types'!$F$2:$F$41,MATCH(I185,'Cable Types'!$A$2:$A$41,0))="","",INDEX('Cable Types'!$F$2:$F$41,MATCH(I185,'Cable Types'!$A$2:$A$41,0)))</f>
        <v/>
      </c>
      <c r="AP185" s="33" t="str">
        <f aca="false">IF(INDEX('Cable Types'!$G$2:$G$41,MATCH(I185,'Cable Types'!$A$2:$A$41,0))="","",INDEX('Cable Types'!$G$2:$G$41,MATCH(I185,'Cable Types'!$A$2:$A$41,0)))</f>
        <v/>
      </c>
    </row>
    <row r="186" customFormat="false" ht="15" hidden="false" customHeight="false" outlineLevel="0" collapsed="false">
      <c r="A186" s="25" t="s">
        <v>1025</v>
      </c>
      <c r="B186" s="25" t="s">
        <v>395</v>
      </c>
      <c r="C186" s="25" t="s">
        <v>82</v>
      </c>
      <c r="D186" s="25" t="s">
        <v>1026</v>
      </c>
      <c r="E186" s="25" t="s">
        <v>393</v>
      </c>
      <c r="F186" s="26" t="str">
        <f aca="false">INDEX(Equipment!$B$2:$B$137,MATCH(E186,Equipment!$A$2:$A$137,0))</f>
        <v>LNG full-containment tank (bonding)</v>
      </c>
      <c r="G186" s="25" t="s">
        <v>447</v>
      </c>
      <c r="H186" s="26" t="str">
        <f aca="false">INDEX(Equipment!$B$2:$B$137,MATCH(G186,Equipment!$A$2:$A$137,0))</f>
        <v>Gas / LNG area earth grid (nearest riser)</v>
      </c>
      <c r="I186" s="25" t="s">
        <v>564</v>
      </c>
      <c r="J186" s="26" t="str">
        <f aca="false">INDEX('Cable Types'!$B$2:$B$41,MATCH(I186,'Cable Types'!$A$2:$A$41,0))</f>
        <v>G/Y PVC Cu 70 mm2 bonding conductor</v>
      </c>
      <c r="K186" s="25" t="n">
        <v>4</v>
      </c>
      <c r="L186" s="25" t="s">
        <v>996</v>
      </c>
      <c r="M186" s="25" t="s">
        <v>638</v>
      </c>
      <c r="N186" s="25" t="n">
        <v>20</v>
      </c>
      <c r="O186" s="27" t="n">
        <f aca="false">IF(N186&lt;&gt;"",N186,IF(M186="D",ROUNDUP(SQRT((AH186-AE186)^2+(AI186-AF186)^2+(AJ186-AG186)^2)*(1+'Design Basis'!$C$6),0),ROUNDUP((ABS(AH186-AE186)+ABS(AI186-AF186)+ABS(AK186-AG186)+ABS(AK186-AJ186))*(1+'Design Basis'!$C$4)+2*'Design Basis'!$C$5,0)))</f>
        <v>20</v>
      </c>
      <c r="P186" s="27" t="n">
        <f aca="false">O186*K186*AM186</f>
        <v>80</v>
      </c>
      <c r="Q186" s="28"/>
      <c r="R186" s="25"/>
      <c r="S186" s="28"/>
      <c r="T186" s="29"/>
      <c r="U186" s="27" t="str">
        <f aca="false">IF(OR(S186="",Q186=""),"",IF(R186=3,S186*1000/(SQRT(3)*Q186*T186),S186*1000/(Q186*T186)))</f>
        <v/>
      </c>
      <c r="V186" s="27" t="str">
        <f aca="false">IF(OR(AO186="",AL186=""),"",AO186*AL186)</f>
        <v/>
      </c>
      <c r="W186" s="27" t="str">
        <f aca="false">IF(V186="","",V186*K186)</f>
        <v/>
      </c>
      <c r="X186" s="30" t="str">
        <f aca="false">IF(OR(U186="",W186=""),"",U186/W186)</f>
        <v/>
      </c>
      <c r="Y186" s="30" t="str">
        <f aca="false">IF(OR(U186="",AP186=""),"",AP186*(U186/K186)*O186/1000/Q186)</f>
        <v/>
      </c>
      <c r="Z186" s="30" t="str">
        <f aca="false">IF(U186="","",IFERROR(IF(INDEX('Design Basis'!$C$13:$C$21,MATCH(C186,'Design Basis'!$A$13:$A$21,0))="","",INDEX('Design Basis'!$C$13:$C$21,MATCH(C186,'Design Basis'!$A$13:$A$21,0))),""))</f>
        <v/>
      </c>
      <c r="AA186" s="31" t="str">
        <f aca="false">IF(U186="","n/a",IF(W186="","CHECK",IF(AND(X186&lt;=1,OR(Y186="",Z186="",Y186&lt;=Z186)),"OK","CHECK")))</f>
        <v>n/a</v>
      </c>
      <c r="AB186" s="27" t="n">
        <f aca="false">IF(AN186="","",K186*AM186*PI()/4*AN186^2)</f>
        <v>615.752160103599</v>
      </c>
      <c r="AC186" s="31"/>
      <c r="AE186" s="32" t="n">
        <f aca="false">INDEX(Equipment!$D$2:$D$137,MATCH(E186,Equipment!$A$2:$A$137,0))</f>
        <v>-60</v>
      </c>
      <c r="AF186" s="32" t="n">
        <f aca="false">INDEX(Equipment!$E$2:$E$137,MATCH(E186,Equipment!$A$2:$A$137,0))</f>
        <v>10</v>
      </c>
      <c r="AG186" s="32" t="n">
        <f aca="false">INDEX(Equipment!$F$2:$F$137,MATCH(E186,Equipment!$A$2:$A$137,0))</f>
        <v>0</v>
      </c>
      <c r="AH186" s="32" t="n">
        <f aca="false">INDEX(Equipment!$D$2:$D$137,MATCH(G186,Equipment!$A$2:$A$137,0))</f>
        <v>-30</v>
      </c>
      <c r="AI186" s="32" t="n">
        <f aca="false">INDEX(Equipment!$E$2:$E$137,MATCH(G186,Equipment!$A$2:$A$137,0))</f>
        <v>5</v>
      </c>
      <c r="AJ186" s="32" t="n">
        <f aca="false">INDEX(Equipment!$F$2:$F$137,MATCH(G186,Equipment!$A$2:$A$137,0))</f>
        <v>-0.8</v>
      </c>
      <c r="AK186" s="32" t="n">
        <f aca="false">IF(INDEX(Raceways!$D$2:$D$18,MATCH(L186,Raceways!$A$2:$A$18,0))="",0,INDEX(Raceways!$D$2:$D$18,MATCH(L186,Raceways!$A$2:$A$18,0)))</f>
        <v>-0.8</v>
      </c>
      <c r="AL186" s="33" t="str">
        <f aca="false">IF(INDEX(Raceways!$I$2:$I$18,MATCH(L186,Raceways!$A$2:$A$18,0))="","",INDEX(Raceways!$I$2:$I$18,MATCH(L186,Raceways!$A$2:$A$18,0)))</f>
        <v/>
      </c>
      <c r="AM186" s="26" t="n">
        <f aca="false">INDEX('Cable Types'!$D$2:$D$41,MATCH(I186,'Cable Types'!$A$2:$A$41,0))</f>
        <v>1</v>
      </c>
      <c r="AN186" s="26" t="n">
        <f aca="false">IF(INDEX('Cable Types'!$E$2:$E$41,MATCH(I186,'Cable Types'!$A$2:$A$41,0))="","",INDEX('Cable Types'!$E$2:$E$41,MATCH(I186,'Cable Types'!$A$2:$A$41,0)))</f>
        <v>14</v>
      </c>
      <c r="AO186" s="26" t="str">
        <f aca="false">IF(INDEX('Cable Types'!$F$2:$F$41,MATCH(I186,'Cable Types'!$A$2:$A$41,0))="","",INDEX('Cable Types'!$F$2:$F$41,MATCH(I186,'Cable Types'!$A$2:$A$41,0)))</f>
        <v/>
      </c>
      <c r="AP186" s="33" t="str">
        <f aca="false">IF(INDEX('Cable Types'!$G$2:$G$41,MATCH(I186,'Cable Types'!$A$2:$A$41,0))="","",INDEX('Cable Types'!$G$2:$G$41,MATCH(I186,'Cable Types'!$A$2:$A$41,0)))</f>
        <v/>
      </c>
    </row>
  </sheetData>
  <autoFilter ref="A2:AC186"/>
  <conditionalFormatting sqref="AA3:AA186">
    <cfRule type="cellIs" priority="2" operator="equal" aboveAverage="0" equalAverage="0" bottom="0" percent="0" rank="0" text="" dxfId="7">
      <formula>"CHECK"</formula>
    </cfRule>
    <cfRule type="cellIs" priority="3" operator="equal" aboveAverage="0" equalAverage="0" bottom="0" percent="0" rank="0" text="" dxfId="8">
      <formula>"OK"</formula>
    </cfRule>
  </conditionalFormatting>
  <conditionalFormatting sqref="X3:X186">
    <cfRule type="expression" priority="4" aboveAverage="0" equalAverage="0" bottom="0" percent="0" rank="0" text="" dxfId="7">
      <formula>AND(ISNUMBER(X3),X3&gt;1)</formula>
    </cfRule>
  </conditionalFormatting>
  <dataValidations count="6">
    <dataValidation allowBlank="false" errorStyle="stop" operator="between" showDropDown="false" showErrorMessage="false" showInputMessage="false" sqref="C3:C386" type="list">
      <formula1>'Design Basis'!$A$13:$A$21</formula1>
      <formula2>0</formula2>
    </dataValidation>
    <dataValidation allowBlank="false" errorStyle="stop" operator="between" showDropDown="false" showErrorMessage="false" showInputMessage="false" sqref="I3:I386" type="list">
      <formula1>'Cable Types'!$A$2:$A$41</formula1>
      <formula2>0</formula2>
    </dataValidation>
    <dataValidation allowBlank="false" errorStyle="stop" operator="between" showDropDown="false" showErrorMessage="false" showInputMessage="false" sqref="L3:L386" type="list">
      <formula1>Raceways!$A$2:$A$18</formula1>
      <formula2>0</formula2>
    </dataValidation>
    <dataValidation allowBlank="false" errorStyle="stop" operator="between" showDropDown="false" showErrorMessage="false" showInputMessage="false" sqref="E3:E386 G3:G386" type="list">
      <formula1>Equipment!$A$2:$A$137</formula1>
      <formula2>0</formula2>
    </dataValidation>
    <dataValidation allowBlank="false" errorStyle="stop" operator="between" showDropDown="false" showErrorMessage="false" showInputMessage="false" sqref="M3:M386" type="list">
      <formula1>"M,D"</formula1>
      <formula2>0</formula2>
    </dataValidation>
    <dataValidation allowBlank="true" errorStyle="stop" operator="between" showDropDown="false" showErrorMessage="false" showInputMessage="false" sqref="R3:R386" type="list">
      <formula1>"3,1,DC"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0"/>
    <col collapsed="false" customWidth="true" hidden="false" outlineLevel="0" max="6" min="3" style="0" width="10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11"/>
  </cols>
  <sheetData>
    <row r="1" customFormat="false" ht="22.35" hidden="false" customHeight="false" outlineLevel="0" collapsed="false">
      <c r="A1" s="17" t="s">
        <v>1027</v>
      </c>
      <c r="B1" s="17" t="s">
        <v>94</v>
      </c>
      <c r="C1" s="17" t="s">
        <v>1028</v>
      </c>
      <c r="D1" s="17" t="s">
        <v>1029</v>
      </c>
      <c r="E1" s="17" t="s">
        <v>1030</v>
      </c>
      <c r="F1" s="17" t="s">
        <v>1031</v>
      </c>
      <c r="G1" s="17" t="s">
        <v>1032</v>
      </c>
      <c r="H1" s="17" t="s">
        <v>1033</v>
      </c>
      <c r="I1" s="17" t="s">
        <v>1034</v>
      </c>
      <c r="J1" s="17" t="s">
        <v>1035</v>
      </c>
      <c r="K1" s="17" t="s">
        <v>1036</v>
      </c>
      <c r="L1" s="17" t="s">
        <v>1037</v>
      </c>
      <c r="M1" s="17" t="s">
        <v>592</v>
      </c>
    </row>
    <row r="2" customFormat="false" ht="15" hidden="false" customHeight="false" outlineLevel="0" collapsed="false">
      <c r="A2" s="18" t="s">
        <v>608</v>
      </c>
      <c r="B2" s="18" t="s">
        <v>1038</v>
      </c>
      <c r="C2" s="18" t="s">
        <v>1039</v>
      </c>
      <c r="D2" s="18"/>
      <c r="E2" s="18"/>
      <c r="F2" s="18"/>
      <c r="G2" s="18"/>
      <c r="H2" s="34"/>
      <c r="I2" s="23" t="n">
        <v>1</v>
      </c>
      <c r="J2" s="35" t="str">
        <f aca="false">IF(E2="","",E2*F2*G2*H2)</f>
        <v/>
      </c>
      <c r="K2" s="35" t="n">
        <f aca="false">SUMIFS('Cable Schedule'!$AB:$AB,'Cable Schedule'!$L:$L,A2)</f>
        <v>28254.596826462</v>
      </c>
      <c r="L2" s="36" t="str">
        <f aca="false">IF(J2="","",K2/J2)</f>
        <v/>
      </c>
      <c r="M2" s="20" t="str">
        <f aca="false">IF(J2="","n/a",IF(L2&lt;=1,"OK","OVERFILL"))</f>
        <v>n/a</v>
      </c>
    </row>
    <row r="3" customFormat="false" ht="15" hidden="false" customHeight="false" outlineLevel="0" collapsed="false">
      <c r="A3" s="18" t="s">
        <v>637</v>
      </c>
      <c r="B3" s="18" t="s">
        <v>1040</v>
      </c>
      <c r="C3" s="18" t="s">
        <v>62</v>
      </c>
      <c r="D3" s="18" t="n">
        <v>4</v>
      </c>
      <c r="E3" s="18"/>
      <c r="F3" s="18"/>
      <c r="G3" s="18"/>
      <c r="H3" s="34"/>
      <c r="I3" s="23" t="n">
        <v>1</v>
      </c>
      <c r="J3" s="35" t="str">
        <f aca="false">IF(E3="","",E3*F3*G3*H3)</f>
        <v/>
      </c>
      <c r="K3" s="35" t="n">
        <f aca="false">SUMIFS('Cable Schedule'!$AB:$AB,'Cable Schedule'!$L:$L,A3)</f>
        <v>0</v>
      </c>
      <c r="L3" s="36" t="str">
        <f aca="false">IF(J3="","",K3/J3)</f>
        <v/>
      </c>
      <c r="M3" s="20" t="str">
        <f aca="false">IF(J3="","n/a",IF(L3&lt;=1,"OK","OVERFILL"))</f>
        <v>n/a</v>
      </c>
    </row>
    <row r="4" customFormat="false" ht="15" hidden="false" customHeight="false" outlineLevel="0" collapsed="false">
      <c r="A4" s="18" t="s">
        <v>644</v>
      </c>
      <c r="B4" s="18" t="s">
        <v>1041</v>
      </c>
      <c r="C4" s="18" t="s">
        <v>62</v>
      </c>
      <c r="D4" s="18" t="n">
        <v>4</v>
      </c>
      <c r="E4" s="18"/>
      <c r="F4" s="18"/>
      <c r="G4" s="18"/>
      <c r="H4" s="34"/>
      <c r="I4" s="23" t="n">
        <v>1</v>
      </c>
      <c r="J4" s="35" t="str">
        <f aca="false">IF(E4="","",E4*F4*G4*H4)</f>
        <v/>
      </c>
      <c r="K4" s="35" t="n">
        <f aca="false">SUMIFS('Cable Schedule'!$AB:$AB,'Cable Schedule'!$L:$L,A4)</f>
        <v>0</v>
      </c>
      <c r="L4" s="36" t="str">
        <f aca="false">IF(J4="","",K4/J4)</f>
        <v/>
      </c>
      <c r="M4" s="20" t="str">
        <f aca="false">IF(J4="","n/a",IF(L4&lt;=1,"OK","OVERFILL"))</f>
        <v>n/a</v>
      </c>
    </row>
    <row r="5" customFormat="false" ht="15" hidden="false" customHeight="false" outlineLevel="0" collapsed="false">
      <c r="A5" s="18" t="s">
        <v>736</v>
      </c>
      <c r="B5" s="18" t="s">
        <v>1042</v>
      </c>
      <c r="C5" s="18" t="s">
        <v>62</v>
      </c>
      <c r="D5" s="18" t="n">
        <v>3</v>
      </c>
      <c r="E5" s="18"/>
      <c r="F5" s="18"/>
      <c r="G5" s="18"/>
      <c r="H5" s="34"/>
      <c r="I5" s="23" t="n">
        <v>1</v>
      </c>
      <c r="J5" s="35" t="str">
        <f aca="false">IF(E5="","",E5*F5*G5*H5)</f>
        <v/>
      </c>
      <c r="K5" s="35" t="n">
        <f aca="false">SUMIFS('Cable Schedule'!$AB:$AB,'Cable Schedule'!$L:$L,A5)</f>
        <v>0</v>
      </c>
      <c r="L5" s="36" t="str">
        <f aca="false">IF(J5="","",K5/J5)</f>
        <v/>
      </c>
      <c r="M5" s="20" t="str">
        <f aca="false">IF(J5="","n/a",IF(L5&lt;=1,"OK","OVERFILL"))</f>
        <v>n/a</v>
      </c>
    </row>
    <row r="6" customFormat="false" ht="15" hidden="false" customHeight="false" outlineLevel="0" collapsed="false">
      <c r="A6" s="18" t="s">
        <v>665</v>
      </c>
      <c r="B6" s="18" t="s">
        <v>1043</v>
      </c>
      <c r="C6" s="18" t="s">
        <v>1044</v>
      </c>
      <c r="D6" s="18" t="n">
        <v>5</v>
      </c>
      <c r="E6" s="18" t="n">
        <v>900</v>
      </c>
      <c r="F6" s="18" t="n">
        <v>100</v>
      </c>
      <c r="G6" s="18" t="n">
        <v>4</v>
      </c>
      <c r="H6" s="34" t="n">
        <v>0.4</v>
      </c>
      <c r="I6" s="37" t="n">
        <v>0.8</v>
      </c>
      <c r="J6" s="35" t="n">
        <f aca="false">IF(E6="","",E6*F6*G6*H6)</f>
        <v>144000</v>
      </c>
      <c r="K6" s="35" t="n">
        <f aca="false">SUMIFS('Cable Schedule'!$AB:$AB,'Cable Schedule'!$L:$L,A6)</f>
        <v>50054.2103514828</v>
      </c>
      <c r="L6" s="36" t="n">
        <f aca="false">IF(J6="","",K6/J6)</f>
        <v>0.347598682996408</v>
      </c>
      <c r="M6" s="20" t="str">
        <f aca="false">IF(J6="","n/a",IF(L6&lt;=1,"OK","OVERFILL"))</f>
        <v>OK</v>
      </c>
    </row>
    <row r="7" customFormat="false" ht="15" hidden="false" customHeight="false" outlineLevel="0" collapsed="false">
      <c r="A7" s="18" t="s">
        <v>659</v>
      </c>
      <c r="B7" s="18" t="s">
        <v>1045</v>
      </c>
      <c r="C7" s="18" t="s">
        <v>1044</v>
      </c>
      <c r="D7" s="18" t="n">
        <v>5</v>
      </c>
      <c r="E7" s="18" t="n">
        <v>900</v>
      </c>
      <c r="F7" s="18" t="n">
        <v>100</v>
      </c>
      <c r="G7" s="18" t="n">
        <v>4</v>
      </c>
      <c r="H7" s="34" t="n">
        <v>0.4</v>
      </c>
      <c r="I7" s="37" t="n">
        <v>0.8</v>
      </c>
      <c r="J7" s="35" t="n">
        <f aca="false">IF(E7="","",E7*F7*G7*H7)</f>
        <v>144000</v>
      </c>
      <c r="K7" s="35" t="n">
        <f aca="false">SUMIFS('Cable Schedule'!$AB:$AB,'Cable Schedule'!$L:$L,A7)</f>
        <v>53882.2409998819</v>
      </c>
      <c r="L7" s="36" t="n">
        <f aca="false">IF(J7="","",K7/J7)</f>
        <v>0.374182229165847</v>
      </c>
      <c r="M7" s="20" t="str">
        <f aca="false">IF(J7="","n/a",IF(L7&lt;=1,"OK","OVERFILL"))</f>
        <v>OK</v>
      </c>
    </row>
    <row r="8" customFormat="false" ht="15" hidden="false" customHeight="false" outlineLevel="0" collapsed="false">
      <c r="A8" s="18" t="s">
        <v>685</v>
      </c>
      <c r="B8" s="18" t="s">
        <v>1046</v>
      </c>
      <c r="C8" s="18" t="s">
        <v>1044</v>
      </c>
      <c r="D8" s="18" t="n">
        <v>5</v>
      </c>
      <c r="E8" s="18" t="n">
        <v>900</v>
      </c>
      <c r="F8" s="18" t="n">
        <v>100</v>
      </c>
      <c r="G8" s="18" t="n">
        <v>3</v>
      </c>
      <c r="H8" s="34" t="n">
        <v>0.4</v>
      </c>
      <c r="I8" s="37" t="n">
        <v>0.8</v>
      </c>
      <c r="J8" s="35" t="n">
        <f aca="false">IF(E8="","",E8*F8*G8*H8)</f>
        <v>108000</v>
      </c>
      <c r="K8" s="35" t="n">
        <f aca="false">SUMIFS('Cable Schedule'!$AB:$AB,'Cable Schedule'!$L:$L,A8)</f>
        <v>7564.16971168083</v>
      </c>
      <c r="L8" s="36" t="n">
        <f aca="false">IF(J8="","",K8/J8)</f>
        <v>0.0700386084414891</v>
      </c>
      <c r="M8" s="20" t="str">
        <f aca="false">IF(J8="","n/a",IF(L8&lt;=1,"OK","OVERFILL"))</f>
        <v>OK</v>
      </c>
    </row>
    <row r="9" customFormat="false" ht="15" hidden="false" customHeight="false" outlineLevel="0" collapsed="false">
      <c r="A9" s="18" t="s">
        <v>715</v>
      </c>
      <c r="B9" s="18" t="s">
        <v>1047</v>
      </c>
      <c r="C9" s="18" t="s">
        <v>1044</v>
      </c>
      <c r="D9" s="18" t="n">
        <v>3</v>
      </c>
      <c r="E9" s="18" t="n">
        <v>1000</v>
      </c>
      <c r="F9" s="18" t="n">
        <v>100</v>
      </c>
      <c r="G9" s="18" t="n">
        <v>3</v>
      </c>
      <c r="H9" s="34" t="n">
        <v>0.4</v>
      </c>
      <c r="I9" s="37" t="n">
        <v>0.8</v>
      </c>
      <c r="J9" s="35" t="n">
        <f aca="false">IF(E9="","",E9*F9*G9*H9)</f>
        <v>120000</v>
      </c>
      <c r="K9" s="35" t="n">
        <f aca="false">SUMIFS('Cable Schedule'!$AB:$AB,'Cable Schedule'!$L:$L,A9)</f>
        <v>33841.2360644693</v>
      </c>
      <c r="L9" s="36" t="n">
        <f aca="false">IF(J9="","",K9/J9)</f>
        <v>0.282010300537244</v>
      </c>
      <c r="M9" s="20" t="str">
        <f aca="false">IF(J9="","n/a",IF(L9&lt;=1,"OK","OVERFILL"))</f>
        <v>OK</v>
      </c>
    </row>
    <row r="10" customFormat="false" ht="15" hidden="false" customHeight="false" outlineLevel="0" collapsed="false">
      <c r="A10" s="18" t="s">
        <v>694</v>
      </c>
      <c r="B10" s="18" t="s">
        <v>1048</v>
      </c>
      <c r="C10" s="18" t="s">
        <v>1044</v>
      </c>
      <c r="D10" s="18" t="n">
        <v>6</v>
      </c>
      <c r="E10" s="18" t="n">
        <v>900</v>
      </c>
      <c r="F10" s="18" t="n">
        <v>100</v>
      </c>
      <c r="G10" s="18" t="n">
        <v>4</v>
      </c>
      <c r="H10" s="34" t="n">
        <v>0.4</v>
      </c>
      <c r="I10" s="37" t="n">
        <v>0.8</v>
      </c>
      <c r="J10" s="35" t="n">
        <f aca="false">IF(E10="","",E10*F10*G10*H10)</f>
        <v>144000</v>
      </c>
      <c r="K10" s="35" t="n">
        <f aca="false">SUMIFS('Cable Schedule'!$AB:$AB,'Cable Schedule'!$L:$L,A10)</f>
        <v>43272.2972105458</v>
      </c>
      <c r="L10" s="36" t="n">
        <f aca="false">IF(J10="","",K10/J10)</f>
        <v>0.300502063962124</v>
      </c>
      <c r="M10" s="20" t="str">
        <f aca="false">IF(J10="","n/a",IF(L10&lt;=1,"OK","OVERFILL"))</f>
        <v>OK</v>
      </c>
    </row>
    <row r="11" customFormat="false" ht="15" hidden="false" customHeight="false" outlineLevel="0" collapsed="false">
      <c r="A11" s="18" t="s">
        <v>775</v>
      </c>
      <c r="B11" s="18" t="s">
        <v>1049</v>
      </c>
      <c r="C11" s="18" t="s">
        <v>1044</v>
      </c>
      <c r="D11" s="18" t="n">
        <v>20</v>
      </c>
      <c r="E11" s="18" t="n">
        <v>600</v>
      </c>
      <c r="F11" s="18" t="n">
        <v>100</v>
      </c>
      <c r="G11" s="18" t="n">
        <v>2</v>
      </c>
      <c r="H11" s="34" t="n">
        <v>0.4</v>
      </c>
      <c r="I11" s="37" t="n">
        <v>0.8</v>
      </c>
      <c r="J11" s="35" t="n">
        <f aca="false">IF(E11="","",E11*F11*G11*H11)</f>
        <v>48000</v>
      </c>
      <c r="K11" s="35" t="n">
        <f aca="false">SUMIFS('Cable Schedule'!$AB:$AB,'Cable Schedule'!$L:$L,A11)</f>
        <v>22807.9626650619</v>
      </c>
      <c r="L11" s="36" t="n">
        <f aca="false">IF(J11="","",K11/J11)</f>
        <v>0.475165888855456</v>
      </c>
      <c r="M11" s="20" t="str">
        <f aca="false">IF(J11="","n/a",IF(L11&lt;=1,"OK","OVERFILL"))</f>
        <v>OK</v>
      </c>
    </row>
    <row r="12" customFormat="false" ht="15" hidden="false" customHeight="false" outlineLevel="0" collapsed="false">
      <c r="A12" s="18" t="s">
        <v>829</v>
      </c>
      <c r="B12" s="18" t="s">
        <v>1050</v>
      </c>
      <c r="C12" s="18" t="s">
        <v>1044</v>
      </c>
      <c r="D12" s="18" t="n">
        <v>3</v>
      </c>
      <c r="E12" s="18" t="n">
        <v>600</v>
      </c>
      <c r="F12" s="18" t="n">
        <v>100</v>
      </c>
      <c r="G12" s="18" t="n">
        <v>3</v>
      </c>
      <c r="H12" s="34" t="n">
        <v>0.4</v>
      </c>
      <c r="I12" s="37" t="n">
        <v>0.8</v>
      </c>
      <c r="J12" s="35" t="n">
        <f aca="false">IF(E12="","",E12*F12*G12*H12)</f>
        <v>72000</v>
      </c>
      <c r="K12" s="35" t="n">
        <f aca="false">SUMIFS('Cable Schedule'!$AB:$AB,'Cable Schedule'!$L:$L,A12)</f>
        <v>21978.5822045142</v>
      </c>
      <c r="L12" s="36" t="n">
        <f aca="false">IF(J12="","",K12/J12)</f>
        <v>0.305258086173808</v>
      </c>
      <c r="M12" s="20" t="str">
        <f aca="false">IF(J12="","n/a",IF(L12&lt;=1,"OK","OVERFILL"))</f>
        <v>OK</v>
      </c>
    </row>
    <row r="13" customFormat="false" ht="15" hidden="false" customHeight="false" outlineLevel="0" collapsed="false">
      <c r="A13" s="18" t="s">
        <v>866</v>
      </c>
      <c r="B13" s="18" t="s">
        <v>1051</v>
      </c>
      <c r="C13" s="18" t="s">
        <v>1052</v>
      </c>
      <c r="D13" s="18" t="n">
        <v>-0.8</v>
      </c>
      <c r="E13" s="18" t="n">
        <v>1000</v>
      </c>
      <c r="F13" s="18" t="n">
        <v>600</v>
      </c>
      <c r="G13" s="18" t="n">
        <v>1</v>
      </c>
      <c r="H13" s="34" t="n">
        <v>0.4</v>
      </c>
      <c r="I13" s="37" t="n">
        <v>0.8</v>
      </c>
      <c r="J13" s="35" t="n">
        <f aca="false">IF(E13="","",E13*F13*G13*H13)</f>
        <v>240000</v>
      </c>
      <c r="K13" s="35" t="n">
        <f aca="false">SUMIFS('Cable Schedule'!$AB:$AB,'Cable Schedule'!$L:$L,A13)</f>
        <v>7546.10555392268</v>
      </c>
      <c r="L13" s="36" t="n">
        <f aca="false">IF(J13="","",K13/J13)</f>
        <v>0.0314421064746779</v>
      </c>
      <c r="M13" s="20" t="str">
        <f aca="false">IF(J13="","n/a",IF(L13&lt;=1,"OK","OVERFILL"))</f>
        <v>OK</v>
      </c>
    </row>
    <row r="14" customFormat="false" ht="15" hidden="false" customHeight="false" outlineLevel="0" collapsed="false">
      <c r="A14" s="18" t="s">
        <v>757</v>
      </c>
      <c r="B14" s="18" t="s">
        <v>1053</v>
      </c>
      <c r="C14" s="18" t="s">
        <v>1054</v>
      </c>
      <c r="D14" s="18" t="n">
        <v>-1.2</v>
      </c>
      <c r="E14" s="18" t="n">
        <v>1200</v>
      </c>
      <c r="F14" s="18" t="n">
        <v>600</v>
      </c>
      <c r="G14" s="18" t="n">
        <v>1</v>
      </c>
      <c r="H14" s="34" t="n">
        <v>0.3</v>
      </c>
      <c r="I14" s="37" t="n">
        <v>0.7</v>
      </c>
      <c r="J14" s="35" t="n">
        <f aca="false">IF(E14="","",E14*F14*G14*H14)</f>
        <v>216000</v>
      </c>
      <c r="K14" s="35" t="n">
        <f aca="false">SUMIFS('Cable Schedule'!$AB:$AB,'Cable Schedule'!$L:$L,A14)</f>
        <v>2371.90245346029</v>
      </c>
      <c r="L14" s="36" t="n">
        <f aca="false">IF(J14="","",K14/J14)</f>
        <v>0.010981029877131</v>
      </c>
      <c r="M14" s="20" t="str">
        <f aca="false">IF(J14="","n/a",IF(L14&lt;=1,"OK","OVERFILL"))</f>
        <v>OK</v>
      </c>
    </row>
    <row r="15" customFormat="false" ht="15" hidden="false" customHeight="false" outlineLevel="0" collapsed="false">
      <c r="A15" s="18" t="s">
        <v>691</v>
      </c>
      <c r="B15" s="18" t="s">
        <v>1055</v>
      </c>
      <c r="C15" s="18" t="s">
        <v>1054</v>
      </c>
      <c r="D15" s="18" t="n">
        <v>-1.2</v>
      </c>
      <c r="E15" s="18" t="n">
        <v>900</v>
      </c>
      <c r="F15" s="18" t="n">
        <v>600</v>
      </c>
      <c r="G15" s="18" t="n">
        <v>1</v>
      </c>
      <c r="H15" s="34" t="n">
        <v>0.3</v>
      </c>
      <c r="I15" s="37" t="n">
        <v>0.7</v>
      </c>
      <c r="J15" s="35" t="n">
        <f aca="false">IF(E15="","",E15*F15*G15*H15)</f>
        <v>162000</v>
      </c>
      <c r="K15" s="35" t="n">
        <f aca="false">SUMIFS('Cable Schedule'!$AB:$AB,'Cable Schedule'!$L:$L,A15)</f>
        <v>8620.53024145039</v>
      </c>
      <c r="L15" s="36" t="n">
        <f aca="false">IF(J15="","",K15/J15)</f>
        <v>0.0532131496385827</v>
      </c>
      <c r="M15" s="20" t="str">
        <f aca="false">IF(J15="","n/a",IF(L15&lt;=1,"OK","OVERFILL"))</f>
        <v>OK</v>
      </c>
    </row>
    <row r="16" customFormat="false" ht="15" hidden="false" customHeight="false" outlineLevel="0" collapsed="false">
      <c r="A16" s="18" t="s">
        <v>655</v>
      </c>
      <c r="B16" s="18" t="s">
        <v>1056</v>
      </c>
      <c r="C16" s="18" t="s">
        <v>1054</v>
      </c>
      <c r="D16" s="18" t="n">
        <v>-1.2</v>
      </c>
      <c r="E16" s="18" t="n">
        <v>1200</v>
      </c>
      <c r="F16" s="18" t="n">
        <v>600</v>
      </c>
      <c r="G16" s="18" t="n">
        <v>1</v>
      </c>
      <c r="H16" s="34" t="n">
        <v>0.3</v>
      </c>
      <c r="I16" s="37" t="n">
        <v>0.7</v>
      </c>
      <c r="J16" s="35" t="n">
        <f aca="false">IF(E16="","",E16*F16*G16*H16)</f>
        <v>216000</v>
      </c>
      <c r="K16" s="35" t="n">
        <f aca="false">SUMIFS('Cable Schedule'!$AB:$AB,'Cable Schedule'!$L:$L,A16)</f>
        <v>34471.125391514</v>
      </c>
      <c r="L16" s="36" t="n">
        <f aca="false">IF(J16="","",K16/J16)</f>
        <v>0.159588543479232</v>
      </c>
      <c r="M16" s="20" t="str">
        <f aca="false">IF(J16="","n/a",IF(L16&lt;=1,"OK","OVERFILL"))</f>
        <v>OK</v>
      </c>
    </row>
    <row r="17" customFormat="false" ht="15" hidden="false" customHeight="false" outlineLevel="0" collapsed="false">
      <c r="A17" s="18" t="s">
        <v>649</v>
      </c>
      <c r="B17" s="18" t="s">
        <v>1057</v>
      </c>
      <c r="C17" s="18" t="s">
        <v>1058</v>
      </c>
      <c r="D17" s="18" t="n">
        <v>1</v>
      </c>
      <c r="E17" s="18"/>
      <c r="F17" s="18"/>
      <c r="G17" s="18"/>
      <c r="H17" s="34"/>
      <c r="I17" s="37" t="n">
        <v>0.8</v>
      </c>
      <c r="J17" s="35" t="str">
        <f aca="false">IF(E17="","",E17*F17*G17*H17)</f>
        <v/>
      </c>
      <c r="K17" s="35" t="n">
        <f aca="false">SUMIFS('Cable Schedule'!$AB:$AB,'Cable Schedule'!$L:$L,A17)</f>
        <v>39653.1824736104</v>
      </c>
      <c r="L17" s="36" t="str">
        <f aca="false">IF(J17="","",K17/J17)</f>
        <v/>
      </c>
      <c r="M17" s="20" t="str">
        <f aca="false">IF(J17="","n/a",IF(L17&lt;=1,"OK","OVERFILL"))</f>
        <v>n/a</v>
      </c>
    </row>
    <row r="18" customFormat="false" ht="15" hidden="false" customHeight="false" outlineLevel="0" collapsed="false">
      <c r="A18" s="18" t="s">
        <v>996</v>
      </c>
      <c r="B18" s="18" t="s">
        <v>1059</v>
      </c>
      <c r="C18" s="18" t="s">
        <v>227</v>
      </c>
      <c r="D18" s="18" t="n">
        <v>-0.8</v>
      </c>
      <c r="E18" s="18"/>
      <c r="F18" s="18"/>
      <c r="G18" s="18"/>
      <c r="H18" s="34"/>
      <c r="I18" s="23"/>
      <c r="J18" s="35" t="str">
        <f aca="false">IF(E18="","",E18*F18*G18*H18)</f>
        <v/>
      </c>
      <c r="K18" s="35" t="n">
        <f aca="false">SUMIFS('Cable Schedule'!$AB:$AB,'Cable Schedule'!$L:$L,A18)</f>
        <v>4464.2031607511</v>
      </c>
      <c r="L18" s="36" t="str">
        <f aca="false">IF(J18="","",K18/J18)</f>
        <v/>
      </c>
      <c r="M18" s="20" t="str">
        <f aca="false">IF(J18="","n/a",IF(L18&lt;=1,"OK","OVERFILL"))</f>
        <v>n/a</v>
      </c>
    </row>
  </sheetData>
  <conditionalFormatting sqref="M2:M18">
    <cfRule type="cellIs" priority="2" operator="equal" aboveAverage="0" equalAverage="0" bottom="0" percent="0" rank="0" text="" dxfId="7">
      <formula>"OVERFILL"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2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12"/>
    <col collapsed="false" customWidth="true" hidden="false" outlineLevel="0" max="9" min="8" style="0" width="10"/>
  </cols>
  <sheetData>
    <row r="1" customFormat="false" ht="15" hidden="false" customHeight="false" outlineLevel="0" collapsed="false">
      <c r="A1" s="8" t="s">
        <v>1060</v>
      </c>
    </row>
    <row r="3" customFormat="false" ht="22.35" hidden="false" customHeight="false" outlineLevel="0" collapsed="false">
      <c r="A3" s="17" t="s">
        <v>574</v>
      </c>
      <c r="B3" s="17" t="s">
        <v>94</v>
      </c>
      <c r="C3" s="17" t="s">
        <v>471</v>
      </c>
      <c r="D3" s="17" t="s">
        <v>1061</v>
      </c>
      <c r="E3" s="17" t="s">
        <v>1062</v>
      </c>
      <c r="F3" s="17" t="s">
        <v>1063</v>
      </c>
      <c r="G3" s="17" t="s">
        <v>1064</v>
      </c>
      <c r="H3" s="17" t="s">
        <v>1065</v>
      </c>
      <c r="I3" s="17" t="s">
        <v>1066</v>
      </c>
    </row>
    <row r="4" customFormat="false" ht="15" hidden="false" customHeight="false" outlineLevel="0" collapsed="false">
      <c r="A4" s="38" t="str">
        <f aca="false">'Cable Types'!A2</f>
        <v>ACSR-DRAKE</v>
      </c>
      <c r="B4" s="38" t="str">
        <f aca="false">'Cable Types'!B2</f>
        <v>ACSR 795 kcmil 'Drake' 26/7, 1 per phase</v>
      </c>
      <c r="C4" s="38" t="str">
        <f aca="false">'Cable Types'!C2</f>
        <v>HV Overhead</v>
      </c>
      <c r="D4" s="35" t="n">
        <f aca="false">COUNTIF('Cable Schedule'!$I$3:$I$186,A4)</f>
        <v>3</v>
      </c>
      <c r="E4" s="35" t="n">
        <f aca="false">SUMIFS('Cable Schedule'!$P$3:$P$186,'Cable Schedule'!$I$3:$I$186,A4)</f>
        <v>546</v>
      </c>
      <c r="F4" s="35" t="n">
        <f aca="false">ROUNDUP(E4*(1+'Design Basis'!$C$7),0)</f>
        <v>574</v>
      </c>
      <c r="G4" s="39" t="n">
        <f aca="false">IF('Cable Types'!I2="","",'Cable Types'!I2)</f>
        <v>2000</v>
      </c>
      <c r="H4" s="35" t="n">
        <f aca="false">IF(OR(G4="",F4=0),"",ROUNDUP(F4/G4,0))</f>
        <v>1</v>
      </c>
      <c r="I4" s="40" t="n">
        <f aca="false">F4*'Cable Types'!H2/1000</f>
        <v>0.934472</v>
      </c>
    </row>
    <row r="5" customFormat="false" ht="15" hidden="false" customHeight="false" outlineLevel="0" collapsed="false">
      <c r="A5" s="38" t="str">
        <f aca="false">'Cable Types'!A3</f>
        <v>ACSR-DRAKE-2B</v>
      </c>
      <c r="B5" s="38" t="str">
        <f aca="false">'Cable Types'!B3</f>
        <v>ACSR 795 kcmil 'Drake' 26/7, twin bundle per phase</v>
      </c>
      <c r="C5" s="38" t="str">
        <f aca="false">'Cable Types'!C3</f>
        <v>HV Overhead</v>
      </c>
      <c r="D5" s="35" t="n">
        <f aca="false">COUNTIF('Cable Schedule'!$I$3:$I$186,A5)</f>
        <v>6</v>
      </c>
      <c r="E5" s="35" t="n">
        <f aca="false">SUMIFS('Cable Schedule'!$P$3:$P$186,'Cable Schedule'!$I$3:$I$186,A5)</f>
        <v>1602</v>
      </c>
      <c r="F5" s="35" t="n">
        <f aca="false">ROUNDUP(E5*(1+'Design Basis'!$C$7),0)</f>
        <v>1683</v>
      </c>
      <c r="G5" s="39" t="n">
        <f aca="false">IF('Cable Types'!I3="","",'Cable Types'!I3)</f>
        <v>2000</v>
      </c>
      <c r="H5" s="35" t="n">
        <f aca="false">IF(OR(G5="",F5=0),"",ROUNDUP(F5/G5,0))</f>
        <v>1</v>
      </c>
      <c r="I5" s="40" t="n">
        <f aca="false">F5*'Cable Types'!H3/1000</f>
        <v>2.739924</v>
      </c>
    </row>
    <row r="6" customFormat="false" ht="15" hidden="false" customHeight="false" outlineLevel="0" collapsed="false">
      <c r="A6" s="38" t="str">
        <f aca="false">'Cable Types'!A4</f>
        <v>SW-7/16-EHS</v>
      </c>
      <c r="B6" s="38" t="str">
        <f aca="false">'Cable Types'!B4</f>
        <v>Shield wire 7/16" EHS galvanised steel</v>
      </c>
      <c r="C6" s="38" t="str">
        <f aca="false">'Cable Types'!C4</f>
        <v>HV Overhead</v>
      </c>
      <c r="D6" s="35" t="n">
        <f aca="false">COUNTIF('Cable Schedule'!$I$3:$I$186,A6)</f>
        <v>1</v>
      </c>
      <c r="E6" s="35" t="n">
        <f aca="false">SUMIFS('Cable Schedule'!$P$3:$P$186,'Cable Schedule'!$I$3:$I$186,A6)</f>
        <v>124</v>
      </c>
      <c r="F6" s="35" t="n">
        <f aca="false">ROUNDUP(E6*(1+'Design Basis'!$C$7),0)</f>
        <v>131</v>
      </c>
      <c r="G6" s="39" t="n">
        <f aca="false">IF('Cable Types'!I4="","",'Cable Types'!I4)</f>
        <v>3000</v>
      </c>
      <c r="H6" s="35" t="n">
        <f aca="false">IF(OR(G6="",F6=0),"",ROUNDUP(F6/G6,0))</f>
        <v>1</v>
      </c>
      <c r="I6" s="40" t="n">
        <f aca="false">F6*'Cable Types'!H4/1000</f>
        <v>0.077945</v>
      </c>
    </row>
    <row r="7" customFormat="false" ht="15" hidden="false" customHeight="false" outlineLevel="0" collapsed="false">
      <c r="A7" s="38" t="str">
        <f aca="false">'Cable Types'!A5</f>
        <v>OPGW-24</v>
      </c>
      <c r="B7" s="38" t="str">
        <f aca="false">'Cable Types'!B5</f>
        <v>OPGW 24-fibre shield wire</v>
      </c>
      <c r="C7" s="38" t="str">
        <f aca="false">'Cable Types'!C5</f>
        <v>HV Overhead</v>
      </c>
      <c r="D7" s="35" t="n">
        <f aca="false">COUNTIF('Cable Schedule'!$I$3:$I$186,A7)</f>
        <v>1</v>
      </c>
      <c r="E7" s="35" t="n">
        <f aca="false">SUMIFS('Cable Schedule'!$P$3:$P$186,'Cable Schedule'!$I$3:$I$186,A7)</f>
        <v>200</v>
      </c>
      <c r="F7" s="35" t="n">
        <f aca="false">ROUNDUP(E7*(1+'Design Basis'!$C$7),0)</f>
        <v>210</v>
      </c>
      <c r="G7" s="39" t="n">
        <f aca="false">IF('Cable Types'!I5="","",'Cable Types'!I5)</f>
        <v>4000</v>
      </c>
      <c r="H7" s="35" t="n">
        <f aca="false">IF(OR(G7="",F7=0),"",ROUNDUP(F7/G7,0))</f>
        <v>1</v>
      </c>
      <c r="I7" s="40" t="n">
        <f aca="false">F7*'Cable Types'!H5/1000</f>
        <v>0.1302</v>
      </c>
    </row>
    <row r="8" customFormat="false" ht="15" hidden="false" customHeight="false" outlineLevel="0" collapsed="false">
      <c r="A8" s="38" t="str">
        <f aca="false">'Cable Types'!A6</f>
        <v>IPB-10K</v>
      </c>
      <c r="B8" s="38" t="str">
        <f aca="false">'Cable Types'!B6</f>
        <v>Isolated phase bus 24 kV, 10 kA (per phase metre)</v>
      </c>
      <c r="C8" s="38" t="str">
        <f aca="false">'Cable Types'!C6</f>
        <v>Busduct</v>
      </c>
      <c r="D8" s="35" t="n">
        <f aca="false">COUNTIF('Cable Schedule'!$I$3:$I$186,A8)</f>
        <v>1</v>
      </c>
      <c r="E8" s="35" t="n">
        <f aca="false">SUMIFS('Cable Schedule'!$P$3:$P$186,'Cable Schedule'!$I$3:$I$186,A8)</f>
        <v>174</v>
      </c>
      <c r="F8" s="35" t="n">
        <f aca="false">ROUNDUP(E8*(1+'Design Basis'!$C$7),0)</f>
        <v>183</v>
      </c>
      <c r="G8" s="39" t="str">
        <f aca="false">IF('Cable Types'!I6="","",'Cable Types'!I6)</f>
        <v/>
      </c>
      <c r="H8" s="35" t="str">
        <f aca="false">IF(OR(G8="",F8=0),"",ROUNDUP(F8/G8,0))</f>
        <v/>
      </c>
      <c r="I8" s="40" t="n">
        <f aca="false">F8*'Cable Types'!H6/1000</f>
        <v>29.28</v>
      </c>
    </row>
    <row r="9" customFormat="false" ht="15" hidden="false" customHeight="false" outlineLevel="0" collapsed="false">
      <c r="A9" s="38" t="str">
        <f aca="false">'Cable Types'!A7</f>
        <v>IPB-7K</v>
      </c>
      <c r="B9" s="38" t="str">
        <f aca="false">'Cable Types'!B7</f>
        <v>Isolated phase bus 24 kV, 7 kA (per phase metre)</v>
      </c>
      <c r="C9" s="38" t="str">
        <f aca="false">'Cable Types'!C7</f>
        <v>Busduct</v>
      </c>
      <c r="D9" s="35" t="n">
        <f aca="false">COUNTIF('Cable Schedule'!$I$3:$I$186,A9)</f>
        <v>1</v>
      </c>
      <c r="E9" s="35" t="n">
        <f aca="false">SUMIFS('Cable Schedule'!$P$3:$P$186,'Cable Schedule'!$I$3:$I$186,A9)</f>
        <v>120</v>
      </c>
      <c r="F9" s="35" t="n">
        <f aca="false">ROUNDUP(E9*(1+'Design Basis'!$C$7),0)</f>
        <v>126</v>
      </c>
      <c r="G9" s="39" t="str">
        <f aca="false">IF('Cable Types'!I7="","",'Cable Types'!I7)</f>
        <v/>
      </c>
      <c r="H9" s="35" t="str">
        <f aca="false">IF(OR(G9="",F9=0),"",ROUNDUP(F9/G9,0))</f>
        <v/>
      </c>
      <c r="I9" s="40" t="n">
        <f aca="false">F9*'Cable Types'!H7/1000</f>
        <v>15.12</v>
      </c>
    </row>
    <row r="10" customFormat="false" ht="15" hidden="false" customHeight="false" outlineLevel="0" collapsed="false">
      <c r="A10" s="38" t="str">
        <f aca="false">'Cable Types'!A8</f>
        <v>IPB-3K</v>
      </c>
      <c r="B10" s="38" t="str">
        <f aca="false">'Cable Types'!B8</f>
        <v>Isolated phase tap bus 24 kV, 3 kA (per phase metre)</v>
      </c>
      <c r="C10" s="38" t="str">
        <f aca="false">'Cable Types'!C8</f>
        <v>Busduct</v>
      </c>
      <c r="D10" s="35" t="n">
        <f aca="false">COUNTIF('Cable Schedule'!$I$3:$I$186,A10)</f>
        <v>2</v>
      </c>
      <c r="E10" s="35" t="n">
        <f aca="false">SUMIFS('Cable Schedule'!$P$3:$P$186,'Cable Schedule'!$I$3:$I$186,A10)</f>
        <v>396</v>
      </c>
      <c r="F10" s="35" t="n">
        <f aca="false">ROUNDUP(E10*(1+'Design Basis'!$C$7),0)</f>
        <v>416</v>
      </c>
      <c r="G10" s="39" t="str">
        <f aca="false">IF('Cable Types'!I8="","",'Cable Types'!I8)</f>
        <v/>
      </c>
      <c r="H10" s="35" t="str">
        <f aca="false">IF(OR(G10="",F10=0),"",ROUNDUP(F10/G10,0))</f>
        <v/>
      </c>
      <c r="I10" s="40" t="n">
        <f aca="false">F10*'Cable Types'!H8/1000</f>
        <v>29.12</v>
      </c>
    </row>
    <row r="11" customFormat="false" ht="15" hidden="false" customHeight="false" outlineLevel="0" collapsed="false">
      <c r="A11" s="38" t="str">
        <f aca="false">'Cable Types'!A9</f>
        <v>LVBD-4000</v>
      </c>
      <c r="B11" s="38" t="str">
        <f aca="false">'Cable Types'!B9</f>
        <v>LV busduct 1 kV, 4000 A, Cu, 4-pole</v>
      </c>
      <c r="C11" s="38" t="str">
        <f aca="false">'Cable Types'!C9</f>
        <v>Busduct</v>
      </c>
      <c r="D11" s="35" t="n">
        <f aca="false">COUNTIF('Cable Schedule'!$I$3:$I$186,A11)</f>
        <v>3</v>
      </c>
      <c r="E11" s="35" t="n">
        <f aca="false">SUMIFS('Cable Schedule'!$P$3:$P$186,'Cable Schedule'!$I$3:$I$186,A11)</f>
        <v>66</v>
      </c>
      <c r="F11" s="35" t="n">
        <f aca="false">ROUNDUP(E11*(1+'Design Basis'!$C$7),0)</f>
        <v>70</v>
      </c>
      <c r="G11" s="39" t="str">
        <f aca="false">IF('Cable Types'!I9="","",'Cable Types'!I9)</f>
        <v/>
      </c>
      <c r="H11" s="35" t="str">
        <f aca="false">IF(OR(G11="",F11=0),"",ROUNDUP(F11/G11,0))</f>
        <v/>
      </c>
      <c r="I11" s="40" t="n">
        <f aca="false">F11*'Cable Types'!H9/1000</f>
        <v>3.15</v>
      </c>
    </row>
    <row r="12" customFormat="false" ht="15" hidden="false" customHeight="false" outlineLevel="0" collapsed="false">
      <c r="A12" s="38" t="str">
        <f aca="false">'Cable Types'!A10</f>
        <v>LVBD-2500</v>
      </c>
      <c r="B12" s="38" t="str">
        <f aca="false">'Cable Types'!B10</f>
        <v>LV busduct 1 kV, 2500 A, Cu, 4-pole</v>
      </c>
      <c r="C12" s="38" t="str">
        <f aca="false">'Cable Types'!C10</f>
        <v>Busduct</v>
      </c>
      <c r="D12" s="35" t="n">
        <f aca="false">COUNTIF('Cable Schedule'!$I$3:$I$186,A12)</f>
        <v>2</v>
      </c>
      <c r="E12" s="35" t="n">
        <f aca="false">SUMIFS('Cable Schedule'!$P$3:$P$186,'Cable Schedule'!$I$3:$I$186,A12)</f>
        <v>49</v>
      </c>
      <c r="F12" s="35" t="n">
        <f aca="false">ROUNDUP(E12*(1+'Design Basis'!$C$7),0)</f>
        <v>52</v>
      </c>
      <c r="G12" s="39" t="str">
        <f aca="false">IF('Cable Types'!I10="","",'Cable Types'!I10)</f>
        <v/>
      </c>
      <c r="H12" s="35" t="str">
        <f aca="false">IF(OR(G12="",F12=0),"",ROUNDUP(F12/G12,0))</f>
        <v/>
      </c>
      <c r="I12" s="40" t="n">
        <f aca="false">F12*'Cable Types'!H10/1000</f>
        <v>1.56</v>
      </c>
    </row>
    <row r="13" customFormat="false" ht="15" hidden="false" customHeight="false" outlineLevel="0" collapsed="false">
      <c r="A13" s="38" t="str">
        <f aca="false">'Cable Types'!A11</f>
        <v>MV-1C-95</v>
      </c>
      <c r="B13" s="38" t="str">
        <f aca="false">'Cable Types'!B11</f>
        <v>6.35/11 kV 1C 95 mm2 Cu/XLPE/CWS/PVC</v>
      </c>
      <c r="C13" s="38" t="str">
        <f aca="false">'Cable Types'!C11</f>
        <v>MV Power</v>
      </c>
      <c r="D13" s="35" t="n">
        <f aca="false">COUNTIF('Cable Schedule'!$I$3:$I$186,A13)</f>
        <v>2</v>
      </c>
      <c r="E13" s="35" t="n">
        <f aca="false">SUMIFS('Cable Schedule'!$P$3:$P$186,'Cable Schedule'!$I$3:$I$186,A13)</f>
        <v>30</v>
      </c>
      <c r="F13" s="35" t="n">
        <f aca="false">ROUNDUP(E13*(1+'Design Basis'!$C$7),0)</f>
        <v>32</v>
      </c>
      <c r="G13" s="39" t="n">
        <f aca="false">IF('Cable Types'!I11="","",'Cable Types'!I11)</f>
        <v>500</v>
      </c>
      <c r="H13" s="35" t="n">
        <f aca="false">IF(OR(G13="",F13=0),"",ROUNDUP(F13/G13,0))</f>
        <v>1</v>
      </c>
      <c r="I13" s="40" t="n">
        <f aca="false">F13*'Cable Types'!H11/1000</f>
        <v>0.0512</v>
      </c>
    </row>
    <row r="14" customFormat="false" ht="15" hidden="false" customHeight="false" outlineLevel="0" collapsed="false">
      <c r="A14" s="38" t="str">
        <f aca="false">'Cable Types'!A12</f>
        <v>MV-1C-240</v>
      </c>
      <c r="B14" s="38" t="str">
        <f aca="false">'Cable Types'!B12</f>
        <v>6.35/11 kV 1C 240 mm2 Cu/XLPE/CWS/PVC (trefoil set)</v>
      </c>
      <c r="C14" s="38" t="str">
        <f aca="false">'Cable Types'!C12</f>
        <v>MV Power</v>
      </c>
      <c r="D14" s="35" t="n">
        <f aca="false">COUNTIF('Cable Schedule'!$I$3:$I$186,A14)</f>
        <v>3</v>
      </c>
      <c r="E14" s="35" t="n">
        <f aca="false">SUMIFS('Cable Schedule'!$P$3:$P$186,'Cable Schedule'!$I$3:$I$186,A14)</f>
        <v>1956</v>
      </c>
      <c r="F14" s="35" t="n">
        <f aca="false">ROUNDUP(E14*(1+'Design Basis'!$C$7),0)</f>
        <v>2054</v>
      </c>
      <c r="G14" s="39" t="n">
        <f aca="false">IF('Cable Types'!I12="","",'Cable Types'!I12)</f>
        <v>500</v>
      </c>
      <c r="H14" s="35" t="n">
        <f aca="false">IF(OR(G14="",F14=0),"",ROUNDUP(F14/G14,0))</f>
        <v>5</v>
      </c>
      <c r="I14" s="40" t="n">
        <f aca="false">F14*'Cable Types'!H12/1000</f>
        <v>6.5728</v>
      </c>
    </row>
    <row r="15" customFormat="false" ht="15" hidden="false" customHeight="false" outlineLevel="0" collapsed="false">
      <c r="A15" s="38" t="str">
        <f aca="false">'Cable Types'!A13</f>
        <v>MV-1C-400</v>
      </c>
      <c r="B15" s="38" t="str">
        <f aca="false">'Cable Types'!B13</f>
        <v>6.35/11 kV 1C 400 mm2 Cu/XLPE/CWS/PVC (trefoil set)</v>
      </c>
      <c r="C15" s="38" t="str">
        <f aca="false">'Cable Types'!C13</f>
        <v>MV Power</v>
      </c>
      <c r="D15" s="35" t="n">
        <f aca="false">COUNTIF('Cable Schedule'!$I$3:$I$186,A15)</f>
        <v>3</v>
      </c>
      <c r="E15" s="35" t="n">
        <f aca="false">SUMIFS('Cable Schedule'!$P$3:$P$186,'Cable Schedule'!$I$3:$I$186,A15)</f>
        <v>852</v>
      </c>
      <c r="F15" s="35" t="n">
        <f aca="false">ROUNDUP(E15*(1+'Design Basis'!$C$7),0)</f>
        <v>895</v>
      </c>
      <c r="G15" s="39" t="n">
        <f aca="false">IF('Cable Types'!I13="","",'Cable Types'!I13)</f>
        <v>500</v>
      </c>
      <c r="H15" s="35" t="n">
        <f aca="false">IF(OR(G15="",F15=0),"",ROUNDUP(F15/G15,0))</f>
        <v>2</v>
      </c>
      <c r="I15" s="40" t="n">
        <f aca="false">F15*'Cable Types'!H13/1000</f>
        <v>4.475</v>
      </c>
    </row>
    <row r="16" customFormat="false" ht="15" hidden="false" customHeight="false" outlineLevel="0" collapsed="false">
      <c r="A16" s="38" t="str">
        <f aca="false">'Cable Types'!A14</f>
        <v>MV-1C-630</v>
      </c>
      <c r="B16" s="38" t="str">
        <f aca="false">'Cable Types'!B14</f>
        <v>6.35/11 kV 1C 630 mm2 Cu/XLPE/CWS/PVC (trefoil set)</v>
      </c>
      <c r="C16" s="38" t="str">
        <f aca="false">'Cable Types'!C14</f>
        <v>MV Power</v>
      </c>
      <c r="D16" s="35" t="n">
        <f aca="false">COUNTIF('Cable Schedule'!$I$3:$I$186,A16)</f>
        <v>2</v>
      </c>
      <c r="E16" s="35" t="n">
        <f aca="false">SUMIFS('Cable Schedule'!$P$3:$P$186,'Cable Schedule'!$I$3:$I$186,A16)</f>
        <v>1509</v>
      </c>
      <c r="F16" s="35" t="n">
        <f aca="false">ROUNDUP(E16*(1+'Design Basis'!$C$7),0)</f>
        <v>1585</v>
      </c>
      <c r="G16" s="39" t="n">
        <f aca="false">IF('Cable Types'!I14="","",'Cable Types'!I14)</f>
        <v>500</v>
      </c>
      <c r="H16" s="35" t="n">
        <f aca="false">IF(OR(G16="",F16=0),"",ROUNDUP(F16/G16,0))</f>
        <v>4</v>
      </c>
      <c r="I16" s="40" t="n">
        <f aca="false">F16*'Cable Types'!H14/1000</f>
        <v>12.046</v>
      </c>
    </row>
    <row r="17" customFormat="false" ht="15" hidden="false" customHeight="false" outlineLevel="0" collapsed="false">
      <c r="A17" s="38" t="str">
        <f aca="false">'Cable Types'!A15</f>
        <v>MV-3C-70</v>
      </c>
      <c r="B17" s="38" t="str">
        <f aca="false">'Cable Types'!B15</f>
        <v>6.35/11 kV 3C 70 mm2 Cu/XLPE/SWA/PVC</v>
      </c>
      <c r="C17" s="38" t="str">
        <f aca="false">'Cable Types'!C15</f>
        <v>MV Power</v>
      </c>
      <c r="D17" s="35" t="n">
        <f aca="false">COUNTIF('Cable Schedule'!$I$3:$I$186,A17)</f>
        <v>21</v>
      </c>
      <c r="E17" s="35" t="n">
        <f aca="false">SUMIFS('Cable Schedule'!$P$3:$P$186,'Cable Schedule'!$I$3:$I$186,A17)</f>
        <v>1254</v>
      </c>
      <c r="F17" s="35" t="n">
        <f aca="false">ROUNDUP(E17*(1+'Design Basis'!$C$7),0)</f>
        <v>1317</v>
      </c>
      <c r="G17" s="39" t="n">
        <f aca="false">IF('Cable Types'!I15="","",'Cable Types'!I15)</f>
        <v>500</v>
      </c>
      <c r="H17" s="35" t="n">
        <f aca="false">IF(OR(G17="",F17=0),"",ROUNDUP(F17/G17,0))</f>
        <v>3</v>
      </c>
      <c r="I17" s="40" t="n">
        <f aca="false">F17*'Cable Types'!H15/1000</f>
        <v>7.1118</v>
      </c>
    </row>
    <row r="18" customFormat="false" ht="15" hidden="false" customHeight="false" outlineLevel="0" collapsed="false">
      <c r="A18" s="38" t="str">
        <f aca="false">'Cable Types'!A16</f>
        <v>MV-3C-120</v>
      </c>
      <c r="B18" s="38" t="str">
        <f aca="false">'Cable Types'!B16</f>
        <v>6.35/11 kV 3C 120 mm2 Cu/XLPE/SWA/PVC</v>
      </c>
      <c r="C18" s="38" t="str">
        <f aca="false">'Cable Types'!C16</f>
        <v>MV Power</v>
      </c>
      <c r="D18" s="35" t="n">
        <f aca="false">COUNTIF('Cable Schedule'!$I$3:$I$186,A18)</f>
        <v>3</v>
      </c>
      <c r="E18" s="35" t="n">
        <f aca="false">SUMIFS('Cable Schedule'!$P$3:$P$186,'Cable Schedule'!$I$3:$I$186,A18)</f>
        <v>432</v>
      </c>
      <c r="F18" s="35" t="n">
        <f aca="false">ROUNDUP(E18*(1+'Design Basis'!$C$7),0)</f>
        <v>454</v>
      </c>
      <c r="G18" s="39" t="n">
        <f aca="false">IF('Cable Types'!I16="","",'Cable Types'!I16)</f>
        <v>500</v>
      </c>
      <c r="H18" s="35" t="n">
        <f aca="false">IF(OR(G18="",F18=0),"",ROUNDUP(F18/G18,0))</f>
        <v>1</v>
      </c>
      <c r="I18" s="40" t="n">
        <f aca="false">F18*'Cable Types'!H16/1000</f>
        <v>3.4504</v>
      </c>
    </row>
    <row r="19" customFormat="false" ht="15" hidden="false" customHeight="false" outlineLevel="0" collapsed="false">
      <c r="A19" s="38" t="str">
        <f aca="false">'Cable Types'!A17</f>
        <v>MV-3C-185</v>
      </c>
      <c r="B19" s="38" t="str">
        <f aca="false">'Cable Types'!B17</f>
        <v>6.35/11 kV 3C 185 mm2 Cu/XLPE/SWA/PVC</v>
      </c>
      <c r="C19" s="38" t="str">
        <f aca="false">'Cable Types'!C17</f>
        <v>MV Power</v>
      </c>
      <c r="D19" s="35" t="n">
        <f aca="false">COUNTIF('Cable Schedule'!$I$3:$I$186,A19)</f>
        <v>1</v>
      </c>
      <c r="E19" s="35" t="n">
        <f aca="false">SUMIFS('Cable Schedule'!$P$3:$P$186,'Cable Schedule'!$I$3:$I$186,A19)</f>
        <v>170</v>
      </c>
      <c r="F19" s="35" t="n">
        <f aca="false">ROUNDUP(E19*(1+'Design Basis'!$C$7),0)</f>
        <v>179</v>
      </c>
      <c r="G19" s="39" t="n">
        <f aca="false">IF('Cable Types'!I17="","",'Cable Types'!I17)</f>
        <v>500</v>
      </c>
      <c r="H19" s="35" t="n">
        <f aca="false">IF(OR(G19="",F19=0),"",ROUNDUP(F19/G19,0))</f>
        <v>1</v>
      </c>
      <c r="I19" s="40" t="n">
        <f aca="false">F19*'Cable Types'!H17/1000</f>
        <v>1.8258</v>
      </c>
    </row>
    <row r="20" customFormat="false" ht="15" hidden="false" customHeight="false" outlineLevel="0" collapsed="false">
      <c r="A20" s="38" t="str">
        <f aca="false">'Cable Types'!A18</f>
        <v>LV-4C-6</v>
      </c>
      <c r="B20" s="38" t="str">
        <f aca="false">'Cable Types'!B18</f>
        <v>0.6/1 kV 4C 6 mm2 Cu/XLPE/SWA/PVC</v>
      </c>
      <c r="C20" s="38" t="str">
        <f aca="false">'Cable Types'!C18</f>
        <v>LV Power</v>
      </c>
      <c r="D20" s="35" t="n">
        <f aca="false">COUNTIF('Cable Schedule'!$I$3:$I$186,A20)</f>
        <v>1</v>
      </c>
      <c r="E20" s="35" t="n">
        <f aca="false">SUMIFS('Cable Schedule'!$P$3:$P$186,'Cable Schedule'!$I$3:$I$186,A20)</f>
        <v>17</v>
      </c>
      <c r="F20" s="35" t="n">
        <f aca="false">ROUNDUP(E20*(1+'Design Basis'!$C$7),0)</f>
        <v>18</v>
      </c>
      <c r="G20" s="39" t="n">
        <f aca="false">IF('Cable Types'!I18="","",'Cable Types'!I18)</f>
        <v>1000</v>
      </c>
      <c r="H20" s="35" t="n">
        <f aca="false">IF(OR(G20="",F20=0),"",ROUNDUP(F20/G20,0))</f>
        <v>1</v>
      </c>
      <c r="I20" s="40" t="n">
        <f aca="false">F20*'Cable Types'!H18/1000</f>
        <v>0.0144</v>
      </c>
    </row>
    <row r="21" customFormat="false" ht="15" hidden="false" customHeight="false" outlineLevel="0" collapsed="false">
      <c r="A21" s="38" t="str">
        <f aca="false">'Cable Types'!A19</f>
        <v>LV-4C-16</v>
      </c>
      <c r="B21" s="38" t="str">
        <f aca="false">'Cable Types'!B19</f>
        <v>0.6/1 kV 4C 16 mm2 Cu/XLPE/SWA/PVC</v>
      </c>
      <c r="C21" s="38" t="str">
        <f aca="false">'Cable Types'!C19</f>
        <v>LV Power</v>
      </c>
      <c r="D21" s="35" t="n">
        <f aca="false">COUNTIF('Cable Schedule'!$I$3:$I$186,A21)</f>
        <v>3</v>
      </c>
      <c r="E21" s="35" t="n">
        <f aca="false">SUMIFS('Cable Schedule'!$P$3:$P$186,'Cable Schedule'!$I$3:$I$186,A21)</f>
        <v>325</v>
      </c>
      <c r="F21" s="35" t="n">
        <f aca="false">ROUNDUP(E21*(1+'Design Basis'!$C$7),0)</f>
        <v>342</v>
      </c>
      <c r="G21" s="39" t="n">
        <f aca="false">IF('Cable Types'!I19="","",'Cable Types'!I19)</f>
        <v>1000</v>
      </c>
      <c r="H21" s="35" t="n">
        <f aca="false">IF(OR(G21="",F21=0),"",ROUNDUP(F21/G21,0))</f>
        <v>1</v>
      </c>
      <c r="I21" s="40" t="n">
        <f aca="false">F21*'Cable Types'!H19/1000</f>
        <v>0.4788</v>
      </c>
    </row>
    <row r="22" customFormat="false" ht="15" hidden="false" customHeight="false" outlineLevel="0" collapsed="false">
      <c r="A22" s="38" t="str">
        <f aca="false">'Cable Types'!A20</f>
        <v>LV-4C-35</v>
      </c>
      <c r="B22" s="38" t="str">
        <f aca="false">'Cable Types'!B20</f>
        <v>0.6/1 kV 4C 35 mm2 Cu/XLPE/SWA/PVC</v>
      </c>
      <c r="C22" s="38" t="str">
        <f aca="false">'Cable Types'!C20</f>
        <v>LV Power</v>
      </c>
      <c r="D22" s="35" t="n">
        <f aca="false">COUNTIF('Cable Schedule'!$I$3:$I$186,A22)</f>
        <v>14</v>
      </c>
      <c r="E22" s="35" t="n">
        <f aca="false">SUMIFS('Cable Schedule'!$P$3:$P$186,'Cable Schedule'!$I$3:$I$186,A22)</f>
        <v>582</v>
      </c>
      <c r="F22" s="35" t="n">
        <f aca="false">ROUNDUP(E22*(1+'Design Basis'!$C$7),0)</f>
        <v>612</v>
      </c>
      <c r="G22" s="39" t="n">
        <f aca="false">IF('Cable Types'!I20="","",'Cable Types'!I20)</f>
        <v>500</v>
      </c>
      <c r="H22" s="35" t="n">
        <f aca="false">IF(OR(G22="",F22=0),"",ROUNDUP(F22/G22,0))</f>
        <v>2</v>
      </c>
      <c r="I22" s="40" t="n">
        <f aca="false">F22*'Cable Types'!H20/1000</f>
        <v>1.4688</v>
      </c>
    </row>
    <row r="23" customFormat="false" ht="15" hidden="false" customHeight="false" outlineLevel="0" collapsed="false">
      <c r="A23" s="38" t="str">
        <f aca="false">'Cable Types'!A21</f>
        <v>LV-4C-70</v>
      </c>
      <c r="B23" s="38" t="str">
        <f aca="false">'Cable Types'!B21</f>
        <v>0.6/1 kV 4C 70 mm2 Cu/XLPE/SWA/PVC</v>
      </c>
      <c r="C23" s="38" t="str">
        <f aca="false">'Cable Types'!C21</f>
        <v>LV Power</v>
      </c>
      <c r="D23" s="35" t="n">
        <f aca="false">COUNTIF('Cable Schedule'!$I$3:$I$186,A23)</f>
        <v>2</v>
      </c>
      <c r="E23" s="35" t="n">
        <f aca="false">SUMIFS('Cable Schedule'!$P$3:$P$186,'Cable Schedule'!$I$3:$I$186,A23)</f>
        <v>34</v>
      </c>
      <c r="F23" s="35" t="n">
        <f aca="false">ROUNDUP(E23*(1+'Design Basis'!$C$7),0)</f>
        <v>36</v>
      </c>
      <c r="G23" s="39" t="n">
        <f aca="false">IF('Cable Types'!I21="","",'Cable Types'!I21)</f>
        <v>500</v>
      </c>
      <c r="H23" s="35" t="n">
        <f aca="false">IF(OR(G23="",F23=0),"",ROUNDUP(F23/G23,0))</f>
        <v>1</v>
      </c>
      <c r="I23" s="40" t="n">
        <f aca="false">F23*'Cable Types'!H21/1000</f>
        <v>0.1476</v>
      </c>
    </row>
    <row r="24" customFormat="false" ht="15" hidden="false" customHeight="false" outlineLevel="0" collapsed="false">
      <c r="A24" s="38" t="str">
        <f aca="false">'Cable Types'!A22</f>
        <v>LV-4C-120</v>
      </c>
      <c r="B24" s="38" t="str">
        <f aca="false">'Cable Types'!B22</f>
        <v>0.6/1 kV 4C 120 mm2 Cu/XLPE/SWA/PVC</v>
      </c>
      <c r="C24" s="38" t="str">
        <f aca="false">'Cable Types'!C22</f>
        <v>LV Power</v>
      </c>
      <c r="D24" s="35" t="n">
        <f aca="false">COUNTIF('Cable Schedule'!$I$3:$I$186,A24)</f>
        <v>2</v>
      </c>
      <c r="E24" s="35" t="n">
        <f aca="false">SUMIFS('Cable Schedule'!$P$3:$P$186,'Cable Schedule'!$I$3:$I$186,A24)</f>
        <v>235</v>
      </c>
      <c r="F24" s="35" t="n">
        <f aca="false">ROUNDUP(E24*(1+'Design Basis'!$C$7),0)</f>
        <v>247</v>
      </c>
      <c r="G24" s="39" t="n">
        <f aca="false">IF('Cable Types'!I22="","",'Cable Types'!I22)</f>
        <v>500</v>
      </c>
      <c r="H24" s="35" t="n">
        <f aca="false">IF(OR(G24="",F24=0),"",ROUNDUP(F24/G24,0))</f>
        <v>1</v>
      </c>
      <c r="I24" s="40" t="n">
        <f aca="false">F24*'Cable Types'!H22/1000</f>
        <v>1.5808</v>
      </c>
    </row>
    <row r="25" customFormat="false" ht="15" hidden="false" customHeight="false" outlineLevel="0" collapsed="false">
      <c r="A25" s="38" t="str">
        <f aca="false">'Cable Types'!A23</f>
        <v>LV-4C-240</v>
      </c>
      <c r="B25" s="38" t="str">
        <f aca="false">'Cable Types'!B23</f>
        <v>0.6/1 kV 4C 240 mm2 Cu/XLPE/SWA/PVC</v>
      </c>
      <c r="C25" s="38" t="str">
        <f aca="false">'Cable Types'!C23</f>
        <v>LV Power</v>
      </c>
      <c r="D25" s="35" t="n">
        <f aca="false">COUNTIF('Cable Schedule'!$I$3:$I$186,A25)</f>
        <v>7</v>
      </c>
      <c r="E25" s="35" t="n">
        <f aca="false">SUMIFS('Cable Schedule'!$P$3:$P$186,'Cable Schedule'!$I$3:$I$186,A25)</f>
        <v>1065</v>
      </c>
      <c r="F25" s="35" t="n">
        <f aca="false">ROUNDUP(E25*(1+'Design Basis'!$C$7),0)</f>
        <v>1119</v>
      </c>
      <c r="G25" s="39" t="n">
        <f aca="false">IF('Cable Types'!I23="","",'Cable Types'!I23)</f>
        <v>500</v>
      </c>
      <c r="H25" s="35" t="n">
        <f aca="false">IF(OR(G25="",F25=0),"",ROUNDUP(F25/G25,0))</f>
        <v>3</v>
      </c>
      <c r="I25" s="40" t="n">
        <f aca="false">F25*'Cable Types'!H23/1000</f>
        <v>13.7637</v>
      </c>
    </row>
    <row r="26" customFormat="false" ht="15" hidden="false" customHeight="false" outlineLevel="0" collapsed="false">
      <c r="A26" s="38" t="str">
        <f aca="false">'Cable Types'!A24</f>
        <v>LV-VFD-95</v>
      </c>
      <c r="B26" s="38" t="str">
        <f aca="false">'Cable Types'!B24</f>
        <v>0.6/1 kV 3C 95+3E Cu/XLPE/screened VFD cable</v>
      </c>
      <c r="C26" s="38" t="str">
        <f aca="false">'Cable Types'!C24</f>
        <v>LV Power</v>
      </c>
      <c r="D26" s="35" t="n">
        <f aca="false">COUNTIF('Cable Schedule'!$I$3:$I$186,A26)</f>
        <v>15</v>
      </c>
      <c r="E26" s="35" t="n">
        <f aca="false">SUMIFS('Cable Schedule'!$P$3:$P$186,'Cable Schedule'!$I$3:$I$186,A26)</f>
        <v>993</v>
      </c>
      <c r="F26" s="35" t="n">
        <f aca="false">ROUNDUP(E26*(1+'Design Basis'!$C$7),0)</f>
        <v>1043</v>
      </c>
      <c r="G26" s="39" t="n">
        <f aca="false">IF('Cable Types'!I24="","",'Cable Types'!I24)</f>
        <v>500</v>
      </c>
      <c r="H26" s="35" t="n">
        <f aca="false">IF(OR(G26="",F26=0),"",ROUNDUP(F26/G26,0))</f>
        <v>3</v>
      </c>
      <c r="I26" s="40" t="n">
        <f aca="false">F26*'Cable Types'!H24/1000</f>
        <v>5.8408</v>
      </c>
    </row>
    <row r="27" customFormat="false" ht="15" hidden="false" customHeight="false" outlineLevel="0" collapsed="false">
      <c r="A27" s="38" t="str">
        <f aca="false">'Cable Types'!A25</f>
        <v>LV-2C-10</v>
      </c>
      <c r="B27" s="38" t="str">
        <f aca="false">'Cable Types'!B25</f>
        <v>0.6/1 kV 2C 10 mm2 Cu/XLPE/SWA/PVC</v>
      </c>
      <c r="C27" s="38" t="str">
        <f aca="false">'Cable Types'!C25</f>
        <v>DC Power</v>
      </c>
      <c r="D27" s="35" t="n">
        <f aca="false">COUNTIF('Cable Schedule'!$I$3:$I$186,A27)</f>
        <v>4</v>
      </c>
      <c r="E27" s="35" t="n">
        <f aca="false">SUMIFS('Cable Schedule'!$P$3:$P$186,'Cable Schedule'!$I$3:$I$186,A27)</f>
        <v>118</v>
      </c>
      <c r="F27" s="35" t="n">
        <f aca="false">ROUNDUP(E27*(1+'Design Basis'!$C$7),0)</f>
        <v>124</v>
      </c>
      <c r="G27" s="39" t="n">
        <f aca="false">IF('Cable Types'!I25="","",'Cable Types'!I25)</f>
        <v>1000</v>
      </c>
      <c r="H27" s="35" t="n">
        <f aca="false">IF(OR(G27="",F27=0),"",ROUNDUP(F27/G27,0))</f>
        <v>1</v>
      </c>
      <c r="I27" s="40" t="n">
        <f aca="false">F27*'Cable Types'!H25/1000</f>
        <v>0.0868</v>
      </c>
    </row>
    <row r="28" customFormat="false" ht="15" hidden="false" customHeight="false" outlineLevel="0" collapsed="false">
      <c r="A28" s="38" t="str">
        <f aca="false">'Cable Types'!A26</f>
        <v>LV-2C-35</v>
      </c>
      <c r="B28" s="38" t="str">
        <f aca="false">'Cable Types'!B26</f>
        <v>0.6/1 kV 2C 35 mm2 Cu/XLPE/SWA/PVC</v>
      </c>
      <c r="C28" s="38" t="str">
        <f aca="false">'Cable Types'!C26</f>
        <v>DC Power</v>
      </c>
      <c r="D28" s="35" t="n">
        <f aca="false">COUNTIF('Cable Schedule'!$I$3:$I$186,A28)</f>
        <v>5</v>
      </c>
      <c r="E28" s="35" t="n">
        <f aca="false">SUMIFS('Cable Schedule'!$P$3:$P$186,'Cable Schedule'!$I$3:$I$186,A28)</f>
        <v>549</v>
      </c>
      <c r="F28" s="35" t="n">
        <f aca="false">ROUNDUP(E28*(1+'Design Basis'!$C$7),0)</f>
        <v>577</v>
      </c>
      <c r="G28" s="39" t="n">
        <f aca="false">IF('Cable Types'!I26="","",'Cable Types'!I26)</f>
        <v>500</v>
      </c>
      <c r="H28" s="35" t="n">
        <f aca="false">IF(OR(G28="",F28=0),"",ROUNDUP(F28/G28,0))</f>
        <v>2</v>
      </c>
      <c r="I28" s="40" t="n">
        <f aca="false">F28*'Cable Types'!H26/1000</f>
        <v>1.0386</v>
      </c>
    </row>
    <row r="29" customFormat="false" ht="15" hidden="false" customHeight="false" outlineLevel="0" collapsed="false">
      <c r="A29" s="38" t="str">
        <f aca="false">'Cable Types'!A27</f>
        <v>LV-1C-240</v>
      </c>
      <c r="B29" s="38" t="str">
        <f aca="false">'Cable Types'!B27</f>
        <v>0.6/1 kV 1C 240 mm2 Cu/XLPE/AWA/PVC (+/- pair)</v>
      </c>
      <c r="C29" s="38" t="str">
        <f aca="false">'Cable Types'!C27</f>
        <v>DC Power</v>
      </c>
      <c r="D29" s="35" t="n">
        <f aca="false">COUNTIF('Cable Schedule'!$I$3:$I$186,A29)</f>
        <v>2</v>
      </c>
      <c r="E29" s="35" t="n">
        <f aca="false">SUMIFS('Cable Schedule'!$P$3:$P$186,'Cable Schedule'!$I$3:$I$186,A29)</f>
        <v>360</v>
      </c>
      <c r="F29" s="35" t="n">
        <f aca="false">ROUNDUP(E29*(1+'Design Basis'!$C$7),0)</f>
        <v>378</v>
      </c>
      <c r="G29" s="39" t="n">
        <f aca="false">IF('Cable Types'!I27="","",'Cable Types'!I27)</f>
        <v>500</v>
      </c>
      <c r="H29" s="35" t="n">
        <f aca="false">IF(OR(G29="",F29=0),"",ROUNDUP(F29/G29,0))</f>
        <v>1</v>
      </c>
      <c r="I29" s="40" t="n">
        <f aca="false">F29*'Cable Types'!H27/1000</f>
        <v>1.0584</v>
      </c>
    </row>
    <row r="30" customFormat="false" ht="15" hidden="false" customHeight="false" outlineLevel="0" collapsed="false">
      <c r="A30" s="38" t="str">
        <f aca="false">'Cable Types'!A28</f>
        <v>CTL-7C-2.5</v>
      </c>
      <c r="B30" s="38" t="str">
        <f aca="false">'Cable Types'!B28</f>
        <v>0.6/1 kV 7C 2.5 mm2 Cu/PVC/SWA/PVC control</v>
      </c>
      <c r="C30" s="38" t="str">
        <f aca="false">'Cable Types'!C28</f>
        <v>Control</v>
      </c>
      <c r="D30" s="35" t="n">
        <f aca="false">COUNTIF('Cable Schedule'!$I$3:$I$186,A30)</f>
        <v>1</v>
      </c>
      <c r="E30" s="35" t="n">
        <f aca="false">SUMIFS('Cable Schedule'!$P$3:$P$186,'Cable Schedule'!$I$3:$I$186,A30)</f>
        <v>19</v>
      </c>
      <c r="F30" s="35" t="n">
        <f aca="false">ROUNDUP(E30*(1+'Design Basis'!$C$7),0)</f>
        <v>20</v>
      </c>
      <c r="G30" s="39" t="n">
        <f aca="false">IF('Cable Types'!I28="","",'Cable Types'!I28)</f>
        <v>1000</v>
      </c>
      <c r="H30" s="35" t="n">
        <f aca="false">IF(OR(G30="",F30=0),"",ROUNDUP(F30/G30,0))</f>
        <v>1</v>
      </c>
      <c r="I30" s="40" t="n">
        <f aca="false">F30*'Cable Types'!H28/1000</f>
        <v>0.014</v>
      </c>
    </row>
    <row r="31" customFormat="false" ht="15" hidden="false" customHeight="false" outlineLevel="0" collapsed="false">
      <c r="A31" s="38" t="str">
        <f aca="false">'Cable Types'!A29</f>
        <v>CTL-12C-2.5</v>
      </c>
      <c r="B31" s="38" t="str">
        <f aca="false">'Cable Types'!B29</f>
        <v>0.6/1 kV 12C 2.5 mm2 Cu/PVC/SWA/PVC control</v>
      </c>
      <c r="C31" s="38" t="str">
        <f aca="false">'Cable Types'!C29</f>
        <v>Control</v>
      </c>
      <c r="D31" s="35" t="n">
        <f aca="false">COUNTIF('Cable Schedule'!$I$3:$I$186,A31)</f>
        <v>0</v>
      </c>
      <c r="E31" s="35" t="n">
        <f aca="false">SUMIFS('Cable Schedule'!$P$3:$P$186,'Cable Schedule'!$I$3:$I$186,A31)</f>
        <v>0</v>
      </c>
      <c r="F31" s="35" t="n">
        <f aca="false">ROUNDUP(E31*(1+'Design Basis'!$C$7),0)</f>
        <v>0</v>
      </c>
      <c r="G31" s="39" t="n">
        <f aca="false">IF('Cable Types'!I29="","",'Cable Types'!I29)</f>
        <v>1000</v>
      </c>
      <c r="H31" s="35" t="str">
        <f aca="false">IF(OR(G31="",F31=0),"",ROUNDUP(F31/G31,0))</f>
        <v/>
      </c>
      <c r="I31" s="40" t="n">
        <f aca="false">F31*'Cable Types'!H29/1000</f>
        <v>0</v>
      </c>
    </row>
    <row r="32" customFormat="false" ht="15" hidden="false" customHeight="false" outlineLevel="0" collapsed="false">
      <c r="A32" s="38" t="str">
        <f aca="false">'Cable Types'!A30</f>
        <v>CTL-24C-1.5</v>
      </c>
      <c r="B32" s="38" t="str">
        <f aca="false">'Cable Types'!B30</f>
        <v>0.6/1 kV 24C 1.5 mm2 Cu/PVC/SWA/PVC control</v>
      </c>
      <c r="C32" s="38" t="str">
        <f aca="false">'Cable Types'!C30</f>
        <v>Control</v>
      </c>
      <c r="D32" s="35" t="n">
        <f aca="false">COUNTIF('Cable Schedule'!$I$3:$I$186,A32)</f>
        <v>18</v>
      </c>
      <c r="E32" s="35" t="n">
        <f aca="false">SUMIFS('Cable Schedule'!$P$3:$P$186,'Cable Schedule'!$I$3:$I$186,A32)</f>
        <v>1237</v>
      </c>
      <c r="F32" s="35" t="n">
        <f aca="false">ROUNDUP(E32*(1+'Design Basis'!$C$7),0)</f>
        <v>1299</v>
      </c>
      <c r="G32" s="39" t="n">
        <f aca="false">IF('Cable Types'!I30="","",'Cable Types'!I30)</f>
        <v>1000</v>
      </c>
      <c r="H32" s="35" t="n">
        <f aca="false">IF(OR(G32="",F32=0),"",ROUNDUP(F32/G32,0))</f>
        <v>2</v>
      </c>
      <c r="I32" s="40" t="n">
        <f aca="false">F32*'Cable Types'!H30/1000</f>
        <v>1.4289</v>
      </c>
    </row>
    <row r="33" customFormat="false" ht="15" hidden="false" customHeight="false" outlineLevel="0" collapsed="false">
      <c r="A33" s="38" t="str">
        <f aca="false">'Cable Types'!A31</f>
        <v>CTL-12C-4</v>
      </c>
      <c r="B33" s="38" t="str">
        <f aca="false">'Cable Types'!B31</f>
        <v>0.6/1 kV 12C 4 mm2 Cu/PVC/SWA/PVC (CT/VT circuits)</v>
      </c>
      <c r="C33" s="38" t="str">
        <f aca="false">'Cable Types'!C31</f>
        <v>Control</v>
      </c>
      <c r="D33" s="35" t="n">
        <f aca="false">COUNTIF('Cable Schedule'!$I$3:$I$186,A33)</f>
        <v>11</v>
      </c>
      <c r="E33" s="35" t="n">
        <f aca="false">SUMIFS('Cable Schedule'!$P$3:$P$186,'Cable Schedule'!$I$3:$I$186,A33)</f>
        <v>1234</v>
      </c>
      <c r="F33" s="35" t="n">
        <f aca="false">ROUNDUP(E33*(1+'Design Basis'!$C$7),0)</f>
        <v>1296</v>
      </c>
      <c r="G33" s="39" t="n">
        <f aca="false">IF('Cable Types'!I31="","",'Cable Types'!I31)</f>
        <v>1000</v>
      </c>
      <c r="H33" s="35" t="n">
        <f aca="false">IF(OR(G33="",F33=0),"",ROUNDUP(F33/G33,0))</f>
        <v>2</v>
      </c>
      <c r="I33" s="40" t="n">
        <f aca="false">F33*'Cable Types'!H31/1000</f>
        <v>1.6848</v>
      </c>
    </row>
    <row r="34" customFormat="false" ht="15" hidden="false" customHeight="false" outlineLevel="0" collapsed="false">
      <c r="A34" s="38" t="str">
        <f aca="false">'Cable Types'!A32</f>
        <v>INS-1P-1.5</v>
      </c>
      <c r="B34" s="38" t="str">
        <f aca="false">'Cable Types'!B32</f>
        <v>300/500 V 1 pair 1.5 mm2 OS/SWA instrument (IS blue)</v>
      </c>
      <c r="C34" s="38" t="str">
        <f aca="false">'Cable Types'!C32</f>
        <v>Instrument</v>
      </c>
      <c r="D34" s="35" t="n">
        <f aca="false">COUNTIF('Cable Schedule'!$I$3:$I$186,A34)</f>
        <v>1</v>
      </c>
      <c r="E34" s="35" t="n">
        <f aca="false">SUMIFS('Cable Schedule'!$P$3:$P$186,'Cable Schedule'!$I$3:$I$186,A34)</f>
        <v>60</v>
      </c>
      <c r="F34" s="35" t="n">
        <f aca="false">ROUNDUP(E34*(1+'Design Basis'!$C$7),0)</f>
        <v>63</v>
      </c>
      <c r="G34" s="39" t="n">
        <f aca="false">IF('Cable Types'!I32="","",'Cable Types'!I32)</f>
        <v>1000</v>
      </c>
      <c r="H34" s="35" t="n">
        <f aca="false">IF(OR(G34="",F34=0),"",ROUNDUP(F34/G34,0))</f>
        <v>1</v>
      </c>
      <c r="I34" s="40" t="n">
        <f aca="false">F34*'Cable Types'!H32/1000</f>
        <v>0.01575</v>
      </c>
    </row>
    <row r="35" customFormat="false" ht="15" hidden="false" customHeight="false" outlineLevel="0" collapsed="false">
      <c r="A35" s="38" t="str">
        <f aca="false">'Cable Types'!A33</f>
        <v>INS-2P-1.5</v>
      </c>
      <c r="B35" s="38" t="str">
        <f aca="false">'Cable Types'!B33</f>
        <v>300/500 V 2 pair 1.5 mm2 IS/OS/SWA instrument (IS blue)</v>
      </c>
      <c r="C35" s="38" t="str">
        <f aca="false">'Cable Types'!C33</f>
        <v>Instrument</v>
      </c>
      <c r="D35" s="35" t="n">
        <f aca="false">COUNTIF('Cable Schedule'!$I$3:$I$186,A35)</f>
        <v>4</v>
      </c>
      <c r="E35" s="35" t="n">
        <f aca="false">SUMIFS('Cable Schedule'!$P$3:$P$186,'Cable Schedule'!$I$3:$I$186,A35)</f>
        <v>166</v>
      </c>
      <c r="F35" s="35" t="n">
        <f aca="false">ROUNDUP(E35*(1+'Design Basis'!$C$7),0)</f>
        <v>175</v>
      </c>
      <c r="G35" s="39" t="n">
        <f aca="false">IF('Cable Types'!I33="","",'Cable Types'!I33)</f>
        <v>1000</v>
      </c>
      <c r="H35" s="35" t="n">
        <f aca="false">IF(OR(G35="",F35=0),"",ROUNDUP(F35/G35,0))</f>
        <v>1</v>
      </c>
      <c r="I35" s="40" t="n">
        <f aca="false">F35*'Cable Types'!H33/1000</f>
        <v>0.06125</v>
      </c>
    </row>
    <row r="36" customFormat="false" ht="15" hidden="false" customHeight="false" outlineLevel="0" collapsed="false">
      <c r="A36" s="38" t="str">
        <f aca="false">'Cable Types'!A34</f>
        <v>INS-12P-1.0</v>
      </c>
      <c r="B36" s="38" t="str">
        <f aca="false">'Cable Types'!B34</f>
        <v>300/500 V 12 pair 1.0 mm2 IS/OS/SWA instrument</v>
      </c>
      <c r="C36" s="38" t="str">
        <f aca="false">'Cable Types'!C34</f>
        <v>Instrument</v>
      </c>
      <c r="D36" s="35" t="n">
        <f aca="false">COUNTIF('Cable Schedule'!$I$3:$I$186,A36)</f>
        <v>4</v>
      </c>
      <c r="E36" s="35" t="n">
        <f aca="false">SUMIFS('Cable Schedule'!$P$3:$P$186,'Cable Schedule'!$I$3:$I$186,A36)</f>
        <v>550</v>
      </c>
      <c r="F36" s="35" t="n">
        <f aca="false">ROUNDUP(E36*(1+'Design Basis'!$C$7),0)</f>
        <v>578</v>
      </c>
      <c r="G36" s="39" t="n">
        <f aca="false">IF('Cable Types'!I34="","",'Cable Types'!I34)</f>
        <v>1000</v>
      </c>
      <c r="H36" s="35" t="n">
        <f aca="false">IF(OR(G36="",F36=0),"",ROUNDUP(F36/G36,0))</f>
        <v>1</v>
      </c>
      <c r="I36" s="40" t="n">
        <f aca="false">F36*'Cable Types'!H34/1000</f>
        <v>0.5202</v>
      </c>
    </row>
    <row r="37" customFormat="false" ht="15" hidden="false" customHeight="false" outlineLevel="0" collapsed="false">
      <c r="A37" s="38" t="str">
        <f aca="false">'Cable Types'!A35</f>
        <v>INS-24P-1.0</v>
      </c>
      <c r="B37" s="38" t="str">
        <f aca="false">'Cable Types'!B35</f>
        <v>300/500 V 24 pair 1.0 mm2 IS/OS/SWA instrument</v>
      </c>
      <c r="C37" s="38" t="str">
        <f aca="false">'Cable Types'!C35</f>
        <v>Instrument</v>
      </c>
      <c r="D37" s="35" t="n">
        <f aca="false">COUNTIF('Cable Schedule'!$I$3:$I$186,A37)</f>
        <v>6</v>
      </c>
      <c r="E37" s="35" t="n">
        <f aca="false">SUMIFS('Cable Schedule'!$P$3:$P$186,'Cable Schedule'!$I$3:$I$186,A37)</f>
        <v>693</v>
      </c>
      <c r="F37" s="35" t="n">
        <f aca="false">ROUNDUP(E37*(1+'Design Basis'!$C$7),0)</f>
        <v>728</v>
      </c>
      <c r="G37" s="39" t="n">
        <f aca="false">IF('Cable Types'!I35="","",'Cable Types'!I35)</f>
        <v>1000</v>
      </c>
      <c r="H37" s="35" t="n">
        <f aca="false">IF(OR(G37="",F37=0),"",ROUNDUP(F37/G37,0))</f>
        <v>1</v>
      </c>
      <c r="I37" s="40" t="n">
        <f aca="false">F37*'Cable Types'!H35/1000</f>
        <v>1.0192</v>
      </c>
    </row>
    <row r="38" customFormat="false" ht="15" hidden="false" customHeight="false" outlineLevel="0" collapsed="false">
      <c r="A38" s="38" t="str">
        <f aca="false">'Cable Types'!A36</f>
        <v>INS-TC-12P-K</v>
      </c>
      <c r="B38" s="38" t="str">
        <f aca="false">'Cable Types'!B36</f>
        <v>Type K thermocouple extension 12 pair IS/OS/SWA</v>
      </c>
      <c r="C38" s="38" t="str">
        <f aca="false">'Cable Types'!C36</f>
        <v>Instrument</v>
      </c>
      <c r="D38" s="35" t="n">
        <f aca="false">COUNTIF('Cable Schedule'!$I$3:$I$186,A38)</f>
        <v>1</v>
      </c>
      <c r="E38" s="35" t="n">
        <f aca="false">SUMIFS('Cable Schedule'!$P$3:$P$186,'Cable Schedule'!$I$3:$I$186,A38)</f>
        <v>100</v>
      </c>
      <c r="F38" s="35" t="n">
        <f aca="false">ROUNDUP(E38*(1+'Design Basis'!$C$7),0)</f>
        <v>105</v>
      </c>
      <c r="G38" s="39" t="n">
        <f aca="false">IF('Cable Types'!I36="","",'Cable Types'!I36)</f>
        <v>1000</v>
      </c>
      <c r="H38" s="35" t="n">
        <f aca="false">IF(OR(G38="",F38=0),"",ROUNDUP(F38/G38,0))</f>
        <v>1</v>
      </c>
      <c r="I38" s="40" t="n">
        <f aca="false">F38*'Cable Types'!H36/1000</f>
        <v>0.084</v>
      </c>
    </row>
    <row r="39" customFormat="false" ht="15" hidden="false" customHeight="false" outlineLevel="0" collapsed="false">
      <c r="A39" s="38" t="str">
        <f aca="false">'Cable Types'!A37</f>
        <v>INS-RS485</v>
      </c>
      <c r="B39" s="38" t="str">
        <f aca="false">'Cable Types'!B37</f>
        <v>RS-485 1 pair 0.5 mm2 120 ohm screened/SWA</v>
      </c>
      <c r="C39" s="38" t="str">
        <f aca="false">'Cable Types'!C37</f>
        <v>Instrument</v>
      </c>
      <c r="D39" s="35" t="n">
        <f aca="false">COUNTIF('Cable Schedule'!$I$3:$I$186,A39)</f>
        <v>3</v>
      </c>
      <c r="E39" s="35" t="n">
        <f aca="false">SUMIFS('Cable Schedule'!$P$3:$P$186,'Cable Schedule'!$I$3:$I$186,A39)</f>
        <v>136</v>
      </c>
      <c r="F39" s="35" t="n">
        <f aca="false">ROUNDUP(E39*(1+'Design Basis'!$C$7),0)</f>
        <v>143</v>
      </c>
      <c r="G39" s="39" t="n">
        <f aca="false">IF('Cable Types'!I37="","",'Cable Types'!I37)</f>
        <v>1000</v>
      </c>
      <c r="H39" s="35" t="n">
        <f aca="false">IF(OR(G39="",F39=0),"",ROUNDUP(F39/G39,0))</f>
        <v>1</v>
      </c>
      <c r="I39" s="40" t="n">
        <f aca="false">F39*'Cable Types'!H37/1000</f>
        <v>0.0286</v>
      </c>
    </row>
    <row r="40" customFormat="false" ht="15" hidden="false" customHeight="false" outlineLevel="0" collapsed="false">
      <c r="A40" s="38" t="str">
        <f aca="false">'Cable Types'!A38</f>
        <v>FO-24SM</v>
      </c>
      <c r="B40" s="38" t="str">
        <f aca="false">'Cable Types'!B38</f>
        <v>24-fibre single-mode armoured LSZH</v>
      </c>
      <c r="C40" s="38" t="str">
        <f aca="false">'Cable Types'!C38</f>
        <v>Fibre Optic</v>
      </c>
      <c r="D40" s="35" t="n">
        <f aca="false">COUNTIF('Cable Schedule'!$I$3:$I$186,A40)</f>
        <v>9</v>
      </c>
      <c r="E40" s="35" t="n">
        <f aca="false">SUMIFS('Cable Schedule'!$P$3:$P$186,'Cable Schedule'!$I$3:$I$186,A40)</f>
        <v>1642</v>
      </c>
      <c r="F40" s="35" t="n">
        <f aca="false">ROUNDUP(E40*(1+'Design Basis'!$C$7),0)</f>
        <v>1725</v>
      </c>
      <c r="G40" s="39" t="n">
        <f aca="false">IF('Cable Types'!I38="","",'Cable Types'!I38)</f>
        <v>2000</v>
      </c>
      <c r="H40" s="35" t="n">
        <f aca="false">IF(OR(G40="",F40=0),"",ROUNDUP(F40/G40,0))</f>
        <v>1</v>
      </c>
      <c r="I40" s="40" t="n">
        <f aca="false">F40*'Cable Types'!H38/1000</f>
        <v>0.3795</v>
      </c>
    </row>
    <row r="41" customFormat="false" ht="15" hidden="false" customHeight="false" outlineLevel="0" collapsed="false">
      <c r="A41" s="38" t="str">
        <f aca="false">'Cable Types'!A39</f>
        <v>FO-48SM</v>
      </c>
      <c r="B41" s="38" t="str">
        <f aca="false">'Cable Types'!B39</f>
        <v>48-fibre single-mode armoured LSZH</v>
      </c>
      <c r="C41" s="38" t="str">
        <f aca="false">'Cable Types'!C39</f>
        <v>Fibre Optic</v>
      </c>
      <c r="D41" s="35" t="n">
        <f aca="false">COUNTIF('Cable Schedule'!$I$3:$I$186,A41)</f>
        <v>2</v>
      </c>
      <c r="E41" s="35" t="n">
        <f aca="false">SUMIFS('Cable Schedule'!$P$3:$P$186,'Cable Schedule'!$I$3:$I$186,A41)</f>
        <v>636</v>
      </c>
      <c r="F41" s="35" t="n">
        <f aca="false">ROUNDUP(E41*(1+'Design Basis'!$C$7),0)</f>
        <v>668</v>
      </c>
      <c r="G41" s="39" t="n">
        <f aca="false">IF('Cable Types'!I39="","",'Cable Types'!I39)</f>
        <v>2000</v>
      </c>
      <c r="H41" s="35" t="n">
        <f aca="false">IF(OR(G41="",F41=0),"",ROUNDUP(F41/G41,0))</f>
        <v>1</v>
      </c>
      <c r="I41" s="40" t="n">
        <f aca="false">F41*'Cable Types'!H39/1000</f>
        <v>0.18036</v>
      </c>
    </row>
    <row r="42" customFormat="false" ht="15" hidden="false" customHeight="false" outlineLevel="0" collapsed="false">
      <c r="A42" s="38" t="str">
        <f aca="false">'Cable Types'!A40</f>
        <v>EG-CU-120</v>
      </c>
      <c r="B42" s="38" t="str">
        <f aca="false">'Cable Types'!B40</f>
        <v>Bare stranded Cu 120 mm2 earth conductor (buried)</v>
      </c>
      <c r="C42" s="38" t="str">
        <f aca="false">'Cable Types'!C40</f>
        <v>Earthing</v>
      </c>
      <c r="D42" s="35" t="n">
        <f aca="false">COUNTIF('Cable Schedule'!$I$3:$I$186,A42)</f>
        <v>10</v>
      </c>
      <c r="E42" s="35" t="n">
        <f aca="false">SUMIFS('Cable Schedule'!$P$3:$P$186,'Cable Schedule'!$I$3:$I$186,A42)</f>
        <v>8248</v>
      </c>
      <c r="F42" s="35" t="n">
        <f aca="false">ROUNDUP(E42*(1+'Design Basis'!$C$7),0)</f>
        <v>8661</v>
      </c>
      <c r="G42" s="39" t="n">
        <f aca="false">IF('Cable Types'!I40="","",'Cable Types'!I40)</f>
        <v>500</v>
      </c>
      <c r="H42" s="35" t="n">
        <f aca="false">IF(OR(G42="",F42=0),"",ROUNDUP(F42/G42,0))</f>
        <v>18</v>
      </c>
      <c r="I42" s="40" t="n">
        <f aca="false">F42*'Cable Types'!H40/1000</f>
        <v>9.35388</v>
      </c>
    </row>
    <row r="43" customFormat="false" ht="15" hidden="false" customHeight="false" outlineLevel="0" collapsed="false">
      <c r="A43" s="38" t="str">
        <f aca="false">'Cable Types'!A41</f>
        <v>EB-CU-70</v>
      </c>
      <c r="B43" s="38" t="str">
        <f aca="false">'Cable Types'!B41</f>
        <v>G/Y PVC Cu 70 mm2 bonding conductor</v>
      </c>
      <c r="C43" s="38" t="str">
        <f aca="false">'Cable Types'!C41</f>
        <v>Earthing</v>
      </c>
      <c r="D43" s="35" t="n">
        <f aca="false">COUNTIF('Cable Schedule'!$I$3:$I$186,A43)</f>
        <v>4</v>
      </c>
      <c r="E43" s="35" t="n">
        <f aca="false">SUMIFS('Cable Schedule'!$P$3:$P$186,'Cable Schedule'!$I$3:$I$186,A43)</f>
        <v>220</v>
      </c>
      <c r="F43" s="35" t="n">
        <f aca="false">ROUNDUP(E43*(1+'Design Basis'!$C$7),0)</f>
        <v>231</v>
      </c>
      <c r="G43" s="39" t="n">
        <f aca="false">IF('Cable Types'!I41="","",'Cable Types'!I41)</f>
        <v>500</v>
      </c>
      <c r="H43" s="35" t="n">
        <f aca="false">IF(OR(G43="",F43=0),"",ROUNDUP(F43/G43,0))</f>
        <v>1</v>
      </c>
      <c r="I43" s="40" t="n">
        <f aca="false">F43*'Cable Types'!H41/1000</f>
        <v>0.15708</v>
      </c>
    </row>
    <row r="44" customFormat="false" ht="15" hidden="false" customHeight="false" outlineLevel="0" collapsed="false">
      <c r="A44" s="3" t="s">
        <v>1067</v>
      </c>
      <c r="D44" s="41" t="n">
        <f aca="false">SUM(D4:D43)</f>
        <v>184</v>
      </c>
      <c r="I44" s="42" t="n">
        <f aca="false">SUM(I4:I43)</f>
        <v>158.051761</v>
      </c>
    </row>
    <row r="45" customFormat="false" ht="15" hidden="false" customHeight="false" outlineLevel="0" collapsed="false">
      <c r="A45" s="43" t="s">
        <v>1068</v>
      </c>
    </row>
    <row r="47" customFormat="false" ht="15" hidden="false" customHeight="false" outlineLevel="0" collapsed="false">
      <c r="A47" s="3" t="s">
        <v>1069</v>
      </c>
    </row>
    <row r="48" customFormat="false" ht="22.35" hidden="false" customHeight="false" outlineLevel="0" collapsed="false">
      <c r="A48" s="17" t="s">
        <v>56</v>
      </c>
      <c r="B48" s="17" t="s">
        <v>1061</v>
      </c>
      <c r="C48" s="17" t="s">
        <v>1070</v>
      </c>
      <c r="D48" s="17" t="s">
        <v>1071</v>
      </c>
      <c r="E48" s="17" t="s">
        <v>1072</v>
      </c>
      <c r="F48" s="17" t="s">
        <v>1073</v>
      </c>
      <c r="G48" s="17" t="s">
        <v>1074</v>
      </c>
    </row>
    <row r="49" customFormat="false" ht="15" hidden="false" customHeight="false" outlineLevel="0" collapsed="false">
      <c r="A49" s="38" t="str">
        <f aca="false">'Design Basis'!A13</f>
        <v>HV Overhead</v>
      </c>
      <c r="B49" s="20" t="n">
        <f aca="false">COUNTIF('Cable Schedule'!$C$3:$C$186,A49)</f>
        <v>11</v>
      </c>
      <c r="C49" s="35" t="n">
        <f aca="false">SUMIFS('Cable Schedule'!$P$3:$P$186,'Cable Schedule'!$C$3:$C$186,A49)</f>
        <v>2472</v>
      </c>
      <c r="D49" s="20" t="n">
        <f aca="false">COUNTIFS('Cable Schedule'!$C$3:$C$186,A49,'Cable Schedule'!$AA$3:$AA$186,"OK")</f>
        <v>9</v>
      </c>
      <c r="E49" s="20" t="n">
        <f aca="false">COUNTIFS('Cable Schedule'!$C$3:$C$186,A49,'Cable Schedule'!$AA$3:$AA$186,"CHECK")</f>
        <v>0</v>
      </c>
      <c r="F49" s="36" t="n">
        <f aca="false">IF(COUNTIFS('Cable Schedule'!$C$3:$C$186,A49,'Cable Schedule'!$X$3:$X$186,"&gt;=0")=0,"",_xlfn.MAXIFS('Cable Schedule'!$X$3:$X$186,'Cable Schedule'!$C$3:$C$186,A49))</f>
        <v>0.808848203212519</v>
      </c>
      <c r="G49" s="44" t="str">
        <f aca="false">IF(COUNTIFS('Cable Schedule'!$C$3:$C$186,A49,'Cable Schedule'!$Y$3:$Y$186,"&gt;=0")=0,"",_xlfn.MAXIFS('Cable Schedule'!$Y$3:$Y$186,'Cable Schedule'!$C$3:$C$186,A49))</f>
        <v/>
      </c>
    </row>
    <row r="50" customFormat="false" ht="15" hidden="false" customHeight="false" outlineLevel="0" collapsed="false">
      <c r="A50" s="38" t="str">
        <f aca="false">'Design Basis'!A14</f>
        <v>Busduct</v>
      </c>
      <c r="B50" s="20" t="n">
        <f aca="false">COUNTIF('Cable Schedule'!$C$3:$C$186,A50)</f>
        <v>9</v>
      </c>
      <c r="C50" s="35" t="n">
        <f aca="false">SUMIFS('Cable Schedule'!$P$3:$P$186,'Cable Schedule'!$C$3:$C$186,A50)</f>
        <v>805</v>
      </c>
      <c r="D50" s="20" t="n">
        <f aca="false">COUNTIFS('Cable Schedule'!$C$3:$C$186,A50,'Cable Schedule'!$AA$3:$AA$186,"OK")</f>
        <v>9</v>
      </c>
      <c r="E50" s="20" t="n">
        <f aca="false">COUNTIFS('Cable Schedule'!$C$3:$C$186,A50,'Cable Schedule'!$AA$3:$AA$186,"CHECK")</f>
        <v>0</v>
      </c>
      <c r="F50" s="36" t="n">
        <f aca="false">IF(COUNTIFS('Cable Schedule'!$C$3:$C$186,A50,'Cable Schedule'!$X$3:$X$186,"&gt;=0")=0,"",_xlfn.MAXIFS('Cable Schedule'!$X$3:$X$186,'Cable Schedule'!$C$3:$C$186,A50))</f>
        <v>0.881218831921008</v>
      </c>
      <c r="G50" s="44" t="str">
        <f aca="false">IF(COUNTIFS('Cable Schedule'!$C$3:$C$186,A50,'Cable Schedule'!$Y$3:$Y$186,"&gt;=0")=0,"",_xlfn.MAXIFS('Cable Schedule'!$Y$3:$Y$186,'Cable Schedule'!$C$3:$C$186,A50))</f>
        <v/>
      </c>
    </row>
    <row r="51" customFormat="false" ht="15" hidden="false" customHeight="false" outlineLevel="0" collapsed="false">
      <c r="A51" s="38" t="str">
        <f aca="false">'Design Basis'!A15</f>
        <v>MV Power</v>
      </c>
      <c r="B51" s="20" t="n">
        <f aca="false">COUNTIF('Cable Schedule'!$C$3:$C$186,A51)</f>
        <v>35</v>
      </c>
      <c r="C51" s="35" t="n">
        <f aca="false">SUMIFS('Cable Schedule'!$P$3:$P$186,'Cable Schedule'!$C$3:$C$186,A51)</f>
        <v>6203</v>
      </c>
      <c r="D51" s="20" t="n">
        <f aca="false">COUNTIFS('Cable Schedule'!$C$3:$C$186,A51,'Cable Schedule'!$AA$3:$AA$186,"OK")</f>
        <v>33</v>
      </c>
      <c r="E51" s="20" t="n">
        <f aca="false">COUNTIFS('Cable Schedule'!$C$3:$C$186,A51,'Cable Schedule'!$AA$3:$AA$186,"CHECK")</f>
        <v>0</v>
      </c>
      <c r="F51" s="36" t="n">
        <f aca="false">IF(COUNTIFS('Cable Schedule'!$C$3:$C$186,A51,'Cable Schedule'!$X$3:$X$186,"&gt;=0")=0,"",_xlfn.MAXIFS('Cable Schedule'!$X$3:$X$186,'Cable Schedule'!$C$3:$C$186,A51))</f>
        <v>0.878678372346224</v>
      </c>
      <c r="G51" s="44" t="n">
        <f aca="false">IF(COUNTIFS('Cable Schedule'!$C$3:$C$186,A51,'Cable Schedule'!$Y$3:$Y$186,"&gt;=0")=0,"",_xlfn.MAXIFS('Cable Schedule'!$Y$3:$Y$186,'Cable Schedule'!$C$3:$C$186,A51))</f>
        <v>0.00103751274820324</v>
      </c>
    </row>
    <row r="52" customFormat="false" ht="15" hidden="false" customHeight="false" outlineLevel="0" collapsed="false">
      <c r="A52" s="38" t="str">
        <f aca="false">'Design Basis'!A16</f>
        <v>LV Power</v>
      </c>
      <c r="B52" s="20" t="n">
        <f aca="false">COUNTIF('Cable Schedule'!$C$3:$C$186,A52)</f>
        <v>45</v>
      </c>
      <c r="C52" s="35" t="n">
        <f aca="false">SUMIFS('Cable Schedule'!$P$3:$P$186,'Cable Schedule'!$C$3:$C$186,A52)</f>
        <v>3261</v>
      </c>
      <c r="D52" s="20" t="n">
        <f aca="false">COUNTIFS('Cable Schedule'!$C$3:$C$186,A52,'Cable Schedule'!$AA$3:$AA$186,"OK")</f>
        <v>45</v>
      </c>
      <c r="E52" s="20" t="n">
        <f aca="false">COUNTIFS('Cable Schedule'!$C$3:$C$186,A52,'Cable Schedule'!$AA$3:$AA$186,"CHECK")</f>
        <v>0</v>
      </c>
      <c r="F52" s="36" t="n">
        <f aca="false">IF(COUNTIFS('Cable Schedule'!$C$3:$C$186,A52,'Cable Schedule'!$X$3:$X$186,"&gt;=0")=0,"",_xlfn.MAXIFS('Cable Schedule'!$X$3:$X$186,'Cable Schedule'!$C$3:$C$186,A52))</f>
        <v>0.85643335026151</v>
      </c>
      <c r="G52" s="44" t="n">
        <f aca="false">IF(COUNTIFS('Cable Schedule'!$C$3:$C$186,A52,'Cable Schedule'!$Y$3:$Y$186,"&gt;=0")=0,"",_xlfn.MAXIFS('Cable Schedule'!$Y$3:$Y$186,'Cable Schedule'!$C$3:$C$186,A52))</f>
        <v>0.0303108891324554</v>
      </c>
    </row>
    <row r="53" customFormat="false" ht="15" hidden="false" customHeight="false" outlineLevel="0" collapsed="false">
      <c r="A53" s="38" t="str">
        <f aca="false">'Design Basis'!A17</f>
        <v>DC Power</v>
      </c>
      <c r="B53" s="20" t="n">
        <f aca="false">COUNTIF('Cable Schedule'!$C$3:$C$186,A53)</f>
        <v>10</v>
      </c>
      <c r="C53" s="35" t="n">
        <f aca="false">SUMIFS('Cable Schedule'!$P$3:$P$186,'Cable Schedule'!$C$3:$C$186,A53)</f>
        <v>1017</v>
      </c>
      <c r="D53" s="20" t="n">
        <f aca="false">COUNTIFS('Cable Schedule'!$C$3:$C$186,A53,'Cable Schedule'!$AA$3:$AA$186,"OK")</f>
        <v>10</v>
      </c>
      <c r="E53" s="20" t="n">
        <f aca="false">COUNTIFS('Cable Schedule'!$C$3:$C$186,A53,'Cable Schedule'!$AA$3:$AA$186,"CHECK")</f>
        <v>0</v>
      </c>
      <c r="F53" s="36" t="n">
        <f aca="false">IF(COUNTIFS('Cable Schedule'!$C$3:$C$186,A53,'Cable Schedule'!$X$3:$X$186,"&gt;=0")=0,"",_xlfn.MAXIFS('Cable Schedule'!$X$3:$X$186,'Cable Schedule'!$C$3:$C$186,A53))</f>
        <v>0.639386189258312</v>
      </c>
      <c r="G53" s="44" t="n">
        <f aca="false">IF(COUNTIFS('Cable Schedule'!$C$3:$C$186,A53,'Cable Schedule'!$Y$3:$Y$186,"&gt;=0")=0,"",_xlfn.MAXIFS('Cable Schedule'!$Y$3:$Y$186,'Cable Schedule'!$C$3:$C$186,A53))</f>
        <v>0.0228096</v>
      </c>
    </row>
    <row r="54" customFormat="false" ht="15" hidden="false" customHeight="false" outlineLevel="0" collapsed="false">
      <c r="A54" s="38" t="str">
        <f aca="false">'Design Basis'!A18</f>
        <v>Control</v>
      </c>
      <c r="B54" s="20" t="n">
        <f aca="false">COUNTIF('Cable Schedule'!$C$3:$C$186,A54)</f>
        <v>30</v>
      </c>
      <c r="C54" s="35" t="n">
        <f aca="false">SUMIFS('Cable Schedule'!$P$3:$P$186,'Cable Schedule'!$C$3:$C$186,A54)</f>
        <v>2490</v>
      </c>
      <c r="D54" s="20" t="n">
        <f aca="false">COUNTIFS('Cable Schedule'!$C$3:$C$186,A54,'Cable Schedule'!$AA$3:$AA$186,"OK")</f>
        <v>0</v>
      </c>
      <c r="E54" s="20" t="n">
        <f aca="false">COUNTIFS('Cable Schedule'!$C$3:$C$186,A54,'Cable Schedule'!$AA$3:$AA$186,"CHECK")</f>
        <v>0</v>
      </c>
      <c r="F54" s="36" t="str">
        <f aca="false">IF(COUNTIFS('Cable Schedule'!$C$3:$C$186,A54,'Cable Schedule'!$X$3:$X$186,"&gt;=0")=0,"",_xlfn.MAXIFS('Cable Schedule'!$X$3:$X$186,'Cable Schedule'!$C$3:$C$186,A54))</f>
        <v/>
      </c>
      <c r="G54" s="44" t="str">
        <f aca="false">IF(COUNTIFS('Cable Schedule'!$C$3:$C$186,A54,'Cable Schedule'!$Y$3:$Y$186,"&gt;=0")=0,"",_xlfn.MAXIFS('Cable Schedule'!$Y$3:$Y$186,'Cable Schedule'!$C$3:$C$186,A54))</f>
        <v/>
      </c>
    </row>
    <row r="55" customFormat="false" ht="15" hidden="false" customHeight="false" outlineLevel="0" collapsed="false">
      <c r="A55" s="38" t="str">
        <f aca="false">'Design Basis'!A19</f>
        <v>Instrument</v>
      </c>
      <c r="B55" s="20" t="n">
        <f aca="false">COUNTIF('Cable Schedule'!$C$3:$C$186,A55)</f>
        <v>19</v>
      </c>
      <c r="C55" s="35" t="n">
        <f aca="false">SUMIFS('Cable Schedule'!$P$3:$P$186,'Cable Schedule'!$C$3:$C$186,A55)</f>
        <v>1705</v>
      </c>
      <c r="D55" s="20" t="n">
        <f aca="false">COUNTIFS('Cable Schedule'!$C$3:$C$186,A55,'Cable Schedule'!$AA$3:$AA$186,"OK")</f>
        <v>0</v>
      </c>
      <c r="E55" s="20" t="n">
        <f aca="false">COUNTIFS('Cable Schedule'!$C$3:$C$186,A55,'Cable Schedule'!$AA$3:$AA$186,"CHECK")</f>
        <v>0</v>
      </c>
      <c r="F55" s="36" t="str">
        <f aca="false">IF(COUNTIFS('Cable Schedule'!$C$3:$C$186,A55,'Cable Schedule'!$X$3:$X$186,"&gt;=0")=0,"",_xlfn.MAXIFS('Cable Schedule'!$X$3:$X$186,'Cable Schedule'!$C$3:$C$186,A55))</f>
        <v/>
      </c>
      <c r="G55" s="44" t="str">
        <f aca="false">IF(COUNTIFS('Cable Schedule'!$C$3:$C$186,A55,'Cable Schedule'!$Y$3:$Y$186,"&gt;=0")=0,"",_xlfn.MAXIFS('Cable Schedule'!$Y$3:$Y$186,'Cable Schedule'!$C$3:$C$186,A55))</f>
        <v/>
      </c>
    </row>
    <row r="56" customFormat="false" ht="15" hidden="false" customHeight="false" outlineLevel="0" collapsed="false">
      <c r="A56" s="38" t="str">
        <f aca="false">'Design Basis'!A20</f>
        <v>Fibre Optic</v>
      </c>
      <c r="B56" s="20" t="n">
        <f aca="false">COUNTIF('Cable Schedule'!$C$3:$C$186,A56)</f>
        <v>11</v>
      </c>
      <c r="C56" s="35" t="n">
        <f aca="false">SUMIFS('Cable Schedule'!$P$3:$P$186,'Cable Schedule'!$C$3:$C$186,A56)</f>
        <v>2278</v>
      </c>
      <c r="D56" s="20" t="n">
        <f aca="false">COUNTIFS('Cable Schedule'!$C$3:$C$186,A56,'Cable Schedule'!$AA$3:$AA$186,"OK")</f>
        <v>0</v>
      </c>
      <c r="E56" s="20" t="n">
        <f aca="false">COUNTIFS('Cable Schedule'!$C$3:$C$186,A56,'Cable Schedule'!$AA$3:$AA$186,"CHECK")</f>
        <v>0</v>
      </c>
      <c r="F56" s="36" t="str">
        <f aca="false">IF(COUNTIFS('Cable Schedule'!$C$3:$C$186,A56,'Cable Schedule'!$X$3:$X$186,"&gt;=0")=0,"",_xlfn.MAXIFS('Cable Schedule'!$X$3:$X$186,'Cable Schedule'!$C$3:$C$186,A56))</f>
        <v/>
      </c>
      <c r="G56" s="44" t="str">
        <f aca="false">IF(COUNTIFS('Cable Schedule'!$C$3:$C$186,A56,'Cable Schedule'!$Y$3:$Y$186,"&gt;=0")=0,"",_xlfn.MAXIFS('Cable Schedule'!$Y$3:$Y$186,'Cable Schedule'!$C$3:$C$186,A56))</f>
        <v/>
      </c>
    </row>
    <row r="57" customFormat="false" ht="15" hidden="false" customHeight="false" outlineLevel="0" collapsed="false">
      <c r="A57" s="38" t="str">
        <f aca="false">'Design Basis'!A21</f>
        <v>Earthing</v>
      </c>
      <c r="B57" s="20" t="n">
        <f aca="false">COUNTIF('Cable Schedule'!$C$3:$C$186,A57)</f>
        <v>14</v>
      </c>
      <c r="C57" s="35" t="n">
        <f aca="false">SUMIFS('Cable Schedule'!$P$3:$P$186,'Cable Schedule'!$C$3:$C$186,A57)</f>
        <v>8468</v>
      </c>
      <c r="D57" s="20" t="n">
        <f aca="false">COUNTIFS('Cable Schedule'!$C$3:$C$186,A57,'Cable Schedule'!$AA$3:$AA$186,"OK")</f>
        <v>0</v>
      </c>
      <c r="E57" s="20" t="n">
        <f aca="false">COUNTIFS('Cable Schedule'!$C$3:$C$186,A57,'Cable Schedule'!$AA$3:$AA$186,"CHECK")</f>
        <v>0</v>
      </c>
      <c r="F57" s="36" t="str">
        <f aca="false">IF(COUNTIFS('Cable Schedule'!$C$3:$C$186,A57,'Cable Schedule'!$X$3:$X$186,"&gt;=0")=0,"",_xlfn.MAXIFS('Cable Schedule'!$X$3:$X$186,'Cable Schedule'!$C$3:$C$186,A57))</f>
        <v/>
      </c>
      <c r="G57" s="44" t="str">
        <f aca="false">IF(COUNTIFS('Cable Schedule'!$C$3:$C$186,A57,'Cable Schedule'!$Y$3:$Y$186,"&gt;=0")=0,"",_xlfn.MAXIFS('Cable Schedule'!$Y$3:$Y$186,'Cable Schedule'!$C$3:$C$186,A57))</f>
        <v/>
      </c>
    </row>
    <row r="58" customFormat="false" ht="15" hidden="false" customHeight="false" outlineLevel="0" collapsed="false">
      <c r="A58" s="3" t="s">
        <v>1067</v>
      </c>
      <c r="B58" s="45" t="n">
        <f aca="false">SUM(B49:B57)</f>
        <v>184</v>
      </c>
      <c r="D58" s="45" t="n">
        <f aca="false">SUM(D49:D57)</f>
        <v>106</v>
      </c>
      <c r="E58" s="45" t="n">
        <f aca="false">SUM(E49:E57)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0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8" t="s">
        <v>1075</v>
      </c>
    </row>
    <row r="2" customFormat="false" ht="39.75" hidden="false" customHeight="true" outlineLevel="0" collapsed="false">
      <c r="A2" s="46" t="s">
        <v>1076</v>
      </c>
      <c r="B2" s="46"/>
      <c r="C2" s="46"/>
    </row>
    <row r="4" customFormat="false" ht="15" hidden="false" customHeight="false" outlineLevel="0" collapsed="false">
      <c r="A4" s="47" t="s">
        <v>1077</v>
      </c>
      <c r="B4" s="47" t="s">
        <v>1078</v>
      </c>
      <c r="C4" s="47" t="s">
        <v>1079</v>
      </c>
    </row>
    <row r="5" customFormat="false" ht="15" hidden="false" customHeight="false" outlineLevel="0" collapsed="false">
      <c r="A5" s="10" t="s">
        <v>1080</v>
      </c>
      <c r="B5" s="10" t="s">
        <v>1081</v>
      </c>
      <c r="C5" s="48" t="s">
        <v>1082</v>
      </c>
    </row>
    <row r="6" customFormat="false" ht="15" hidden="false" customHeight="false" outlineLevel="0" collapsed="false">
      <c r="A6" s="10" t="s">
        <v>1083</v>
      </c>
      <c r="B6" s="10" t="s">
        <v>1084</v>
      </c>
      <c r="C6" s="48" t="s">
        <v>1085</v>
      </c>
    </row>
    <row r="7" customFormat="false" ht="15" hidden="false" customHeight="false" outlineLevel="0" collapsed="false">
      <c r="A7" s="10" t="s">
        <v>1083</v>
      </c>
      <c r="B7" s="10" t="s">
        <v>1086</v>
      </c>
      <c r="C7" s="48" t="s">
        <v>1087</v>
      </c>
    </row>
    <row r="8" customFormat="false" ht="15" hidden="false" customHeight="false" outlineLevel="0" collapsed="false">
      <c r="A8" s="10" t="s">
        <v>1083</v>
      </c>
      <c r="B8" s="10" t="s">
        <v>1088</v>
      </c>
      <c r="C8" s="48" t="s">
        <v>1089</v>
      </c>
    </row>
    <row r="9" customFormat="false" ht="15" hidden="false" customHeight="false" outlineLevel="0" collapsed="false">
      <c r="A9" s="10" t="s">
        <v>336</v>
      </c>
      <c r="B9" s="10" t="s">
        <v>1090</v>
      </c>
      <c r="C9" s="48" t="s">
        <v>1091</v>
      </c>
    </row>
    <row r="10" customFormat="false" ht="15" hidden="false" customHeight="false" outlineLevel="0" collapsed="false">
      <c r="A10" s="10" t="s">
        <v>336</v>
      </c>
      <c r="B10" s="10" t="s">
        <v>1092</v>
      </c>
      <c r="C10" s="48" t="s">
        <v>1093</v>
      </c>
    </row>
    <row r="11" customFormat="false" ht="15" hidden="false" customHeight="false" outlineLevel="0" collapsed="false">
      <c r="A11" s="10" t="s">
        <v>336</v>
      </c>
      <c r="B11" s="10" t="s">
        <v>1094</v>
      </c>
      <c r="C11" s="48" t="s">
        <v>1095</v>
      </c>
    </row>
    <row r="12" customFormat="false" ht="15" hidden="false" customHeight="false" outlineLevel="0" collapsed="false">
      <c r="A12" s="10" t="s">
        <v>1096</v>
      </c>
      <c r="B12" s="10" t="s">
        <v>1097</v>
      </c>
      <c r="C12" s="48" t="s">
        <v>1098</v>
      </c>
    </row>
    <row r="13" customFormat="false" ht="15" hidden="false" customHeight="false" outlineLevel="0" collapsed="false">
      <c r="A13" s="10" t="s">
        <v>1099</v>
      </c>
      <c r="B13" s="10" t="s">
        <v>1100</v>
      </c>
      <c r="C13" s="48" t="s">
        <v>1101</v>
      </c>
    </row>
    <row r="14" customFormat="false" ht="15" hidden="false" customHeight="false" outlineLevel="0" collapsed="false">
      <c r="A14" s="10" t="s">
        <v>1099</v>
      </c>
      <c r="B14" s="10" t="s">
        <v>1102</v>
      </c>
      <c r="C14" s="48" t="s">
        <v>1103</v>
      </c>
    </row>
    <row r="15" customFormat="false" ht="15" hidden="false" customHeight="false" outlineLevel="0" collapsed="false">
      <c r="A15" s="10" t="s">
        <v>1104</v>
      </c>
      <c r="B15" s="10" t="s">
        <v>1105</v>
      </c>
      <c r="C15" s="48" t="s">
        <v>1106</v>
      </c>
    </row>
    <row r="16" customFormat="false" ht="15" hidden="false" customHeight="false" outlineLevel="0" collapsed="false">
      <c r="A16" s="10" t="s">
        <v>1104</v>
      </c>
      <c r="B16" s="10" t="s">
        <v>1107</v>
      </c>
      <c r="C16" s="48" t="s">
        <v>1108</v>
      </c>
    </row>
  </sheetData>
  <mergeCells count="1">
    <mergeCell ref="A2:C2"/>
  </mergeCells>
  <hyperlinks>
    <hyperlink ref="C5" r:id="rId1" display="https://www.pleanala.ie/publicaccess/EIAR-NIS/319566/Shannon%20Technology%20and%20Energy%20Park%20(STEP)%20Power%20Plant/02_Planning%20Drawings/SLNG_PP_List%20of%20Planning_Drawings.pdf"/>
    <hyperlink ref="C6" r:id="rId2" display="https://www.pleanala.ie/publicaccess/EIAR-NIS/311233/Drawings/Structures/198291-1GSU-G2001.pdf"/>
    <hyperlink ref="C7" r:id="rId3" display="https://infrastructure.planninginspectorate.gov.uk/wp-content/ipc/uploads/projects/EN010082/EN010082-000370-4.5%20-%20Tees%20CCPP%20-%20Indicative%20Generating%20Station%20Sheet%201%20-%20Rev%202.pdf"/>
    <hyperlink ref="C8" r:id="rId4" display="https://dep.wv.gov/daq/Documents/December%202016%20Applications/033-00264_APPL_R14-0036.pdf"/>
    <hyperlink ref="C9" r:id="rId5" display="https://www.osti.gov/servlets/purl/1836563"/>
    <hyperlink ref="C10" r:id="rId6" display="https://netl.doe.gov/sites/default/files/netl-file/21CMOG_CCUS_Bhown.pdf"/>
    <hyperlink ref="C11" r:id="rId7" display="https://netl.doe.gov/sites/default/files/netl-file/23CM_PSCC28_Herman.pdf"/>
    <hyperlink ref="C12" r:id="rId8" display="https://adcogov.org/sites/default/files/2024-05/RCU2024-00010-submittal1.pdf"/>
    <hyperlink ref="C13" r:id="rId9" display="https://psc.ky.gov/pscecf/2024-00290/tosterloh@sturgillturner.com/10042024124833/07_Attachment_E_-_Public_Meeting_Information.pdf"/>
    <hyperlink ref="C14" r:id="rId10" display="https://www.we-energies.com/company/paris-generation-project"/>
    <hyperlink ref="C15" r:id="rId11" display="https://www.pjm.com/pjmfiles/pub/planning/project-queues/facilities/b03_fac.pdf"/>
    <hyperlink ref="C16" r:id="rId12" display="https://opsportal.spp.org/documents/studies/files/2008_Generation_Studies/GEN-2008-006FS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2026-10-18T18:30:21Z</dcterms:created>
  <dc:creator>openpyxl</dc:creator>
  <dc:description/>
  <dc:language>en-US</dc:language>
  <cp:lastModifiedBy/>
  <dcterms:modified xsi:type="dcterms:W3CDTF">2026-10-18T18:30:22Z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