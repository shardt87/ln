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esign Basis" sheetId="2" state="visible" r:id="rId4"/>
    <sheet name="Equipment" sheetId="3" state="visible" r:id="rId5"/>
    <sheet name="Cable Types" sheetId="4" state="visible" r:id="rId6"/>
    <sheet name="Cable Schedule" sheetId="5" state="visible" r:id="rId7"/>
    <sheet name="Raceways" sheetId="6" state="visible" r:id="rId8"/>
    <sheet name="BOQ Summary" sheetId="7" state="visible" r:id="rId9"/>
    <sheet name="References" sheetId="8" state="visible" r:id="rId10"/>
  </sheets>
  <definedNames>
    <definedName function="false" hidden="true" localSheetId="4" name="_xlnm._FilterDatabase" vbProcedure="false">'Cable Schedule'!$A$2:$AG$202</definedName>
    <definedName function="false" hidden="true" localSheetId="2" name="_xlnm._FilterDatabase" vbProcedure="false">Equipment!$A$1:$G$153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2" authorId="0">
      <text>
        <r>
          <rPr>
            <sz val="10"/>
            <rFont val="Arial"/>
            <family val="2"/>
          </rPr>
          <t xml:space="preserve">M: (|dX|+|dY|+rises to raceway elevation) x (1+slack) + 2 x termination allowance.
D: 3D span x (1+sag).
Override (col N) wins if filled.</t>
        </r>
      </text>
    </comment>
    <comment ref="W2" authorId="0">
      <text>
        <r>
          <rPr>
            <sz val="10"/>
            <rFont val="Arial"/>
            <family val="2"/>
          </rPr>
          <t xml:space="preserve">3-ph: P/(sqrt3 x V x PFxEff). 1-ph / DC: P/(V x PFxEff). For kVA loads PF=1.</t>
        </r>
      </text>
    </comment>
    <comment ref="X2" authorId="0">
      <text>
        <r>
          <rPr>
            <sz val="10"/>
            <rFont val="Arial"/>
            <family val="2"/>
          </rPr>
          <t xml:space="preserve">1.25 motors (NEC 430.22) and continuous loads (NEC 210.19/215.2); 1.15 generators (NEC 445.13); 1.00 transformer secondaries / busway / OHL.</t>
        </r>
      </text>
    </comment>
    <comment ref="AC2" authorId="0">
      <text>
        <r>
          <rPr>
            <sz val="10"/>
            <rFont val="Arial"/>
            <family val="2"/>
          </rPr>
          <t xml:space="preserve">mV/A/m x (running I / runs) x L / 1000 / V. mV/A/m from NEC Ch.9 Table 9 (AC, 0.85 PF) or Table 8 (DC loop).</t>
        </r>
      </text>
    </comment>
  </commentList>
</comments>
</file>

<file path=xl/sharedStrings.xml><?xml version="1.0" encoding="utf-8"?>
<sst xmlns="http://schemas.openxmlformats.org/spreadsheetml/2006/main" count="3009" uniqueCount="1222">
  <si>
    <t xml:space="preserve">CABLE SCHEDULE</t>
  </si>
  <si>
    <t xml:space="preserve">Combined Cycle Power Plant with Post-Combustion CCS, Gas Metering / LNG and Modular RICE Plant</t>
  </si>
  <si>
    <t xml:space="preserve">Document No.</t>
  </si>
  <si>
    <t xml:space="preserve">CCPP-E-CS-0001</t>
  </si>
  <si>
    <t xml:space="preserve">Revision</t>
  </si>
  <si>
    <t xml:space="preserve">C (Preliminary - issued for review, NOT FOR CONSTRUCTION). Rev B: converted to US NEC practice - 13.8 kV / 480 V, AWG/kcmil, Type MC-HL armored cable. Rev C: CO2 compressor VFD line/output split; ACC fan local disconnects with flexible Machine Flex type VFD final drops.</t>
  </si>
  <si>
    <t xml:space="preserve">Date</t>
  </si>
  <si>
    <t xml:space="preserve">2026-10-18</t>
  </si>
  <si>
    <t xml:space="preserve">Basis of layout</t>
  </si>
  <si>
    <t xml:space="preserve">Equipment positions from the 3D line-art model examples/powerplant.go (repo shardt87/ln, branch claude/powerplant-example). Coordinates in metres, site grid: X east, Y north, Z up. Lengths reported in metres and feet.</t>
  </si>
  <si>
    <t xml:space="preserve">Basis of ratings</t>
  </si>
  <si>
    <t xml:space="preserve">Representative ratings for a ~1x1 F-class CCGT (GT ~290 MVA, ST ~175 MVA), amine CCS train, 8 x 2.5 MVA containerised gas engines, 230 kV switchyard. Ratings are typical values, NOT taken from a specific project. See 'Design Basis'.</t>
  </si>
  <si>
    <t xml:space="preserve">Cable construction</t>
  </si>
  <si>
    <t xml:space="preserve">Power, VFD and control: 600 V and 15 kV Type MC-HL, Cu, XHHW-2 / EPR (MV-105) insulation, continuous corrugated welded aluminum armor (CCW) with PVC jacket - e.g. Southwire Armor-X (product named as an example of the construction only). Final drops to vibrating VFD-driven motors (ACC fans): flexible shielded VFD cable Type TC-ER with 3 symmetrical grounds - e.g. Southwire Machine Flex. Instrument: armored PLTC / ITC-HL. All tray-rated (-TC/-ER), sunlight resistant, UL 1685 / IEEE 1202 FT4. MC-HL with listed fittings is suitable for Class I Div 1 &amp; 2 areas (gas metering, LNG, BOG) per NEC 501.10.</t>
  </si>
  <si>
    <t xml:space="preserve">Sheets</t>
  </si>
  <si>
    <t xml:space="preserve">Design Basis</t>
  </si>
  <si>
    <t xml:space="preserve">Global inputs: route slack, termination allowance, sag allowance, wastage, voltage drop limits, standards.</t>
  </si>
  <si>
    <t xml:space="preserve">Equipment</t>
  </si>
  <si>
    <t xml:space="preserve">Equipment / termination point list with site coordinates (from the 3D model).</t>
  </si>
  <si>
    <t xml:space="preserve">Cable Types</t>
  </si>
  <si>
    <t xml:space="preserve">Cable / conductor / busduct library: OD, ampacity, mV/A/m, mass, reel length.</t>
  </si>
  <si>
    <t xml:space="preserve">Raceways</t>
  </si>
  <si>
    <t xml:space="preserve">Trays, trenches, duct banks, busducts, OHL - elevation, correction factor and fill check.</t>
  </si>
  <si>
    <t xml:space="preserve">Cable Schedule</t>
  </si>
  <si>
    <t xml:space="preserve">One row per circuit. Route length, total length, running and design current, loading, voltage drop and check are all formulas.</t>
  </si>
  <si>
    <t xml:space="preserve">BOQ Summary</t>
  </si>
  <si>
    <t xml:space="preserve">Quantities by cable type (with wastage, reels, mass) and by system.</t>
  </si>
  <si>
    <t xml:space="preserve">References</t>
  </si>
  <si>
    <t xml:space="preserve">Public documents identified as references for typical arrangements, and cable product data.</t>
  </si>
  <si>
    <t xml:space="preserve">Legend</t>
  </si>
  <si>
    <t xml:space="preserve">Blue text</t>
  </si>
  <si>
    <t xml:space="preserve">Hard-coded input - edit these</t>
  </si>
  <si>
    <t xml:space="preserve">Black text</t>
  </si>
  <si>
    <t xml:space="preserve">Formula - do not overwrite</t>
  </si>
  <si>
    <t xml:space="preserve">Green text</t>
  </si>
  <si>
    <t xml:space="preserve">Lookup from another sheet</t>
  </si>
  <si>
    <t xml:space="preserve">Yellow fill</t>
  </si>
  <si>
    <t xml:space="preserve">Key assumption to be verified against vendor / project data</t>
  </si>
  <si>
    <t xml:space="preserve">Route length method</t>
  </si>
  <si>
    <t xml:space="preserve">M = Manhattan route along raceway: (|dX|+|dY| + rise from each end to raceway elevation) x (1+slack) + 2 x termination allowance.  D = direct span (overhead conductors): 3D distance x (1+sag allowance).  A value in 'Length Override' replaces the calculation (used for earth grids / bonds).</t>
  </si>
  <si>
    <t xml:space="preserve">Sizing</t>
  </si>
  <si>
    <t xml:space="preserve">Design current = running current x sizing factor: 1.25 for motors (NEC 430.22) and continuous loads (NEC 210.19 / 215.2), 1.15 for generator conductors (NEC 445.13), 1.00 for transformer secondaries / busduct. Allowable ampacity = base ampacity (NEC 310.16 75 C column for 600 V; NEC 311.60 for 15 kV) x raceway correction factor. Voltage drop uses NEC Ch. 9 Table 9 effective Z at 0.85 PF (AC) or Table 8 DC resistance.</t>
  </si>
  <si>
    <t xml:space="preserve">Limitations</t>
  </si>
  <si>
    <t xml:space="preserve">Preliminary sizing only. Short-circuit withstand (ICEA P-32-382), motor starting voltage dip, ground fault return path, detailed tray fill per NEC 392.22 and ampacity per NEC 392.80 / IEEE 835 (Neher-McGrath for duct banks) must be verified at detailed design. Raceway fill counts each cable on its primary raceway only.</t>
  </si>
  <si>
    <t xml:space="preserve">DESIGN BASIS - GLOBAL INPUTS</t>
  </si>
  <si>
    <t xml:space="preserve">Parameter</t>
  </si>
  <si>
    <t xml:space="preserve">Value</t>
  </si>
  <si>
    <t xml:space="preserve">Note</t>
  </si>
  <si>
    <t xml:space="preserve">Route slack / snaking allowance</t>
  </si>
  <si>
    <t xml:space="preserve">Typical 5-15% on tray routes for bends, drops and snaking.</t>
  </si>
  <si>
    <t xml:space="preserve">Termination allowance per end (m)</t>
  </si>
  <si>
    <t xml:space="preserve">Gland / connector, tail and dressing inside panel / terminal box.</t>
  </si>
  <si>
    <t xml:space="preserve">Overhead conductor sag allowance</t>
  </si>
  <si>
    <t xml:space="preserve">Conductor length over chord for strung bus and line spans.</t>
  </si>
  <si>
    <t xml:space="preserve">Procurement wastage allowance</t>
  </si>
  <si>
    <t xml:space="preserve">Applied in BOQ only.</t>
  </si>
  <si>
    <t xml:space="preserve">Ambient air design temperature (deg C)</t>
  </si>
  <si>
    <t xml:space="preserve">Information - included in raceway correction factors (NEC 310.15(B) 0.88 for 75 C at 40 C).</t>
  </si>
  <si>
    <t xml:space="preserve">Earth thermal resistivity (RHO)</t>
  </si>
  <si>
    <t xml:space="preserve">Information - included in duct bank factors (IEEE 835 / NEC 311.60, RHO 90).</t>
  </si>
  <si>
    <t xml:space="preserve">Feet per metre</t>
  </si>
  <si>
    <t xml:space="preserve">Unit conversion.</t>
  </si>
  <si>
    <t xml:space="preserve">System</t>
  </si>
  <si>
    <t xml:space="preserve">Nominal voltage</t>
  </si>
  <si>
    <t xml:space="preserve">Max steady-state voltage drop</t>
  </si>
  <si>
    <t xml:space="preserve">HV Overhead</t>
  </si>
  <si>
    <t xml:space="preserve">230 kV</t>
  </si>
  <si>
    <t xml:space="preserve">Strung bus / OHL - checked for ampacity only.</t>
  </si>
  <si>
    <t xml:space="preserve">Busduct</t>
  </si>
  <si>
    <t xml:space="preserve">18 / 19 kV IPB, 480 V LV busway</t>
  </si>
  <si>
    <t xml:space="preserve">Checked for ampacity only.</t>
  </si>
  <si>
    <t xml:space="preserve">MV Power</t>
  </si>
  <si>
    <t xml:space="preserve">13.8 kV</t>
  </si>
  <si>
    <t xml:space="preserve">Feeder volt drop, full load running.</t>
  </si>
  <si>
    <t xml:space="preserve">LV Power</t>
  </si>
  <si>
    <t xml:space="preserve">480 V, 3-ph 3-wire + ground</t>
  </si>
  <si>
    <t xml:space="preserve">NEC 215.2 / 210.19 informational notes: 3% feeder or branch, 5% total.</t>
  </si>
  <si>
    <t xml:space="preserve">DC Power</t>
  </si>
  <si>
    <t xml:space="preserve">125 V DC / 120-208 V UPS</t>
  </si>
  <si>
    <t xml:space="preserve">Battery / UPS to load.</t>
  </si>
  <si>
    <t xml:space="preserve">Control</t>
  </si>
  <si>
    <t xml:space="preserve">120 V AC / 125 V DC</t>
  </si>
  <si>
    <t xml:space="preserve">Size by CT burden / voltage at coil - not checked here.</t>
  </si>
  <si>
    <t xml:space="preserve">Instrument</t>
  </si>
  <si>
    <t xml:space="preserve">24 V DC / 4-20 mA / TC</t>
  </si>
  <si>
    <t xml:space="preserve">Not checked here.</t>
  </si>
  <si>
    <t xml:space="preserve">Fibre Optic</t>
  </si>
  <si>
    <t xml:space="preserve">-</t>
  </si>
  <si>
    <t xml:space="preserve">Earthing</t>
  </si>
  <si>
    <t xml:space="preserve">Size per IEEE 80 fault study.</t>
  </si>
  <si>
    <t xml:space="preserve">Design standards (reference)</t>
  </si>
  <si>
    <t xml:space="preserve">NFPA 70 (NEC) 2023: 310.16 / 311.60 ampacity, 330 Type MC, 392 cable tray, 430.22 motors, 445.13 generators, 501.10 Class I wiring, 725 PLTC, 727 ITC</t>
  </si>
  <si>
    <t xml:space="preserve">NEC Chapter 9 Tables 8 and 9: conductor DC resistance and AC effective impedance (voltage drop)</t>
  </si>
  <si>
    <t xml:space="preserve">UL 1569 Metal-Clad Cables; UL 2225 cables and fittings for hazardous locations (MC-HL)</t>
  </si>
  <si>
    <t xml:space="preserve">ICEA S-95-658 (NEMA WC70) 600 V cables; ICEA S-93-639 (NEMA WC74) 5-46 kV shielded power cables; ICEA S-73-532 control &amp; instrument</t>
  </si>
  <si>
    <t xml:space="preserve">IEEE 835: Power cable ampacity tables; IEEE 525: Cable design and installation in substations</t>
  </si>
  <si>
    <t xml:space="preserve">IEEE 1202 / UL 1685: Vertical tray flame test (FT4)</t>
  </si>
  <si>
    <t xml:space="preserve">IEEE 738: Bare overhead conductor ampacity; IEEE C37.23: Metal-enclosed (isolated phase) bus</t>
  </si>
  <si>
    <t xml:space="preserve">IEEE 80: AC substation grounding</t>
  </si>
  <si>
    <t xml:space="preserve">Tag</t>
  </si>
  <si>
    <t xml:space="preserve">Description</t>
  </si>
  <si>
    <t xml:space="preserve">Area</t>
  </si>
  <si>
    <t xml:space="preserve">X (m)</t>
  </si>
  <si>
    <t xml:space="preserve">Y (m)</t>
  </si>
  <si>
    <t xml:space="preserve">Z term. (m)</t>
  </si>
  <si>
    <t xml:space="preserve">Location in 3D model / basis</t>
  </si>
  <si>
    <t xml:space="preserve">SWY-B1</t>
  </si>
  <si>
    <t xml:space="preserve">230 kV bay 1 - RICE transformer bay (gantry dead-end)</t>
  </si>
  <si>
    <t xml:space="preserve">10</t>
  </si>
  <si>
    <t xml:space="preserve">Gantry x=20</t>
  </si>
  <si>
    <t xml:space="preserve">SWY-B2</t>
  </si>
  <si>
    <t xml:space="preserve">230 kV bay 2 - bus coupler (gantry dead-end)</t>
  </si>
  <si>
    <t xml:space="preserve">Gantry x=40</t>
  </si>
  <si>
    <t xml:space="preserve">SWY-B3</t>
  </si>
  <si>
    <t xml:space="preserve">230 kV bay 3 - GT generator bay (gantry dead-end)</t>
  </si>
  <si>
    <t xml:space="preserve">Gantry x=60</t>
  </si>
  <si>
    <t xml:space="preserve">SWY-B4</t>
  </si>
  <si>
    <t xml:space="preserve">230 kV bay 4 - ST generator bay / line exit (gantry dead-end)</t>
  </si>
  <si>
    <t xml:space="preserve">Gantry x=80</t>
  </si>
  <si>
    <t xml:space="preserve">TWR-01</t>
  </si>
  <si>
    <t xml:space="preserve">230 kV transmission tower 1 (terminal)</t>
  </si>
  <si>
    <t xml:space="preserve">Tower x=130</t>
  </si>
  <si>
    <t xml:space="preserve">TWR-02</t>
  </si>
  <si>
    <t xml:space="preserve">230 kV transmission tower 2 (suspension)</t>
  </si>
  <si>
    <t xml:space="preserve">Tower x=200</t>
  </si>
  <si>
    <t xml:space="preserve">TWR-03</t>
  </si>
  <si>
    <t xml:space="preserve">230 kV transmission tower 3 (suspension)</t>
  </si>
  <si>
    <t xml:space="preserve">Tower x=270</t>
  </si>
  <si>
    <t xml:space="preserve">SWY-RB</t>
  </si>
  <si>
    <t xml:space="preserve">Switchyard relay &amp; control building</t>
  </si>
  <si>
    <t xml:space="preserve">Not drawn - assumed</t>
  </si>
  <si>
    <t xml:space="preserve">RICE-TX-HV</t>
  </si>
  <si>
    <t xml:space="preserve">RICE step-up transformer 13.8/230 kV 22 MVA - HV bushings</t>
  </si>
  <si>
    <t xml:space="preserve">50</t>
  </si>
  <si>
    <t xml:space="preserve">Transformer at (14-20,105-110)</t>
  </si>
  <si>
    <t xml:space="preserve">RICE-TX-LV</t>
  </si>
  <si>
    <t xml:space="preserve">RICE step-up transformer 13.8/230 kV 22 MVA - LV cable box</t>
  </si>
  <si>
    <t xml:space="preserve">GEN-GT</t>
  </si>
  <si>
    <t xml:space="preserve">Gas turbine generator ~290 MVA, 19 kV - line terminals</t>
  </si>
  <si>
    <t xml:space="preserve">20</t>
  </si>
  <si>
    <t xml:space="preserve">GT generator box (52-64,10-18)</t>
  </si>
  <si>
    <t xml:space="preserve">GEN-ST</t>
  </si>
  <si>
    <t xml:space="preserve">Steam turbine generator ~175 MVA, 18 kV - line terminals</t>
  </si>
  <si>
    <t xml:space="preserve">ST hall north wall</t>
  </si>
  <si>
    <t xml:space="preserve">GSU-GT-HV</t>
  </si>
  <si>
    <t xml:space="preserve">GT step-up transformer 19/230 kV 290 MVA - HV bushings</t>
  </si>
  <si>
    <t xml:space="preserve">Transformer(50,60)</t>
  </si>
  <si>
    <t xml:space="preserve">GSU-GT-LV</t>
  </si>
  <si>
    <t xml:space="preserve">GT step-up transformer - LV bushings / marshalling box</t>
  </si>
  <si>
    <t xml:space="preserve">GSU-ST-HV</t>
  </si>
  <si>
    <t xml:space="preserve">ST step-up transformer 18/230 kV 175 MVA - HV bushings</t>
  </si>
  <si>
    <t xml:space="preserve">Transformer(70,60)</t>
  </si>
  <si>
    <t xml:space="preserve">GSU-ST-LV</t>
  </si>
  <si>
    <t xml:space="preserve">ST step-up transformer - LV bushings / marshalling box</t>
  </si>
  <si>
    <t xml:space="preserve">UAT-1</t>
  </si>
  <si>
    <t xml:space="preserve">Unit auxiliary transformer 1, 19/13.8 kV 45 MVA</t>
  </si>
  <si>
    <t xml:space="preserve">Not drawn - west of GSU-GT</t>
  </si>
  <si>
    <t xml:space="preserve">UAT-2</t>
  </si>
  <si>
    <t xml:space="preserve">Unit auxiliary transformer 2, 18/13.8 kV 30 MVA (feeds CCS)</t>
  </si>
  <si>
    <t xml:space="preserve">Not drawn - east of GSU-ST</t>
  </si>
  <si>
    <t xml:space="preserve">NGR-GT</t>
  </si>
  <si>
    <t xml:space="preserve">GT generator neutral grounding transformer cubicle</t>
  </si>
  <si>
    <t xml:space="preserve">Assumed</t>
  </si>
  <si>
    <t xml:space="preserve">NGR-ST</t>
  </si>
  <si>
    <t xml:space="preserve">ST generator neutral grounding transformer cubicle</t>
  </si>
  <si>
    <t xml:space="preserve">LCI-TX</t>
  </si>
  <si>
    <t xml:space="preserve">GT static starter (LCI) isolation transformer 8 MVA</t>
  </si>
  <si>
    <t xml:space="preserve">GT PEECC - assumed</t>
  </si>
  <si>
    <t xml:space="preserve">LCI-GT</t>
  </si>
  <si>
    <t xml:space="preserve">GT static starter (LCI) cubicle</t>
  </si>
  <si>
    <t xml:space="preserve">GTCP</t>
  </si>
  <si>
    <t xml:space="preserve">GT control panel (in PEECC)</t>
  </si>
  <si>
    <t xml:space="preserve">MCC-GT</t>
  </si>
  <si>
    <t xml:space="preserve">GT auxiliary MCC 480 V (in PEECC)</t>
  </si>
  <si>
    <t xml:space="preserve">M-GT-LOP</t>
  </si>
  <si>
    <t xml:space="preserve">GT AC lube oil pump motor 75 kW</t>
  </si>
  <si>
    <t xml:space="preserve">GT enclosure (42-70,-3..7)</t>
  </si>
  <si>
    <t xml:space="preserve">M-GT-ELOP</t>
  </si>
  <si>
    <t xml:space="preserve">GT DC emergency lube oil pump motor 15 kW</t>
  </si>
  <si>
    <t xml:space="preserve">GT enclosure</t>
  </si>
  <si>
    <t xml:space="preserve">M-GT-VNT-A</t>
  </si>
  <si>
    <t xml:space="preserve">GT enclosure ventilation fan A 45 kW</t>
  </si>
  <si>
    <t xml:space="preserve">Roof vent package (46-66,-2.5..6.5)</t>
  </si>
  <si>
    <t xml:space="preserve">M-GT-VNT-B</t>
  </si>
  <si>
    <t xml:space="preserve">GT enclosure ventilation fan B 45 kW</t>
  </si>
  <si>
    <t xml:space="preserve">Roof vent package</t>
  </si>
  <si>
    <t xml:space="preserve">JB-GT-TC</t>
  </si>
  <si>
    <t xml:space="preserve">GT exhaust thermocouple junction box</t>
  </si>
  <si>
    <t xml:space="preserve">Exhaust diffuser (70-76)</t>
  </si>
  <si>
    <t xml:space="preserve">JB-FG-GT</t>
  </si>
  <si>
    <t xml:space="preserve">F&amp;G junction box - GT enclosure</t>
  </si>
  <si>
    <t xml:space="preserve">MCC-HRSG</t>
  </si>
  <si>
    <t xml:space="preserve">HRSG auxiliary MCC 480 V</t>
  </si>
  <si>
    <t xml:space="preserve">Assumed south of HRSG</t>
  </si>
  <si>
    <t xml:space="preserve">M-BFP-A</t>
  </si>
  <si>
    <t xml:space="preserve">HP/IP boiler feed pump A motor 3.2 MW, 13.8 kV</t>
  </si>
  <si>
    <t xml:space="preserve">South of HRSG</t>
  </si>
  <si>
    <t xml:space="preserve">M-BFP-B</t>
  </si>
  <si>
    <t xml:space="preserve">HP/IP boiler feed pump B motor 3.2 MW, 13.8 kV</t>
  </si>
  <si>
    <t xml:space="preserve">M-HRSG-RCP</t>
  </si>
  <si>
    <t xml:space="preserve">HRSG preheater recirculation pump motor 55 kW</t>
  </si>
  <si>
    <t xml:space="preserve">JB-HRSG-01</t>
  </si>
  <si>
    <t xml:space="preserve">HRSG drum platform instrument junction box</t>
  </si>
  <si>
    <t xml:space="preserve">HP drum z=30</t>
  </si>
  <si>
    <t xml:space="preserve">STK</t>
  </si>
  <si>
    <t xml:space="preserve">HRSG stack (lightning down conductor)</t>
  </si>
  <si>
    <t xml:space="preserve">Stack r=3.5, h=55</t>
  </si>
  <si>
    <t xml:space="preserve">AE-STK</t>
  </si>
  <si>
    <t xml:space="preserve">CEMS probe at stack sample port</t>
  </si>
  <si>
    <t xml:space="preserve">Stack</t>
  </si>
  <si>
    <t xml:space="preserve">CEMS-SH</t>
  </si>
  <si>
    <t xml:space="preserve">CEMS analyser shelter</t>
  </si>
  <si>
    <t xml:space="preserve">TCP-ST</t>
  </si>
  <si>
    <t xml:space="preserve">ST control panel</t>
  </si>
  <si>
    <t xml:space="preserve">ST hall (52-92,28-46)</t>
  </si>
  <si>
    <t xml:space="preserve">MCC-ST</t>
  </si>
  <si>
    <t xml:space="preserve">ST auxiliary MCC 480 V</t>
  </si>
  <si>
    <t xml:space="preserve">ST hall</t>
  </si>
  <si>
    <t xml:space="preserve">M-ST-TG</t>
  </si>
  <si>
    <t xml:space="preserve">ST turning gear motor 37 kW</t>
  </si>
  <si>
    <t xml:space="preserve">ST at (60-72,32-40)</t>
  </si>
  <si>
    <t xml:space="preserve">M-ST-LOP</t>
  </si>
  <si>
    <t xml:space="preserve">ST AC lube oil pump motor 55 kW</t>
  </si>
  <si>
    <t xml:space="preserve">M-ST-ELOP</t>
  </si>
  <si>
    <t xml:space="preserve">ST DC emergency lube oil pump motor 22 kW</t>
  </si>
  <si>
    <t xml:space="preserve">M-CEP-A</t>
  </si>
  <si>
    <t xml:space="preserve">Condensate extraction pump A motor 500 kW, 13.8 kV</t>
  </si>
  <si>
    <t xml:space="preserve">M-CEP-B</t>
  </si>
  <si>
    <t xml:space="preserve">Condensate extraction pump B motor 500 kW, 13.8 kV</t>
  </si>
  <si>
    <t xml:space="preserve">RIO-PB</t>
  </si>
  <si>
    <t xml:space="preserve">DCS remote I/O cabinet - power block</t>
  </si>
  <si>
    <t xml:space="preserve">EG-PB</t>
  </si>
  <si>
    <t xml:space="preserve">Power block main earth grid (nearest riser)</t>
  </si>
  <si>
    <t xml:space="preserve">Buried</t>
  </si>
  <si>
    <t xml:space="preserve">LVT-ACC</t>
  </si>
  <si>
    <t xml:space="preserve">ACC fan transformer 13.8/0.48 kV 3 MVA</t>
  </si>
  <si>
    <t xml:space="preserve">30</t>
  </si>
  <si>
    <t xml:space="preserve">East of ACC (98-142,26-60)</t>
  </si>
  <si>
    <t xml:space="preserve">MCC-ACC</t>
  </si>
  <si>
    <t xml:space="preserve">ACC fan VFD switchroom 480 V</t>
  </si>
  <si>
    <t xml:space="preserve">East of ACC</t>
  </si>
  <si>
    <t xml:space="preserve">JB-ACC</t>
  </si>
  <si>
    <t xml:space="preserve">ACC instrument junction box</t>
  </si>
  <si>
    <t xml:space="preserve">ACC</t>
  </si>
  <si>
    <t xml:space="preserve">M-ACC-01</t>
  </si>
  <si>
    <t xml:space="preserve">ACC fan motor 01, 150 kW 480 V (VFD)</t>
  </si>
  <si>
    <t xml:space="preserve">Fan ring (104,32) on deck z=20</t>
  </si>
  <si>
    <t xml:space="preserve">DS-ACC-01</t>
  </si>
  <si>
    <t xml:space="preserve">ACC fan 01 local disconnect switch (in sight of motor, NEC 430.102)</t>
  </si>
  <si>
    <t xml:space="preserve">Fan bridge beside ring (104,32)</t>
  </si>
  <si>
    <t xml:space="preserve">M-ACC-02</t>
  </si>
  <si>
    <t xml:space="preserve">ACC fan motor 02, 150 kW 480 V (VFD)</t>
  </si>
  <si>
    <t xml:space="preserve">Fan ring (104,43) on deck z=20</t>
  </si>
  <si>
    <t xml:space="preserve">DS-ACC-02</t>
  </si>
  <si>
    <t xml:space="preserve">ACC fan 02 local disconnect switch (in sight of motor, NEC 430.102)</t>
  </si>
  <si>
    <t xml:space="preserve">Fan bridge beside ring (104,43)</t>
  </si>
  <si>
    <t xml:space="preserve">M-ACC-03</t>
  </si>
  <si>
    <t xml:space="preserve">ACC fan motor 03, 150 kW 480 V (VFD)</t>
  </si>
  <si>
    <t xml:space="preserve">Fan ring (104,54) on deck z=20</t>
  </si>
  <si>
    <t xml:space="preserve">DS-ACC-03</t>
  </si>
  <si>
    <t xml:space="preserve">ACC fan 03 local disconnect switch (in sight of motor, NEC 430.102)</t>
  </si>
  <si>
    <t xml:space="preserve">Fan bridge beside ring (104,54)</t>
  </si>
  <si>
    <t xml:space="preserve">M-ACC-04</t>
  </si>
  <si>
    <t xml:space="preserve">ACC fan motor 04, 150 kW 480 V (VFD)</t>
  </si>
  <si>
    <t xml:space="preserve">Fan ring (112,32) on deck z=20</t>
  </si>
  <si>
    <t xml:space="preserve">DS-ACC-04</t>
  </si>
  <si>
    <t xml:space="preserve">ACC fan 04 local disconnect switch (in sight of motor, NEC 430.102)</t>
  </si>
  <si>
    <t xml:space="preserve">Fan bridge beside ring (112,32)</t>
  </si>
  <si>
    <t xml:space="preserve">M-ACC-05</t>
  </si>
  <si>
    <t xml:space="preserve">ACC fan motor 05, 150 kW 480 V (VFD)</t>
  </si>
  <si>
    <t xml:space="preserve">Fan ring (112,43) on deck z=20</t>
  </si>
  <si>
    <t xml:space="preserve">DS-ACC-05</t>
  </si>
  <si>
    <t xml:space="preserve">ACC fan 05 local disconnect switch (in sight of motor, NEC 430.102)</t>
  </si>
  <si>
    <t xml:space="preserve">Fan bridge beside ring (112,43)</t>
  </si>
  <si>
    <t xml:space="preserve">M-ACC-06</t>
  </si>
  <si>
    <t xml:space="preserve">ACC fan motor 06, 150 kW 480 V (VFD)</t>
  </si>
  <si>
    <t xml:space="preserve">Fan ring (112,54) on deck z=20</t>
  </si>
  <si>
    <t xml:space="preserve">DS-ACC-06</t>
  </si>
  <si>
    <t xml:space="preserve">ACC fan 06 local disconnect switch (in sight of motor, NEC 430.102)</t>
  </si>
  <si>
    <t xml:space="preserve">Fan bridge beside ring (112,54)</t>
  </si>
  <si>
    <t xml:space="preserve">M-ACC-07</t>
  </si>
  <si>
    <t xml:space="preserve">ACC fan motor 07, 150 kW 480 V (VFD)</t>
  </si>
  <si>
    <t xml:space="preserve">Fan ring (120,32) on deck z=20</t>
  </si>
  <si>
    <t xml:space="preserve">DS-ACC-07</t>
  </si>
  <si>
    <t xml:space="preserve">ACC fan 07 local disconnect switch (in sight of motor, NEC 430.102)</t>
  </si>
  <si>
    <t xml:space="preserve">Fan bridge beside ring (120,32)</t>
  </si>
  <si>
    <t xml:space="preserve">M-ACC-08</t>
  </si>
  <si>
    <t xml:space="preserve">ACC fan motor 08, 150 kW 480 V (VFD)</t>
  </si>
  <si>
    <t xml:space="preserve">Fan ring (120,43) on deck z=20</t>
  </si>
  <si>
    <t xml:space="preserve">DS-ACC-08</t>
  </si>
  <si>
    <t xml:space="preserve">ACC fan 08 local disconnect switch (in sight of motor, NEC 430.102)</t>
  </si>
  <si>
    <t xml:space="preserve">Fan bridge beside ring (120,43)</t>
  </si>
  <si>
    <t xml:space="preserve">M-ACC-09</t>
  </si>
  <si>
    <t xml:space="preserve">ACC fan motor 09, 150 kW 480 V (VFD)</t>
  </si>
  <si>
    <t xml:space="preserve">Fan ring (120,54) on deck z=20</t>
  </si>
  <si>
    <t xml:space="preserve">DS-ACC-09</t>
  </si>
  <si>
    <t xml:space="preserve">ACC fan 09 local disconnect switch (in sight of motor, NEC 430.102)</t>
  </si>
  <si>
    <t xml:space="preserve">Fan bridge beside ring (120,54)</t>
  </si>
  <si>
    <t xml:space="preserve">M-ACC-10</t>
  </si>
  <si>
    <t xml:space="preserve">ACC fan motor 10, 150 kW 480 V (VFD)</t>
  </si>
  <si>
    <t xml:space="preserve">Fan ring (128,32) on deck z=20</t>
  </si>
  <si>
    <t xml:space="preserve">DS-ACC-10</t>
  </si>
  <si>
    <t xml:space="preserve">ACC fan 10 local disconnect switch (in sight of motor, NEC 430.102)</t>
  </si>
  <si>
    <t xml:space="preserve">Fan bridge beside ring (128,32)</t>
  </si>
  <si>
    <t xml:space="preserve">M-ACC-11</t>
  </si>
  <si>
    <t xml:space="preserve">ACC fan motor 11, 150 kW 480 V (VFD)</t>
  </si>
  <si>
    <t xml:space="preserve">Fan ring (128,43) on deck z=20</t>
  </si>
  <si>
    <t xml:space="preserve">DS-ACC-11</t>
  </si>
  <si>
    <t xml:space="preserve">ACC fan 11 local disconnect switch (in sight of motor, NEC 430.102)</t>
  </si>
  <si>
    <t xml:space="preserve">Fan bridge beside ring (128,43)</t>
  </si>
  <si>
    <t xml:space="preserve">M-ACC-12</t>
  </si>
  <si>
    <t xml:space="preserve">ACC fan motor 12, 150 kW 480 V (VFD)</t>
  </si>
  <si>
    <t xml:space="preserve">Fan ring (128,54) on deck z=20</t>
  </si>
  <si>
    <t xml:space="preserve">DS-ACC-12</t>
  </si>
  <si>
    <t xml:space="preserve">ACC fan 12 local disconnect switch (in sight of motor, NEC 430.102)</t>
  </si>
  <si>
    <t xml:space="preserve">Fan bridge beside ring (128,54)</t>
  </si>
  <si>
    <t xml:space="preserve">M-ACC-13</t>
  </si>
  <si>
    <t xml:space="preserve">ACC fan motor 13, 150 kW 480 V (VFD)</t>
  </si>
  <si>
    <t xml:space="preserve">Fan ring (136,32) on deck z=20</t>
  </si>
  <si>
    <t xml:space="preserve">DS-ACC-13</t>
  </si>
  <si>
    <t xml:space="preserve">ACC fan 13 local disconnect switch (in sight of motor, NEC 430.102)</t>
  </si>
  <si>
    <t xml:space="preserve">Fan bridge beside ring (136,32)</t>
  </si>
  <si>
    <t xml:space="preserve">M-ACC-14</t>
  </si>
  <si>
    <t xml:space="preserve">ACC fan motor 14, 150 kW 480 V (VFD)</t>
  </si>
  <si>
    <t xml:space="preserve">Fan ring (136,43) on deck z=20</t>
  </si>
  <si>
    <t xml:space="preserve">DS-ACC-14</t>
  </si>
  <si>
    <t xml:space="preserve">ACC fan 14 local disconnect switch (in sight of motor, NEC 430.102)</t>
  </si>
  <si>
    <t xml:space="preserve">Fan bridge beside ring (136,43)</t>
  </si>
  <si>
    <t xml:space="preserve">M-ACC-15</t>
  </si>
  <si>
    <t xml:space="preserve">ACC fan motor 15, 150 kW 480 V (VFD)</t>
  </si>
  <si>
    <t xml:space="preserve">Fan ring (136,54) on deck z=20</t>
  </si>
  <si>
    <t xml:space="preserve">DS-ACC-15</t>
  </si>
  <si>
    <t xml:space="preserve">ACC fan 15 local disconnect switch (in sight of motor, NEC 430.102)</t>
  </si>
  <si>
    <t xml:space="preserve">Fan bridge beside ring (136,54)</t>
  </si>
  <si>
    <t xml:space="preserve">MVS-CCS</t>
  </si>
  <si>
    <t xml:space="preserve">CCS 13.8 kV switchboard (CCS substation)</t>
  </si>
  <si>
    <t xml:space="preserve">40</t>
  </si>
  <si>
    <t xml:space="preserve">Tray TR-02 end (180,64)</t>
  </si>
  <si>
    <t xml:space="preserve">LVT-CCS</t>
  </si>
  <si>
    <t xml:space="preserve">CCS LV transformer 13.8/0.48 kV 2.5 MVA</t>
  </si>
  <si>
    <t xml:space="preserve">CCS substation</t>
  </si>
  <si>
    <t xml:space="preserve">PMCC-CCS</t>
  </si>
  <si>
    <t xml:space="preserve">CCS power / motor control centre 480 V</t>
  </si>
  <si>
    <t xml:space="preserve">RIO-CCS</t>
  </si>
  <si>
    <t xml:space="preserve">DCS remote I/O cabinet - CCS</t>
  </si>
  <si>
    <t xml:space="preserve">M-BF</t>
  </si>
  <si>
    <t xml:space="preserve">Flue gas booster fan motor 6.5 MW, 13.8 kV</t>
  </si>
  <si>
    <t xml:space="preserve">Booster fan (145-155,-8..0)</t>
  </si>
  <si>
    <t xml:space="preserve">M-DCC-A</t>
  </si>
  <si>
    <t xml:space="preserve">Direct contact cooler circulation pump A 400 kW, 13.8 kV</t>
  </si>
  <si>
    <t xml:space="preserve">DCC r=5 at (150,3)</t>
  </si>
  <si>
    <t xml:space="preserve">M-DCC-B</t>
  </si>
  <si>
    <t xml:space="preserve">Direct contact cooler circulation pump B 400 kW, 13.8 kV</t>
  </si>
  <si>
    <t xml:space="preserve">DCC</t>
  </si>
  <si>
    <t xml:space="preserve">M-RAP-A</t>
  </si>
  <si>
    <t xml:space="preserve">Rich amine pump A 700 kW, 13.8 kV</t>
  </si>
  <si>
    <t xml:space="preserve">Absorber r=8 at (170,6)</t>
  </si>
  <si>
    <t xml:space="preserve">M-RAP-B</t>
  </si>
  <si>
    <t xml:space="preserve">Rich amine pump B 700 kW, 13.8 kV</t>
  </si>
  <si>
    <t xml:space="preserve">Absorber</t>
  </si>
  <si>
    <t xml:space="preserve">M-LAP-A</t>
  </si>
  <si>
    <t xml:space="preserve">Lean amine pump A 800 kW, 13.8 kV</t>
  </si>
  <si>
    <t xml:space="preserve">Stripper r=4 at (190,20)</t>
  </si>
  <si>
    <t xml:space="preserve">M-LAP-B</t>
  </si>
  <si>
    <t xml:space="preserve">Lean amine pump B 800 kW, 13.8 kV</t>
  </si>
  <si>
    <t xml:space="preserve">Stripper</t>
  </si>
  <si>
    <t xml:space="preserve">M-RBC-A</t>
  </si>
  <si>
    <t xml:space="preserve">Reboiler condensate pump A 110 kW, 480 V</t>
  </si>
  <si>
    <t xml:space="preserve">Reboiler at (198,20)</t>
  </si>
  <si>
    <t xml:space="preserve">M-CO2C</t>
  </si>
  <si>
    <t xml:space="preserve">CO2 compressor motor 14 MW, 13.8 kV (VFD)</t>
  </si>
  <si>
    <t xml:space="preserve">Compressor bldg (180-210,32-46)</t>
  </si>
  <si>
    <t xml:space="preserve">UCP-CO2</t>
  </si>
  <si>
    <t xml:space="preserve">CO2 compressor unit control panel</t>
  </si>
  <si>
    <t xml:space="preserve">Compressor bldg</t>
  </si>
  <si>
    <t xml:space="preserve">VFD-CO2</t>
  </si>
  <si>
    <t xml:space="preserve">CO2 compressor MV variable frequency drive, 13.8 kV in / out</t>
  </si>
  <si>
    <t xml:space="preserve">Compressor bldg - assumed</t>
  </si>
  <si>
    <t xml:space="preserve">PKG-DEH</t>
  </si>
  <si>
    <t xml:space="preserve">CO2 dehydration package (TEG) 250 kVA</t>
  </si>
  <si>
    <t xml:space="preserve">Dehydration (210-218,34-44)</t>
  </si>
  <si>
    <t xml:space="preserve">FC-CO2</t>
  </si>
  <si>
    <t xml:space="preserve">CO2 export fiscal meter skid / flow computer</t>
  </si>
  <si>
    <t xml:space="preserve">Meter skid (240-244,37-41)</t>
  </si>
  <si>
    <t xml:space="preserve">JB-ABS-01</t>
  </si>
  <si>
    <t xml:space="preserve">Absorber instrument junction box (mid-height)</t>
  </si>
  <si>
    <t xml:space="preserve">JB-STR-01</t>
  </si>
  <si>
    <t xml:space="preserve">Stripper instrument junction box</t>
  </si>
  <si>
    <t xml:space="preserve">JB-FG-CCS</t>
  </si>
  <si>
    <t xml:space="preserve">F&amp;G junction box - CCS area</t>
  </si>
  <si>
    <t xml:space="preserve">CCS</t>
  </si>
  <si>
    <t xml:space="preserve">C-ABS</t>
  </si>
  <si>
    <t xml:space="preserve">Absorber column shell (lightning / bonding)</t>
  </si>
  <si>
    <t xml:space="preserve">EG-CCS</t>
  </si>
  <si>
    <t xml:space="preserve">CCS area earth grid (nearest riser)</t>
  </si>
  <si>
    <t xml:space="preserve">MVS-RICE</t>
  </si>
  <si>
    <t xml:space="preserve">RICE 13.8 kV collector switchgear e-house</t>
  </si>
  <si>
    <t xml:space="preserve">E-house (6-18,96-102)</t>
  </si>
  <si>
    <t xml:space="preserve">LVT-RICE</t>
  </si>
  <si>
    <t xml:space="preserve">RICE auxiliary transformer 13.8/0.48 kV 1 MVA</t>
  </si>
  <si>
    <t xml:space="preserve">MCC-RICE</t>
  </si>
  <si>
    <t xml:space="preserve">RICE auxiliary MCC 480 V</t>
  </si>
  <si>
    <t xml:space="preserve">E-house</t>
  </si>
  <si>
    <t xml:space="preserve">RPC</t>
  </si>
  <si>
    <t xml:space="preserve">RICE plant controller</t>
  </si>
  <si>
    <t xml:space="preserve">EG-RICE</t>
  </si>
  <si>
    <t xml:space="preserve">RICE area earth grid (nearest riser)</t>
  </si>
  <si>
    <t xml:space="preserve">GEN-R01</t>
  </si>
  <si>
    <t xml:space="preserve">Gas engine genset 1 (40 ft container) 2.5 MVA, 13.8 kV - terminal box</t>
  </si>
  <si>
    <t xml:space="preserve">Container y=70.0</t>
  </si>
  <si>
    <t xml:space="preserve">GEN-R02</t>
  </si>
  <si>
    <t xml:space="preserve">Gas engine genset 2 (40 ft container) 2.5 MVA, 13.8 kV - terminal box</t>
  </si>
  <si>
    <t xml:space="preserve">Container y=74.2</t>
  </si>
  <si>
    <t xml:space="preserve">GEN-R03</t>
  </si>
  <si>
    <t xml:space="preserve">Gas engine genset 3 (40 ft container) 2.5 MVA, 13.8 kV - terminal box</t>
  </si>
  <si>
    <t xml:space="preserve">Container y=78.4</t>
  </si>
  <si>
    <t xml:space="preserve">GEN-R04</t>
  </si>
  <si>
    <t xml:space="preserve">Gas engine genset 4 (40 ft container) 2.5 MVA, 13.8 kV - terminal box</t>
  </si>
  <si>
    <t xml:space="preserve">Container y=82.6</t>
  </si>
  <si>
    <t xml:space="preserve">GEN-R05</t>
  </si>
  <si>
    <t xml:space="preserve">Gas engine genset 5 (40 ft container) 2.5 MVA, 13.8 kV - terminal box</t>
  </si>
  <si>
    <t xml:space="preserve">Container y=86.8</t>
  </si>
  <si>
    <t xml:space="preserve">GEN-R06</t>
  </si>
  <si>
    <t xml:space="preserve">Gas engine genset 6 (40 ft container) 2.5 MVA, 13.8 kV - terminal box</t>
  </si>
  <si>
    <t xml:space="preserve">Container y=91.0</t>
  </si>
  <si>
    <t xml:space="preserve">GEN-R07</t>
  </si>
  <si>
    <t xml:space="preserve">Gas engine genset 7 (40 ft container) 2.5 MVA, 13.8 kV - terminal box</t>
  </si>
  <si>
    <t xml:space="preserve">Container y=95.2</t>
  </si>
  <si>
    <t xml:space="preserve">GEN-R08</t>
  </si>
  <si>
    <t xml:space="preserve">Gas engine genset 8 (40 ft container) 2.5 MVA, 13.8 kV - terminal box</t>
  </si>
  <si>
    <t xml:space="preserve">Container y=99.4</t>
  </si>
  <si>
    <t xml:space="preserve">AUX-R01</t>
  </si>
  <si>
    <t xml:space="preserve">Genset 1 auxiliary panel (radiator fans, pre-lube, jacket heater)</t>
  </si>
  <si>
    <t xml:space="preserve">AUX-R02</t>
  </si>
  <si>
    <t xml:space="preserve">Genset 2 auxiliary panel (radiator fans, pre-lube, jacket heater)</t>
  </si>
  <si>
    <t xml:space="preserve">AUX-R03</t>
  </si>
  <si>
    <t xml:space="preserve">Genset 3 auxiliary panel (radiator fans, pre-lube, jacket heater)</t>
  </si>
  <si>
    <t xml:space="preserve">AUX-R04</t>
  </si>
  <si>
    <t xml:space="preserve">Genset 4 auxiliary panel (radiator fans, pre-lube, jacket heater)</t>
  </si>
  <si>
    <t xml:space="preserve">AUX-R05</t>
  </si>
  <si>
    <t xml:space="preserve">Genset 5 auxiliary panel (radiator fans, pre-lube, jacket heater)</t>
  </si>
  <si>
    <t xml:space="preserve">AUX-R06</t>
  </si>
  <si>
    <t xml:space="preserve">Genset 6 auxiliary panel (radiator fans, pre-lube, jacket heater)</t>
  </si>
  <si>
    <t xml:space="preserve">AUX-R07</t>
  </si>
  <si>
    <t xml:space="preserve">Genset 7 auxiliary panel (radiator fans, pre-lube, jacket heater)</t>
  </si>
  <si>
    <t xml:space="preserve">AUX-R08</t>
  </si>
  <si>
    <t xml:space="preserve">Genset 8 auxiliary panel (radiator fans, pre-lube, jacket heater)</t>
  </si>
  <si>
    <t xml:space="preserve">TK-LNG</t>
  </si>
  <si>
    <t xml:space="preserve">LNG full-containment tank (bonding)</t>
  </si>
  <si>
    <t xml:space="preserve">60</t>
  </si>
  <si>
    <t xml:space="preserve">Tank r=16 at (-60,10)</t>
  </si>
  <si>
    <t xml:space="preserve">M-LNG-P1</t>
  </si>
  <si>
    <t xml:space="preserve">LNG in-tank send-out pump 1, 250 kW 480 V (top penetration)</t>
  </si>
  <si>
    <t xml:space="preserve">Tank roof z=24</t>
  </si>
  <si>
    <t xml:space="preserve">M-LNG-P2</t>
  </si>
  <si>
    <t xml:space="preserve">LNG in-tank send-out pump 2, 250 kW 480 V (top penetration)</t>
  </si>
  <si>
    <t xml:space="preserve">LT-LNG</t>
  </si>
  <si>
    <t xml:space="preserve">LNG tank level / temperature gauging head</t>
  </si>
  <si>
    <t xml:space="preserve">Tank roof</t>
  </si>
  <si>
    <t xml:space="preserve">C-BOG</t>
  </si>
  <si>
    <t xml:space="preserve">Boil-off gas compressor motor 900 kW, 13.8 kV</t>
  </si>
  <si>
    <t xml:space="preserve">Assumed north of vaporizers</t>
  </si>
  <si>
    <t xml:space="preserve">JB-LNG</t>
  </si>
  <si>
    <t xml:space="preserve">LNG area instrument junction box</t>
  </si>
  <si>
    <t xml:space="preserve">Pipe to station y=10</t>
  </si>
  <si>
    <t xml:space="preserve">HTP-LNG</t>
  </si>
  <si>
    <t xml:space="preserve">Heat tracing / lighting panel - LNG area</t>
  </si>
  <si>
    <t xml:space="preserve">XV-001</t>
  </si>
  <si>
    <t xml:space="preserve">Station inlet ESD valve (electro-hydraulic actuator)</t>
  </si>
  <si>
    <t xml:space="preserve">Inlet pipe (-44..-25, y=10, z=4)</t>
  </si>
  <si>
    <t xml:space="preserve">LVT-GAS</t>
  </si>
  <si>
    <t xml:space="preserve">Gas station transformer 13.8/0.48 kV 1.6 MVA</t>
  </si>
  <si>
    <t xml:space="preserve">Assumed north of skid</t>
  </si>
  <si>
    <t xml:space="preserve">MCC-GAS</t>
  </si>
  <si>
    <t xml:space="preserve">Gas station MCC 480 V (shelter)</t>
  </si>
  <si>
    <t xml:space="preserve">Shelter (-25..-15,10-14)</t>
  </si>
  <si>
    <t xml:space="preserve">RIO-GAS</t>
  </si>
  <si>
    <t xml:space="preserve">DCS remote I/O cabinet - gas station (shelter)</t>
  </si>
  <si>
    <t xml:space="preserve">Shelter</t>
  </si>
  <si>
    <t xml:space="preserve">FC-GAS</t>
  </si>
  <si>
    <t xml:space="preserve">Fiscal gas flow computer / metering panel (shelter)</t>
  </si>
  <si>
    <t xml:space="preserve">AT-GC</t>
  </si>
  <si>
    <t xml:space="preserve">Gas chromatograph (shelter)</t>
  </si>
  <si>
    <t xml:space="preserve">FT-101A</t>
  </si>
  <si>
    <t xml:space="preserve">Ultrasonic gas meter run A</t>
  </si>
  <si>
    <t xml:space="preserve">Meter body run y=-3</t>
  </si>
  <si>
    <t xml:space="preserve">FT-101B</t>
  </si>
  <si>
    <t xml:space="preserve">Ultrasonic gas meter run B</t>
  </si>
  <si>
    <t xml:space="preserve">Meter body run y=0</t>
  </si>
  <si>
    <t xml:space="preserve">FT-101C</t>
  </si>
  <si>
    <t xml:space="preserve">Ultrasonic gas meter run C (spare / check)</t>
  </si>
  <si>
    <t xml:space="preserve">Meter body run y=3</t>
  </si>
  <si>
    <t xml:space="preserve">PCV-101</t>
  </si>
  <si>
    <t xml:space="preserve">Pressure reducing / regulating valve skid</t>
  </si>
  <si>
    <t xml:space="preserve">Regulator box (0-3,0-3)</t>
  </si>
  <si>
    <t xml:space="preserve">H-101</t>
  </si>
  <si>
    <t xml:space="preserve">Fuel gas electric heater 400 kW</t>
  </si>
  <si>
    <t xml:space="preserve">Heater (0-4, y=7)</t>
  </si>
  <si>
    <t xml:space="preserve">JB-GAS</t>
  </si>
  <si>
    <t xml:space="preserve">Gas station instrument junction box</t>
  </si>
  <si>
    <t xml:space="preserve">Skid</t>
  </si>
  <si>
    <t xml:space="preserve">EG-GAS</t>
  </si>
  <si>
    <t xml:space="preserve">Gas / LNG area earth grid (nearest riser)</t>
  </si>
  <si>
    <t xml:space="preserve">MVS-1</t>
  </si>
  <si>
    <t xml:space="preserve">Main 13.8 kV switchboard (main electrical building)</t>
  </si>
  <si>
    <t xml:space="preserve">70</t>
  </si>
  <si>
    <t xml:space="preserve">E-house (34-46,50-56)</t>
  </si>
  <si>
    <t xml:space="preserve">PMCC-1</t>
  </si>
  <si>
    <t xml:space="preserve">Main power / motor control centre 480 V</t>
  </si>
  <si>
    <t xml:space="preserve">LVT-1</t>
  </si>
  <si>
    <t xml:space="preserve">Main LV transformer 13.8/0.48 kV 2.5 MVA</t>
  </si>
  <si>
    <t xml:space="preserve">North of e-house</t>
  </si>
  <si>
    <t xml:space="preserve">DCS-CCR</t>
  </si>
  <si>
    <t xml:space="preserve">DCS servers / central control room</t>
  </si>
  <si>
    <t xml:space="preserve">GPP</t>
  </si>
  <si>
    <t xml:space="preserve">Generator &amp; transformer protection panels</t>
  </si>
  <si>
    <t xml:space="preserve">DCB-1</t>
  </si>
  <si>
    <t xml:space="preserve">125 V DC battery and chargers</t>
  </si>
  <si>
    <t xml:space="preserve">UPS-1</t>
  </si>
  <si>
    <t xml:space="preserve">230 V AC UPS</t>
  </si>
  <si>
    <t xml:space="preserve">FGP-1</t>
  </si>
  <si>
    <t xml:space="preserve">Fire &amp; gas panel</t>
  </si>
  <si>
    <t xml:space="preserve">EG-SWY</t>
  </si>
  <si>
    <t xml:space="preserve">Switchyard earth grid (nearest riser)</t>
  </si>
  <si>
    <t xml:space="preserve">Code</t>
  </si>
  <si>
    <t xml:space="preserve">Category</t>
  </si>
  <si>
    <t xml:space="preserve">Conductors / cables per run</t>
  </si>
  <si>
    <t xml:space="preserve">OD (mm)</t>
  </si>
  <si>
    <t xml:space="preserve">Base ampacity per run (A)</t>
  </si>
  <si>
    <t xml:space="preserve">mV/A/m (3-ph line, or 1-ph/DC loop)</t>
  </si>
  <si>
    <t xml:space="preserve">Mass (kg/m per conductor)</t>
  </si>
  <si>
    <t xml:space="preserve">Std reel length (m)</t>
  </si>
  <si>
    <t xml:space="preserve">Basis</t>
  </si>
  <si>
    <t xml:space="preserve">ACSR-DRAKE</t>
  </si>
  <si>
    <t xml:space="preserve">ACSR 795 kcmil 'Drake' 26/7, 1 per phase</t>
  </si>
  <si>
    <t xml:space="preserve">IEEE 738 typical (40 C ambient, 75 C conductor, 2 ft/s wind)</t>
  </si>
  <si>
    <t xml:space="preserve">ACSR-DRAKE-2B</t>
  </si>
  <si>
    <t xml:space="preserve">ACSR 795 kcmil 'Drake' 26/7, twin bundle per phase</t>
  </si>
  <si>
    <t xml:space="preserve">SW-7/16-EHS</t>
  </si>
  <si>
    <t xml:space="preserve">Shield wire 7/16" EHS galvanized steel</t>
  </si>
  <si>
    <t xml:space="preserve">OPGW-24</t>
  </si>
  <si>
    <t xml:space="preserve">OPGW 24-fiber shield wire</t>
  </si>
  <si>
    <t xml:space="preserve">IPB-10K</t>
  </si>
  <si>
    <t xml:space="preserve">Isolated phase bus 24 kV, 10 kA (per phase metre)</t>
  </si>
  <si>
    <t xml:space="preserve">Vendor nominal rating (IEEE C37.23 / UL 857)</t>
  </si>
  <si>
    <t xml:space="preserve">IPB-7K</t>
  </si>
  <si>
    <t xml:space="preserve">Isolated phase bus 24 kV, 7 kA (per phase metre)</t>
  </si>
  <si>
    <t xml:space="preserve">IPB-3K</t>
  </si>
  <si>
    <t xml:space="preserve">Isolated phase tap bus 24 kV, 3 kA (per phase metre)</t>
  </si>
  <si>
    <t xml:space="preserve">LVBD-4000</t>
  </si>
  <si>
    <t xml:space="preserve">600 V busway 4000 A, Cu, 3-ph + ground, outdoor feeder</t>
  </si>
  <si>
    <t xml:space="preserve">LVBD-2500</t>
  </si>
  <si>
    <t xml:space="preserve">600 V busway 2500 A, Cu, 3-ph + ground, outdoor feeder</t>
  </si>
  <si>
    <t xml:space="preserve">MV-1C-2-NGR</t>
  </si>
  <si>
    <t xml:space="preserve">15 kV MV-105 1/C #2 AWG Cu EPR 133% shielded, Type MC-HL, CCW Al armor (Armor-X type), PVC jkt</t>
  </si>
  <si>
    <t xml:space="preserve">NEC 311.60(C) 15 kV Cu 90 C in air, 40 C ambient (approx.); VD from R cos + X sin at 0.85 PF</t>
  </si>
  <si>
    <t xml:space="preserve">MV-3C-2</t>
  </si>
  <si>
    <t xml:space="preserve">15 kV MV-105 3/C #2 AWG Cu EPR 133% shielded + GC, Type MC-HL, CCW Al armor (Armor-X type), PVC jkt</t>
  </si>
  <si>
    <t xml:space="preserve">MV-3C-1/0</t>
  </si>
  <si>
    <t xml:space="preserve">15 kV MV-105 3/C 1/0 AWG Cu EPR 133% shielded + GC, Type MC-HL, CCW Al armor (Armor-X type), PVC jkt</t>
  </si>
  <si>
    <t xml:space="preserve">MV-3C-4/0</t>
  </si>
  <si>
    <t xml:space="preserve">15 kV MV-105 3/C 4/0 AWG Cu EPR 133% shielded + GC, Type MC-HL, CCW Al armor (Armor-X type), PVC jkt</t>
  </si>
  <si>
    <t xml:space="preserve">MV-3C-500</t>
  </si>
  <si>
    <t xml:space="preserve">15 kV MV-105 3/C 500 kcmil Cu EPR 133% shielded + GC, Type MC-HL, CCW Al armor (Armor-X type), PVC jkt</t>
  </si>
  <si>
    <t xml:space="preserve">MV-1C-500-TPX</t>
  </si>
  <si>
    <t xml:space="preserve">15 kV MV-105 1/C 500 kcmil Cu EPR 133% shielded, Type MC-HL, CCW Al armor (Armor-X type), PVC jkt, triplexed set</t>
  </si>
  <si>
    <t xml:space="preserve">MV-1C-750-TPX</t>
  </si>
  <si>
    <t xml:space="preserve">15 kV MV-105 1/C 750 kcmil Cu EPR 133% shielded, Type MC-HL, CCW Al armor (Armor-X type), PVC jkt, triplexed set</t>
  </si>
  <si>
    <t xml:space="preserve">MV-1C-1000-TPX</t>
  </si>
  <si>
    <t xml:space="preserve">15 kV MV-105 1/C 1000 kcmil Cu EPR 133% shielded, Type MC-HL, CCW Al armor (Armor-X type), PVC jkt, triplexed set</t>
  </si>
  <si>
    <t xml:space="preserve">LV-3C-10</t>
  </si>
  <si>
    <t xml:space="preserve">600 V 3/C #10 AWG + G Cu XHHW-2, Type MC-HL, CCW Al armor (Armor-X type), PVC jkt</t>
  </si>
  <si>
    <t xml:space="preserve">NEC 310.16 Cu 75 C column (termination limit); NEC 392.80(A)(1); VD NEC Ch.9 Table 9, 0.85 PF</t>
  </si>
  <si>
    <t xml:space="preserve">LV-3C-6</t>
  </si>
  <si>
    <t xml:space="preserve">600 V 3/C #6 AWG + G Cu XHHW-2, Type MC-HL, CCW Al armor (Armor-X type), PVC jkt</t>
  </si>
  <si>
    <t xml:space="preserve">LV-3C-2</t>
  </si>
  <si>
    <t xml:space="preserve">600 V 3/C #2 AWG + G Cu XHHW-2, Type MC-HL, CCW Al armor (Armor-X type), PVC jkt</t>
  </si>
  <si>
    <t xml:space="preserve">LV-3C-1/0</t>
  </si>
  <si>
    <t xml:space="preserve">600 V 3/C 1/0 AWG + G Cu XHHW-2, Type MC-HL, CCW Al armor (Armor-X type), PVC jkt</t>
  </si>
  <si>
    <t xml:space="preserve">LV-3C-4/0</t>
  </si>
  <si>
    <t xml:space="preserve">600 V 3/C 4/0 AWG + G Cu XHHW-2, Type MC-HL, CCW Al armor (Armor-X type), PVC jkt</t>
  </si>
  <si>
    <t xml:space="preserve">LV-3C-350</t>
  </si>
  <si>
    <t xml:space="preserve">600 V 3/C 350 kcmil + G Cu XHHW-2, Type MC-HL, CCW Al armor (Armor-X type), PVC jkt</t>
  </si>
  <si>
    <t xml:space="preserve">LV-3C-500</t>
  </si>
  <si>
    <t xml:space="preserve">600 V 3/C 500 kcmil + G Cu XHHW-2, Type MC-HL, CCW Al armor (Armor-X type), PVC jkt</t>
  </si>
  <si>
    <t xml:space="preserve">LV-VFD-500</t>
  </si>
  <si>
    <t xml:space="preserve">600/1000 V VFD 3/C 500 kcmil + 3 symmetrical G, Cu XLPE, Type MC-HL, CCW Al armor (Armor-X type), PVC jkt</t>
  </si>
  <si>
    <t xml:space="preserve">LV-MFX-2/0</t>
  </si>
  <si>
    <t xml:space="preserve">1000 V 3/C 2/0 AWG + 3 symmetrical G, flexible tinned Cu XHHW-2, foil + braid shield, TPE jkt, Type TC-ER, NFPA 79 (Machine Flex type)</t>
  </si>
  <si>
    <t xml:space="preserve">LV-2C-10</t>
  </si>
  <si>
    <t xml:space="preserve">600 V 2/C #10 AWG + G Cu XHHW-2, Type MC-HL, CCW Al armor (Armor-X type), PVC jkt</t>
  </si>
  <si>
    <t xml:space="preserve">NEC 310.16 75 C (1/C in tray: 392.80(A)(2), 75% of 310.17); VD NEC Ch.9 Table 8 DC loop</t>
  </si>
  <si>
    <t xml:space="preserve">LV-2C-6</t>
  </si>
  <si>
    <t xml:space="preserve">600 V 2/C #6 AWG + G Cu XHHW-2, Type MC-HL, CCW Al armor (Armor-X type), PVC jkt</t>
  </si>
  <si>
    <t xml:space="preserve">LV-2C-2</t>
  </si>
  <si>
    <t xml:space="preserve">600 V 2/C #2 AWG + G Cu XHHW-2, Type MC-HL, CCW Al armor (Armor-X type), PVC jkt</t>
  </si>
  <si>
    <t xml:space="preserve">LV-1C-500</t>
  </si>
  <si>
    <t xml:space="preserve">600 V 1/C 500 kcmil Cu XHHW-2, Type MC-HL, CCW Al armor (Armor-X type), PVC jkt (+/- pair)</t>
  </si>
  <si>
    <t xml:space="preserve">CTL-7C-12</t>
  </si>
  <si>
    <t xml:space="preserve">600 V 7/C #12 AWG Cu XHHW-2 control, Type MC-HL, CCW Al armor (Armor-X type), PVC jkt</t>
  </si>
  <si>
    <t xml:space="preserve">Not current-rated here</t>
  </si>
  <si>
    <t xml:space="preserve">CTL-12C-14</t>
  </si>
  <si>
    <t xml:space="preserve">600 V 12/C #14 AWG Cu XHHW-2 control, Type MC-HL, CCW Al armor (Armor-X type), PVC jkt</t>
  </si>
  <si>
    <t xml:space="preserve">CTL-25C-14</t>
  </si>
  <si>
    <t xml:space="preserve">600 V 25/C #14 AWG Cu XHHW-2 control, Type MC-HL, CCW Al armor (Armor-X type), PVC jkt</t>
  </si>
  <si>
    <t xml:space="preserve">CTL-12C-10</t>
  </si>
  <si>
    <t xml:space="preserve">600 V 12/C #10 AWG Cu XHHW-2 control (CT circuits), Type MC-HL, CCW Al armor (Armor-X type), PVC jkt</t>
  </si>
  <si>
    <t xml:space="preserve">INS-1TSP-16</t>
  </si>
  <si>
    <t xml:space="preserve">300 V 1 TSP #16 AWG, PLTC/ITC-HL, CCW armor, PVC jkt (IS blue)</t>
  </si>
  <si>
    <t xml:space="preserve">INS-2TSP-16</t>
  </si>
  <si>
    <t xml:space="preserve">300 V 2 TSP #16 AWG, PLTC/ITC-HL, CCW armor, PVC jkt (IS blue)</t>
  </si>
  <si>
    <t xml:space="preserve">INS-12TSP-18</t>
  </si>
  <si>
    <t xml:space="preserve">300 V 12 TSP #18 AWG indiv. + overall shield, PLTC/ITC-HL, CCW armor</t>
  </si>
  <si>
    <t xml:space="preserve">INS-24TSP-18</t>
  </si>
  <si>
    <t xml:space="preserve">300 V 24 TSP #18 AWG indiv. + overall shield, PLTC/ITC-HL, CCW armor</t>
  </si>
  <si>
    <t xml:space="preserve">INS-TC-12P-KX</t>
  </si>
  <si>
    <t xml:space="preserve">300 V 12 pair #16 AWG type KX thermocouple extension, ITC-HL, CCW armor</t>
  </si>
  <si>
    <t xml:space="preserve">INS-RS485</t>
  </si>
  <si>
    <t xml:space="preserve">300 V 1 TSP #22 AWG 120 ohm RS-485, ITC-HL, CCW armor</t>
  </si>
  <si>
    <t xml:space="preserve">FO-24SM</t>
  </si>
  <si>
    <t xml:space="preserve">24-fiber single-mode OFCR, interlocked Al armor</t>
  </si>
  <si>
    <t xml:space="preserve">FO-48SM</t>
  </si>
  <si>
    <t xml:space="preserve">48-fiber single-mode OFCR, interlocked Al armor</t>
  </si>
  <si>
    <t xml:space="preserve">EG-CU-4/0</t>
  </si>
  <si>
    <t xml:space="preserve">Bare stranded Cu 4/0 AWG ground grid conductor (buried)</t>
  </si>
  <si>
    <t xml:space="preserve">Size per IEEE 80 fault study</t>
  </si>
  <si>
    <t xml:space="preserve">EB-CU-2/0</t>
  </si>
  <si>
    <t xml:space="preserve">Green insulated Cu 2/0 AWG bonding jumper</t>
  </si>
  <si>
    <t xml:space="preserve">CABLE SCHEDULE - CCPP-E-CS-0001 Rev C (PRELIMINARY) - US NEC practice, Type MC-HL armored cable</t>
  </si>
  <si>
    <t xml:space="preserve">Calculation helpers (lookups - do not edit)</t>
  </si>
  <si>
    <t xml:space="preserve">Cable No.</t>
  </si>
  <si>
    <t xml:space="preserve">Service / Function</t>
  </si>
  <si>
    <t xml:space="preserve">From Tag</t>
  </si>
  <si>
    <t xml:space="preserve">From Equipment</t>
  </si>
  <si>
    <t xml:space="preserve">To Tag</t>
  </si>
  <si>
    <t xml:space="preserve">To Equipment</t>
  </si>
  <si>
    <t xml:space="preserve">Cable Type</t>
  </si>
  <si>
    <t xml:space="preserve">Cable Description</t>
  </si>
  <si>
    <t xml:space="preserve">Parallel Runs</t>
  </si>
  <si>
    <t xml:space="preserve">Raceway</t>
  </si>
  <si>
    <t xml:space="preserve">Route Method</t>
  </si>
  <si>
    <t xml:space="preserve">Length Override (m)</t>
  </si>
  <si>
    <t xml:space="preserve">Route Length / Run (m)</t>
  </si>
  <si>
    <t xml:space="preserve">Route Length / Run (ft)</t>
  </si>
  <si>
    <t xml:space="preserve">Total Conductor Length (m)</t>
  </si>
  <si>
    <t xml:space="preserve">Total Conductor Length (ft)</t>
  </si>
  <si>
    <t xml:space="preserve">System Voltage (V)</t>
  </si>
  <si>
    <t xml:space="preserve">Phases</t>
  </si>
  <si>
    <t xml:space="preserve">Load (kW / kVA)</t>
  </si>
  <si>
    <t xml:space="preserve">PF x Eff.</t>
  </si>
  <si>
    <t xml:space="preserve">Running Current (A)</t>
  </si>
  <si>
    <t xml:space="preserve">Sizing Factor</t>
  </si>
  <si>
    <t xml:space="preserve">Design Current (A)</t>
  </si>
  <si>
    <t xml:space="preserve">Allowable Ampacity / Run (A)</t>
  </si>
  <si>
    <t xml:space="preserve">Total Capacity (A)</t>
  </si>
  <si>
    <t xml:space="preserve">Loading (%)</t>
  </si>
  <si>
    <t xml:space="preserve">Volt Drop (%)</t>
  </si>
  <si>
    <t xml:space="preserve">VD Limit (%)</t>
  </si>
  <si>
    <t xml:space="preserve">Check</t>
  </si>
  <si>
    <t xml:space="preserve">Cable Area (mm2)</t>
  </si>
  <si>
    <t xml:space="preserve">Notes</t>
  </si>
  <si>
    <t xml:space="preserve">X from</t>
  </si>
  <si>
    <t xml:space="preserve">Y from</t>
  </si>
  <si>
    <t xml:space="preserve">Z from</t>
  </si>
  <si>
    <t xml:space="preserve">X to</t>
  </si>
  <si>
    <t xml:space="preserve">Y to</t>
  </si>
  <si>
    <t xml:space="preserve">Z to</t>
  </si>
  <si>
    <t xml:space="preserve">Raceway Elev.</t>
  </si>
  <si>
    <t xml:space="preserve">Correction</t>
  </si>
  <si>
    <t xml:space="preserve">Cond. / Run</t>
  </si>
  <si>
    <t xml:space="preserve">Base Ampacity (A)</t>
  </si>
  <si>
    <t xml:space="preserve">mV/A/m</t>
  </si>
  <si>
    <t xml:space="preserve">10-HV-001</t>
  </si>
  <si>
    <t xml:space="preserve">GT GSU 230 kV to bay 3 (strung)</t>
  </si>
  <si>
    <t xml:space="preserve">OHL</t>
  </si>
  <si>
    <t xml:space="preserve">D</t>
  </si>
  <si>
    <t xml:space="preserve">Load in kVA</t>
  </si>
  <si>
    <t xml:space="preserve">10-HV-002</t>
  </si>
  <si>
    <t xml:space="preserve">ST GSU 230 kV to bay 4 (strung)</t>
  </si>
  <si>
    <t xml:space="preserve">10-HV-003</t>
  </si>
  <si>
    <t xml:space="preserve">RICE transformer 230 kV to bay 1 (strung)</t>
  </si>
  <si>
    <t xml:space="preserve">10-HV-004</t>
  </si>
  <si>
    <t xml:space="preserve">Strung main bus bay 1 - bay 2</t>
  </si>
  <si>
    <t xml:space="preserve">Rated for total plant export</t>
  </si>
  <si>
    <t xml:space="preserve">10-HV-005</t>
  </si>
  <si>
    <t xml:space="preserve">Strung main bus bay 2 - bay 3</t>
  </si>
  <si>
    <t xml:space="preserve">10-HV-006</t>
  </si>
  <si>
    <t xml:space="preserve">Strung main bus bay 3 - bay 4</t>
  </si>
  <si>
    <t xml:space="preserve">10-HV-007</t>
  </si>
  <si>
    <t xml:space="preserve">Outgoing 230 kV line: bay 4 to terminal tower T1</t>
  </si>
  <si>
    <t xml:space="preserve">10-HV-008</t>
  </si>
  <si>
    <t xml:space="preserve">Outgoing 230 kV line span T1 - T2</t>
  </si>
  <si>
    <t xml:space="preserve">10-HV-009</t>
  </si>
  <si>
    <t xml:space="preserve">Outgoing 230 kV line span T2 - T3</t>
  </si>
  <si>
    <t xml:space="preserve">10-HV-010</t>
  </si>
  <si>
    <t xml:space="preserve">Switchyard shield wires (2 off) bay 1 - bay 4</t>
  </si>
  <si>
    <t xml:space="preserve">Lightning shielding over gantries</t>
  </si>
  <si>
    <t xml:space="preserve">10-HV-011</t>
  </si>
  <si>
    <t xml:space="preserve">Line OPGW: bay 4 to T3 (teleprotection / SCADA)</t>
  </si>
  <si>
    <t xml:space="preserve">Chord length bay 4 -&gt; T3; refine per tower spotting</t>
  </si>
  <si>
    <t xml:space="preserve">20-IPB-001</t>
  </si>
  <si>
    <t xml:space="preserve">GT generator main IPB to GSU-GT LV</t>
  </si>
  <si>
    <t xml:space="preserve">IPB-GT</t>
  </si>
  <si>
    <t xml:space="preserve">M</t>
  </si>
  <si>
    <t xml:space="preserve">Includes GCB if fitted</t>
  </si>
  <si>
    <t xml:space="preserve">20-IPB-002</t>
  </si>
  <si>
    <t xml:space="preserve">GT IPB tap to UAT-1</t>
  </si>
  <si>
    <t xml:space="preserve">20-IPB-003</t>
  </si>
  <si>
    <t xml:space="preserve">ST generator main IPB to GSU-ST LV</t>
  </si>
  <si>
    <t xml:space="preserve">IPB-ST</t>
  </si>
  <si>
    <t xml:space="preserve">20-IPB-004</t>
  </si>
  <si>
    <t xml:space="preserve">ST IPB tap to UAT-2</t>
  </si>
  <si>
    <t xml:space="preserve">20-MV-001</t>
  </si>
  <si>
    <t xml:space="preserve">GT generator neutral to NGR</t>
  </si>
  <si>
    <t xml:space="preserve">LOCAL</t>
  </si>
  <si>
    <t xml:space="preserve">Neutral - fault current limited by NGR</t>
  </si>
  <si>
    <t xml:space="preserve">20-MV-002</t>
  </si>
  <si>
    <t xml:space="preserve">ST generator neutral to NGR</t>
  </si>
  <si>
    <t xml:space="preserve">70-MV-001</t>
  </si>
  <si>
    <t xml:space="preserve">UAT-1 to 13.8 kV main switchgear incomer</t>
  </si>
  <si>
    <t xml:space="preserve">DB-03</t>
  </si>
  <si>
    <t xml:space="preserve">Transformer secondary - 4 triplexed sets</t>
  </si>
  <si>
    <t xml:space="preserve">70-MV-002</t>
  </si>
  <si>
    <t xml:space="preserve">UAT-2 to CCS 13.8 kV switchgear incomer</t>
  </si>
  <si>
    <t xml:space="preserve">TR-02</t>
  </si>
  <si>
    <t xml:space="preserve">Transformer secondary - 3 triplexed sets</t>
  </si>
  <si>
    <t xml:space="preserve">70-MV-003</t>
  </si>
  <si>
    <t xml:space="preserve">MVS-1 / MVS-CCS bus tie</t>
  </si>
  <si>
    <t xml:space="preserve">70-MV-004</t>
  </si>
  <si>
    <t xml:space="preserve">MVS-1 to GT LCI isolation transformer</t>
  </si>
  <si>
    <t xml:space="preserve">TR-01</t>
  </si>
  <si>
    <t xml:space="preserve">70-MV-005</t>
  </si>
  <si>
    <t xml:space="preserve">LCI output to GT generator (start-up)</t>
  </si>
  <si>
    <t xml:space="preserve">Variable frequency; LCI max output voltage assumed 6 kV</t>
  </si>
  <si>
    <t xml:space="preserve">70-MV-006</t>
  </si>
  <si>
    <t xml:space="preserve">Boiler feed pump A</t>
  </si>
  <si>
    <t xml:space="preserve">Motor: 125% FLC (NEC 430.22)</t>
  </si>
  <si>
    <t xml:space="preserve">70-MV-007</t>
  </si>
  <si>
    <t xml:space="preserve">Boiler feed pump B</t>
  </si>
  <si>
    <t xml:space="preserve">70-MV-008</t>
  </si>
  <si>
    <t xml:space="preserve">Condensate extraction pump A</t>
  </si>
  <si>
    <t xml:space="preserve">#2 AWG minimum for 15 kV / fault withstand</t>
  </si>
  <si>
    <t xml:space="preserve">70-MV-009</t>
  </si>
  <si>
    <t xml:space="preserve">Condensate extraction pump B</t>
  </si>
  <si>
    <t xml:space="preserve">70-MV-010</t>
  </si>
  <si>
    <t xml:space="preserve">Main LV transformer LVT-1</t>
  </si>
  <si>
    <t xml:space="preserve">70-MV-011</t>
  </si>
  <si>
    <t xml:space="preserve">ACC fan transformer LVT-ACC</t>
  </si>
  <si>
    <t xml:space="preserve">70-MV-012</t>
  </si>
  <si>
    <t xml:space="preserve">Gas station transformer LVT-GAS</t>
  </si>
  <si>
    <t xml:space="preserve">TR-03</t>
  </si>
  <si>
    <t xml:space="preserve">70-MV-013</t>
  </si>
  <si>
    <t xml:space="preserve">BOG compressor motor</t>
  </si>
  <si>
    <t xml:space="preserve">Class I Div 2 - MC-HL with listed Class I fittings (NEC 501.10)</t>
  </si>
  <si>
    <t xml:space="preserve">70-MV-014</t>
  </si>
  <si>
    <t xml:space="preserve">RICE black-start / island tie to MVS-1</t>
  </si>
  <si>
    <t xml:space="preserve">DB-02</t>
  </si>
  <si>
    <t xml:space="preserve">40-MV-001</t>
  </si>
  <si>
    <t xml:space="preserve">Flue gas booster fan</t>
  </si>
  <si>
    <t xml:space="preserve">TR-05</t>
  </si>
  <si>
    <t xml:space="preserve">Across-the-line start - check voltage dip</t>
  </si>
  <si>
    <t xml:space="preserve">40-MV-002</t>
  </si>
  <si>
    <t xml:space="preserve">CO2 compressor VFD line side</t>
  </si>
  <si>
    <t xml:space="preserve">Input transformer integral to VFD</t>
  </si>
  <si>
    <t xml:space="preserve">40-MV-010</t>
  </si>
  <si>
    <t xml:space="preserve">CO2 compressor VFD output to motor</t>
  </si>
  <si>
    <t xml:space="preserve">VFD output: shielded, symmetrical triplexed sets; confirm insulation for dv/dt with VFD vendor</t>
  </si>
  <si>
    <t xml:space="preserve">40-MV-003</t>
  </si>
  <si>
    <t xml:space="preserve">Lean amine pump A</t>
  </si>
  <si>
    <t xml:space="preserve">40-MV-004</t>
  </si>
  <si>
    <t xml:space="preserve">Lean amine pump B</t>
  </si>
  <si>
    <t xml:space="preserve">40-MV-005</t>
  </si>
  <si>
    <t xml:space="preserve">Rich amine pump A</t>
  </si>
  <si>
    <t xml:space="preserve">40-MV-006</t>
  </si>
  <si>
    <t xml:space="preserve">Rich amine pump B</t>
  </si>
  <si>
    <t xml:space="preserve">40-MV-007</t>
  </si>
  <si>
    <t xml:space="preserve">DCC circulation pump A</t>
  </si>
  <si>
    <t xml:space="preserve">40-MV-008</t>
  </si>
  <si>
    <t xml:space="preserve">DCC circulation pump B</t>
  </si>
  <si>
    <t xml:space="preserve">40-MV-009</t>
  </si>
  <si>
    <t xml:space="preserve">CCS LV transformer LVT-CCS</t>
  </si>
  <si>
    <t xml:space="preserve">50-MV-001</t>
  </si>
  <si>
    <t xml:space="preserve">Genset 1 to collector switchgear</t>
  </si>
  <si>
    <t xml:space="preserve">TR-04</t>
  </si>
  <si>
    <t xml:space="preserve">Generator: 115% (NEC 445.13); load in kVA</t>
  </si>
  <si>
    <t xml:space="preserve">50-MV-002</t>
  </si>
  <si>
    <t xml:space="preserve">Genset 2 to collector switchgear</t>
  </si>
  <si>
    <t xml:space="preserve">50-MV-003</t>
  </si>
  <si>
    <t xml:space="preserve">Genset 3 to collector switchgear</t>
  </si>
  <si>
    <t xml:space="preserve">50-MV-004</t>
  </si>
  <si>
    <t xml:space="preserve">Genset 4 to collector switchgear</t>
  </si>
  <si>
    <t xml:space="preserve">50-MV-005</t>
  </si>
  <si>
    <t xml:space="preserve">Genset 5 to collector switchgear</t>
  </si>
  <si>
    <t xml:space="preserve">50-MV-006</t>
  </si>
  <si>
    <t xml:space="preserve">Genset 6 to collector switchgear</t>
  </si>
  <si>
    <t xml:space="preserve">50-MV-007</t>
  </si>
  <si>
    <t xml:space="preserve">Genset 7 to collector switchgear</t>
  </si>
  <si>
    <t xml:space="preserve">50-MV-008</t>
  </si>
  <si>
    <t xml:space="preserve">Genset 8 to collector switchgear</t>
  </si>
  <si>
    <t xml:space="preserve">50-MV-009</t>
  </si>
  <si>
    <t xml:space="preserve">Collector switchgear to RICE step-up transformer LV</t>
  </si>
  <si>
    <t xml:space="preserve">2 triplexed sets</t>
  </si>
  <si>
    <t xml:space="preserve">50-MV-010</t>
  </si>
  <si>
    <t xml:space="preserve">RICE auxiliary transformer LVT-RICE</t>
  </si>
  <si>
    <t xml:space="preserve">70-BD-001</t>
  </si>
  <si>
    <t xml:space="preserve">LVT-1 to PMCC-1 main</t>
  </si>
  <si>
    <t xml:space="preserve">BD</t>
  </si>
  <si>
    <t xml:space="preserve">30-BD-001</t>
  </si>
  <si>
    <t xml:space="preserve">LVT-ACC to ACC VFD switchboard</t>
  </si>
  <si>
    <t xml:space="preserve">60-BD-001</t>
  </si>
  <si>
    <t xml:space="preserve">LVT-GAS to gas station MCC</t>
  </si>
  <si>
    <t xml:space="preserve">40-BD-001</t>
  </si>
  <si>
    <t xml:space="preserve">LVT-CCS to PMCC-CCS</t>
  </si>
  <si>
    <t xml:space="preserve">50-BD-001</t>
  </si>
  <si>
    <t xml:space="preserve">LVT-RICE to RICE MCC</t>
  </si>
  <si>
    <t xml:space="preserve">70-LV-001</t>
  </si>
  <si>
    <t xml:space="preserve">PMCC-1 to GT auxiliary MCC</t>
  </si>
  <si>
    <t xml:space="preserve">Load in kVA; 125% continuous (NEC 215.2)</t>
  </si>
  <si>
    <t xml:space="preserve">70-LV-002</t>
  </si>
  <si>
    <t xml:space="preserve">PMCC-1 to HRSG auxiliary MCC</t>
  </si>
  <si>
    <t xml:space="preserve">70-LV-003</t>
  </si>
  <si>
    <t xml:space="preserve">PMCC-1 to ST auxiliary MCC</t>
  </si>
  <si>
    <t xml:space="preserve">70-LV-004</t>
  </si>
  <si>
    <t xml:space="preserve">PMCC-1 to UPS-1 rectifier</t>
  </si>
  <si>
    <t xml:space="preserve">70-LV-005</t>
  </si>
  <si>
    <t xml:space="preserve">PMCC-1 to 125 V DC chargers</t>
  </si>
  <si>
    <t xml:space="preserve">70-LV-006</t>
  </si>
  <si>
    <t xml:space="preserve">PMCC-1 to switchyard relay bldg panelboard</t>
  </si>
  <si>
    <t xml:space="preserve">DB-01</t>
  </si>
  <si>
    <t xml:space="preserve">Relay bldg has its own 125 V DC battery</t>
  </si>
  <si>
    <t xml:space="preserve">70-LV-007</t>
  </si>
  <si>
    <t xml:space="preserve">PMCC-1 to CEMS shelter</t>
  </si>
  <si>
    <t xml:space="preserve">20-LV-001</t>
  </si>
  <si>
    <t xml:space="preserve">GT AC lube oil pump</t>
  </si>
  <si>
    <t xml:space="preserve">20-LV-002</t>
  </si>
  <si>
    <t xml:space="preserve">GT enclosure vent fan A</t>
  </si>
  <si>
    <t xml:space="preserve">20-LV-003</t>
  </si>
  <si>
    <t xml:space="preserve">GT enclosure vent fan B</t>
  </si>
  <si>
    <t xml:space="preserve">20-LV-004</t>
  </si>
  <si>
    <t xml:space="preserve">HRSG recirculation pump</t>
  </si>
  <si>
    <t xml:space="preserve">20-LV-005</t>
  </si>
  <si>
    <t xml:space="preserve">ST turning gear</t>
  </si>
  <si>
    <t xml:space="preserve">20-LV-006</t>
  </si>
  <si>
    <t xml:space="preserve">ST AC lube oil pump</t>
  </si>
  <si>
    <t xml:space="preserve">30-LV-001</t>
  </si>
  <si>
    <t xml:space="preserve">ACC fan 01 VFD output to local disconnect</t>
  </si>
  <si>
    <t xml:space="preserve">TR-06</t>
  </si>
  <si>
    <t xml:space="preserve">Armor-X type VFD cable, symmetrical grounds</t>
  </si>
  <si>
    <t xml:space="preserve">30-LV-002</t>
  </si>
  <si>
    <t xml:space="preserve">ACC fan 02 VFD output to local disconnect</t>
  </si>
  <si>
    <t xml:space="preserve">30-LV-003</t>
  </si>
  <si>
    <t xml:space="preserve">ACC fan 03 VFD output to local disconnect</t>
  </si>
  <si>
    <t xml:space="preserve">30-LV-004</t>
  </si>
  <si>
    <t xml:space="preserve">ACC fan 04 VFD output to local disconnect</t>
  </si>
  <si>
    <t xml:space="preserve">30-LV-005</t>
  </si>
  <si>
    <t xml:space="preserve">ACC fan 05 VFD output to local disconnect</t>
  </si>
  <si>
    <t xml:space="preserve">30-LV-006</t>
  </si>
  <si>
    <t xml:space="preserve">ACC fan 06 VFD output to local disconnect</t>
  </si>
  <si>
    <t xml:space="preserve">30-LV-007</t>
  </si>
  <si>
    <t xml:space="preserve">ACC fan 07 VFD output to local disconnect</t>
  </si>
  <si>
    <t xml:space="preserve">30-LV-008</t>
  </si>
  <si>
    <t xml:space="preserve">ACC fan 08 VFD output to local disconnect</t>
  </si>
  <si>
    <t xml:space="preserve">30-LV-009</t>
  </si>
  <si>
    <t xml:space="preserve">ACC fan 09 VFD output to local disconnect</t>
  </si>
  <si>
    <t xml:space="preserve">30-LV-010</t>
  </si>
  <si>
    <t xml:space="preserve">ACC fan 10 VFD output to local disconnect</t>
  </si>
  <si>
    <t xml:space="preserve">30-LV-011</t>
  </si>
  <si>
    <t xml:space="preserve">ACC fan 11 VFD output to local disconnect</t>
  </si>
  <si>
    <t xml:space="preserve">30-LV-012</t>
  </si>
  <si>
    <t xml:space="preserve">ACC fan 12 VFD output to local disconnect</t>
  </si>
  <si>
    <t xml:space="preserve">30-LV-013</t>
  </si>
  <si>
    <t xml:space="preserve">ACC fan 13 VFD output to local disconnect</t>
  </si>
  <si>
    <t xml:space="preserve">30-LV-014</t>
  </si>
  <si>
    <t xml:space="preserve">ACC fan 14 VFD output to local disconnect</t>
  </si>
  <si>
    <t xml:space="preserve">30-LV-015</t>
  </si>
  <si>
    <t xml:space="preserve">ACC fan 15 VFD output to local disconnect</t>
  </si>
  <si>
    <t xml:space="preserve">30-LV-016</t>
  </si>
  <si>
    <t xml:space="preserve">ACC fan 01 disconnect to motor (flexible final drop)</t>
  </si>
  <si>
    <t xml:space="preserve">Machine Flex type TC-ER VFD cable for vibration; 360 deg shield termination glands</t>
  </si>
  <si>
    <t xml:space="preserve">30-LV-017</t>
  </si>
  <si>
    <t xml:space="preserve">ACC fan 02 disconnect to motor (flexible final drop)</t>
  </si>
  <si>
    <t xml:space="preserve">30-LV-018</t>
  </si>
  <si>
    <t xml:space="preserve">ACC fan 03 disconnect to motor (flexible final drop)</t>
  </si>
  <si>
    <t xml:space="preserve">30-LV-019</t>
  </si>
  <si>
    <t xml:space="preserve">ACC fan 04 disconnect to motor (flexible final drop)</t>
  </si>
  <si>
    <t xml:space="preserve">30-LV-020</t>
  </si>
  <si>
    <t xml:space="preserve">ACC fan 05 disconnect to motor (flexible final drop)</t>
  </si>
  <si>
    <t xml:space="preserve">30-LV-021</t>
  </si>
  <si>
    <t xml:space="preserve">ACC fan 06 disconnect to motor (flexible final drop)</t>
  </si>
  <si>
    <t xml:space="preserve">30-LV-022</t>
  </si>
  <si>
    <t xml:space="preserve">ACC fan 07 disconnect to motor (flexible final drop)</t>
  </si>
  <si>
    <t xml:space="preserve">30-LV-023</t>
  </si>
  <si>
    <t xml:space="preserve">ACC fan 08 disconnect to motor (flexible final drop)</t>
  </si>
  <si>
    <t xml:space="preserve">30-LV-024</t>
  </si>
  <si>
    <t xml:space="preserve">ACC fan 09 disconnect to motor (flexible final drop)</t>
  </si>
  <si>
    <t xml:space="preserve">30-LV-025</t>
  </si>
  <si>
    <t xml:space="preserve">ACC fan 10 disconnect to motor (flexible final drop)</t>
  </si>
  <si>
    <t xml:space="preserve">30-LV-026</t>
  </si>
  <si>
    <t xml:space="preserve">ACC fan 11 disconnect to motor (flexible final drop)</t>
  </si>
  <si>
    <t xml:space="preserve">30-LV-027</t>
  </si>
  <si>
    <t xml:space="preserve">ACC fan 12 disconnect to motor (flexible final drop)</t>
  </si>
  <si>
    <t xml:space="preserve">30-LV-028</t>
  </si>
  <si>
    <t xml:space="preserve">ACC fan 13 disconnect to motor (flexible final drop)</t>
  </si>
  <si>
    <t xml:space="preserve">30-LV-029</t>
  </si>
  <si>
    <t xml:space="preserve">ACC fan 14 disconnect to motor (flexible final drop)</t>
  </si>
  <si>
    <t xml:space="preserve">30-LV-030</t>
  </si>
  <si>
    <t xml:space="preserve">ACC fan 15 disconnect to motor (flexible final drop)</t>
  </si>
  <si>
    <t xml:space="preserve">40-LV-001</t>
  </si>
  <si>
    <t xml:space="preserve">Reboiler condensate pump A</t>
  </si>
  <si>
    <t xml:space="preserve">40-LV-002</t>
  </si>
  <si>
    <t xml:space="preserve">CO2 dehydration package</t>
  </si>
  <si>
    <t xml:space="preserve">40-LV-003</t>
  </si>
  <si>
    <t xml:space="preserve">CO2 fiscal meter skid</t>
  </si>
  <si>
    <t xml:space="preserve">50-LV-001</t>
  </si>
  <si>
    <t xml:space="preserve">Genset 1 auxiliaries</t>
  </si>
  <si>
    <t xml:space="preserve">50-LV-002</t>
  </si>
  <si>
    <t xml:space="preserve">Genset 2 auxiliaries</t>
  </si>
  <si>
    <t xml:space="preserve">50-LV-003</t>
  </si>
  <si>
    <t xml:space="preserve">Genset 3 auxiliaries</t>
  </si>
  <si>
    <t xml:space="preserve">50-LV-004</t>
  </si>
  <si>
    <t xml:space="preserve">Genset 4 auxiliaries</t>
  </si>
  <si>
    <t xml:space="preserve">50-LV-005</t>
  </si>
  <si>
    <t xml:space="preserve">Genset 5 auxiliaries</t>
  </si>
  <si>
    <t xml:space="preserve">50-LV-006</t>
  </si>
  <si>
    <t xml:space="preserve">Genset 6 auxiliaries</t>
  </si>
  <si>
    <t xml:space="preserve">50-LV-007</t>
  </si>
  <si>
    <t xml:space="preserve">Genset 7 auxiliaries</t>
  </si>
  <si>
    <t xml:space="preserve">50-LV-008</t>
  </si>
  <si>
    <t xml:space="preserve">Genset 8 auxiliaries</t>
  </si>
  <si>
    <t xml:space="preserve">60-LV-001</t>
  </si>
  <si>
    <t xml:space="preserve">Fuel gas electric heater H-101</t>
  </si>
  <si>
    <t xml:space="preserve">TR-07</t>
  </si>
  <si>
    <t xml:space="preserve">60-LV-002</t>
  </si>
  <si>
    <t xml:space="preserve">LNG in-tank pump 1</t>
  </si>
  <si>
    <t xml:space="preserve">Class I Div 1 at tank roof - MC-HL with listed Class I fittings (NEC 501.10)</t>
  </si>
  <si>
    <t xml:space="preserve">60-LV-003</t>
  </si>
  <si>
    <t xml:space="preserve">LNG in-tank pump 2</t>
  </si>
  <si>
    <t xml:space="preserve">60-LV-004</t>
  </si>
  <si>
    <t xml:space="preserve">LNG area heat tracing / lighting panel</t>
  </si>
  <si>
    <t xml:space="preserve">60-LV-005</t>
  </si>
  <si>
    <t xml:space="preserve">Inlet ESD valve hydraulic power unit</t>
  </si>
  <si>
    <t xml:space="preserve">60-LV-006</t>
  </si>
  <si>
    <t xml:space="preserve">Gas chromatograph supply (120 V)</t>
  </si>
  <si>
    <t xml:space="preserve">70-DC-001</t>
  </si>
  <si>
    <t xml:space="preserve">GT DC emergency lube oil pump</t>
  </si>
  <si>
    <t xml:space="preserve">DC</t>
  </si>
  <si>
    <t xml:space="preserve">Circuit integrity (CI) cable to be considered</t>
  </si>
  <si>
    <t xml:space="preserve">70-DC-002</t>
  </si>
  <si>
    <t xml:space="preserve">ST DC emergency lube oil pump</t>
  </si>
  <si>
    <t xml:space="preserve">70-DC-003</t>
  </si>
  <si>
    <t xml:space="preserve">125 V DC trip / closing supply to MVS-1</t>
  </si>
  <si>
    <t xml:space="preserve">70-DC-004</t>
  </si>
  <si>
    <t xml:space="preserve">125 V DC to GT control / PEECC</t>
  </si>
  <si>
    <t xml:space="preserve">70-UP-001</t>
  </si>
  <si>
    <t xml:space="preserve">UPS to DCS servers / CCR (208 V 1-ph)</t>
  </si>
  <si>
    <t xml:space="preserve">70-UP-002</t>
  </si>
  <si>
    <t xml:space="preserve">UPS to GT control panel (208 V 1-ph)</t>
  </si>
  <si>
    <t xml:space="preserve">70-UP-003</t>
  </si>
  <si>
    <t xml:space="preserve">UPS to ST control panel (208 V 1-ph)</t>
  </si>
  <si>
    <t xml:space="preserve">70-UP-004</t>
  </si>
  <si>
    <t xml:space="preserve">UPS to power block RIO (208 V 1-ph)</t>
  </si>
  <si>
    <t xml:space="preserve">70-UP-005</t>
  </si>
  <si>
    <t xml:space="preserve">UPS to CCS RIO (208 V 1-ph)</t>
  </si>
  <si>
    <t xml:space="preserve">70-UP-006</t>
  </si>
  <si>
    <t xml:space="preserve">UPS to gas station RIO / flow computer (208 V 1-ph)</t>
  </si>
  <si>
    <t xml:space="preserve">10-CT-001</t>
  </si>
  <si>
    <t xml:space="preserve">Bay 1 breaker / disconnect switch control &amp; status</t>
  </si>
  <si>
    <t xml:space="preserve">TR-08</t>
  </si>
  <si>
    <t xml:space="preserve">10-CT-002</t>
  </si>
  <si>
    <t xml:space="preserve">Bay 1 CT / CCVT secondaries</t>
  </si>
  <si>
    <t xml:space="preserve">Check CT burden</t>
  </si>
  <si>
    <t xml:space="preserve">10-CT-003</t>
  </si>
  <si>
    <t xml:space="preserve">Bay 2 breaker / disconnect switch control &amp; status</t>
  </si>
  <si>
    <t xml:space="preserve">10-CT-004</t>
  </si>
  <si>
    <t xml:space="preserve">Bay 2 CT / CCVT secondaries</t>
  </si>
  <si>
    <t xml:space="preserve">10-CT-005</t>
  </si>
  <si>
    <t xml:space="preserve">Bay 3 breaker / disconnect switch control &amp; status</t>
  </si>
  <si>
    <t xml:space="preserve">10-CT-006</t>
  </si>
  <si>
    <t xml:space="preserve">Bay 3 CT / CCVT secondaries</t>
  </si>
  <si>
    <t xml:space="preserve">10-CT-007</t>
  </si>
  <si>
    <t xml:space="preserve">Bay 4 breaker / disconnect switch control &amp; status</t>
  </si>
  <si>
    <t xml:space="preserve">10-CT-008</t>
  </si>
  <si>
    <t xml:space="preserve">Bay 4 CT / CCVT secondaries</t>
  </si>
  <si>
    <t xml:space="preserve">20-CT-001</t>
  </si>
  <si>
    <t xml:space="preserve">GSU-GT protection: CTs, sudden pressure, WTI/OTI, LTC</t>
  </si>
  <si>
    <t xml:space="preserve">20-CT-002</t>
  </si>
  <si>
    <t xml:space="preserve">GSU-GT alarms / cooling control</t>
  </si>
  <si>
    <t xml:space="preserve">20-CT-003</t>
  </si>
  <si>
    <t xml:space="preserve">GSU-ST protection: CTs, sudden pressure, WTI/OTI, LTC</t>
  </si>
  <si>
    <t xml:space="preserve">20-CT-004</t>
  </si>
  <si>
    <t xml:space="preserve">GSU-ST alarms / cooling control</t>
  </si>
  <si>
    <t xml:space="preserve">20-CT-005</t>
  </si>
  <si>
    <t xml:space="preserve">UAT-1 protection &amp; alarms</t>
  </si>
  <si>
    <t xml:space="preserve">20-CT-006</t>
  </si>
  <si>
    <t xml:space="preserve">UAT-2 protection &amp; alarms</t>
  </si>
  <si>
    <t xml:space="preserve">20-CT-007</t>
  </si>
  <si>
    <t xml:space="preserve">GT generator CT / VT secondaries</t>
  </si>
  <si>
    <t xml:space="preserve">20-CT-008</t>
  </si>
  <si>
    <t xml:space="preserve">ST generator CT / VT secondaries</t>
  </si>
  <si>
    <t xml:space="preserve">50-CT-001</t>
  </si>
  <si>
    <t xml:space="preserve">RICE transformer protection &amp; alarms</t>
  </si>
  <si>
    <t xml:space="preserve">70-CT-001</t>
  </si>
  <si>
    <t xml:space="preserve">MVS-1 hardwired interface to DCS</t>
  </si>
  <si>
    <t xml:space="preserve">20-CT-009</t>
  </si>
  <si>
    <t xml:space="preserve">GT control to GT aux MCC</t>
  </si>
  <si>
    <t xml:space="preserve">20-CT-010</t>
  </si>
  <si>
    <t xml:space="preserve">GT control to LCI</t>
  </si>
  <si>
    <t xml:space="preserve">60-CT-001</t>
  </si>
  <si>
    <t xml:space="preserve">Inlet ESD valve solenoids and limit switches</t>
  </si>
  <si>
    <t xml:space="preserve">40-CT-001</t>
  </si>
  <si>
    <t xml:space="preserve">CO2 compressor UCP to VFD / CCS switchgear</t>
  </si>
  <si>
    <t xml:space="preserve">10-FO-001</t>
  </si>
  <si>
    <t xml:space="preserve">Switchyard relay bldg to DCS / SCADA</t>
  </si>
  <si>
    <t xml:space="preserve">Diverse routes recommended</t>
  </si>
  <si>
    <t xml:space="preserve">10-FO-002</t>
  </si>
  <si>
    <t xml:space="preserve">Generator protection intertrip to switchyard</t>
  </si>
  <si>
    <t xml:space="preserve">20-FO-001</t>
  </si>
  <si>
    <t xml:space="preserve">GT control to DCS</t>
  </si>
  <si>
    <t xml:space="preserve">Redundant pair</t>
  </si>
  <si>
    <t xml:space="preserve">20-FO-002</t>
  </si>
  <si>
    <t xml:space="preserve">ST control to DCS</t>
  </si>
  <si>
    <t xml:space="preserve">20-FO-003</t>
  </si>
  <si>
    <t xml:space="preserve">Power block RIO to DCS</t>
  </si>
  <si>
    <t xml:space="preserve">20-FO-004</t>
  </si>
  <si>
    <t xml:space="preserve">CEMS shelter to DCS</t>
  </si>
  <si>
    <t xml:space="preserve">30-FO-001</t>
  </si>
  <si>
    <t xml:space="preserve">ACC VFD switchroom to DCS</t>
  </si>
  <si>
    <t xml:space="preserve">40-FO-001</t>
  </si>
  <si>
    <t xml:space="preserve">CCS RIO to DCS</t>
  </si>
  <si>
    <t xml:space="preserve">40-FO-002</t>
  </si>
  <si>
    <t xml:space="preserve">CO2 compressor UCP to CCS RIO</t>
  </si>
  <si>
    <t xml:space="preserve">50-FO-001</t>
  </si>
  <si>
    <t xml:space="preserve">RICE plant controller to DCS</t>
  </si>
  <si>
    <t xml:space="preserve">60-FO-001</t>
  </si>
  <si>
    <t xml:space="preserve">Gas station RIO to DCS</t>
  </si>
  <si>
    <t xml:space="preserve">50-CT-002</t>
  </si>
  <si>
    <t xml:space="preserve">Genset 1 control / sync / protection to RPC</t>
  </si>
  <si>
    <t xml:space="preserve">Plus genset LAN on fiber by vendor</t>
  </si>
  <si>
    <t xml:space="preserve">50-CT-003</t>
  </si>
  <si>
    <t xml:space="preserve">Genset 2 control / sync / protection to RPC</t>
  </si>
  <si>
    <t xml:space="preserve">50-CT-004</t>
  </si>
  <si>
    <t xml:space="preserve">Genset 3 control / sync / protection to RPC</t>
  </si>
  <si>
    <t xml:space="preserve">50-CT-005</t>
  </si>
  <si>
    <t xml:space="preserve">Genset 4 control / sync / protection to RPC</t>
  </si>
  <si>
    <t xml:space="preserve">50-CT-006</t>
  </si>
  <si>
    <t xml:space="preserve">Genset 5 control / sync / protection to RPC</t>
  </si>
  <si>
    <t xml:space="preserve">50-CT-007</t>
  </si>
  <si>
    <t xml:space="preserve">Genset 6 control / sync / protection to RPC</t>
  </si>
  <si>
    <t xml:space="preserve">50-CT-008</t>
  </si>
  <si>
    <t xml:space="preserve">Genset 7 control / sync / protection to RPC</t>
  </si>
  <si>
    <t xml:space="preserve">50-CT-009</t>
  </si>
  <si>
    <t xml:space="preserve">Genset 8 control / sync / protection to RPC</t>
  </si>
  <si>
    <t xml:space="preserve">60-IN-001</t>
  </si>
  <si>
    <t xml:space="preserve">Ultrasonic meter A to flow computer</t>
  </si>
  <si>
    <t xml:space="preserve">Custody transfer; intrinsically safe</t>
  </si>
  <si>
    <t xml:space="preserve">60-IN-002</t>
  </si>
  <si>
    <t xml:space="preserve">Ultrasonic meter B to flow computer</t>
  </si>
  <si>
    <t xml:space="preserve">60-IN-003</t>
  </si>
  <si>
    <t xml:space="preserve">Ultrasonic meter C to flow computer</t>
  </si>
  <si>
    <t xml:space="preserve">60-IN-004</t>
  </si>
  <si>
    <t xml:space="preserve">Gas chromatograph to flow computer (Modbus)</t>
  </si>
  <si>
    <t xml:space="preserve">60-IN-005</t>
  </si>
  <si>
    <t xml:space="preserve">Flow computer to gas station RIO (Modbus)</t>
  </si>
  <si>
    <t xml:space="preserve">60-IN-006</t>
  </si>
  <si>
    <t xml:space="preserve">Gas station JB (PT/TT/DPT) to RIO</t>
  </si>
  <si>
    <t xml:space="preserve">Intrinsically safe</t>
  </si>
  <si>
    <t xml:space="preserve">60-IN-007</t>
  </si>
  <si>
    <t xml:space="preserve">Pressure regulator position / PT to JB</t>
  </si>
  <si>
    <t xml:space="preserve">60-IN-008</t>
  </si>
  <si>
    <t xml:space="preserve">LNG tank gauging to RIO</t>
  </si>
  <si>
    <t xml:space="preserve">60-IN-009</t>
  </si>
  <si>
    <t xml:space="preserve">LNG area JB to RIO</t>
  </si>
  <si>
    <t xml:space="preserve">20-IN-001</t>
  </si>
  <si>
    <t xml:space="preserve">GT exhaust thermocouples to GT control</t>
  </si>
  <si>
    <t xml:space="preserve">20-IN-002</t>
  </si>
  <si>
    <t xml:space="preserve">HRSG drum JB to power block RIO</t>
  </si>
  <si>
    <t xml:space="preserve">20-IN-003</t>
  </si>
  <si>
    <t xml:space="preserve">CEMS probe to analyser shelter</t>
  </si>
  <si>
    <t xml:space="preserve">Heated sample line by vendor</t>
  </si>
  <si>
    <t xml:space="preserve">30-IN-001</t>
  </si>
  <si>
    <t xml:space="preserve">ACC JB to power block RIO</t>
  </si>
  <si>
    <t xml:space="preserve">40-IN-001</t>
  </si>
  <si>
    <t xml:space="preserve">Absorber JB to CCS RIO</t>
  </si>
  <si>
    <t xml:space="preserve">40-IN-002</t>
  </si>
  <si>
    <t xml:space="preserve">Stripper JB to CCS RIO</t>
  </si>
  <si>
    <t xml:space="preserve">40-IN-003</t>
  </si>
  <si>
    <t xml:space="preserve">CO2 fiscal meter to CCS RIO (Modbus)</t>
  </si>
  <si>
    <t xml:space="preserve">70-FG-001</t>
  </si>
  <si>
    <t xml:space="preserve">F&amp;G loop: gas station / LNG detectors</t>
  </si>
  <si>
    <t xml:space="preserve">Circuit integrity (CI) rated</t>
  </si>
  <si>
    <t xml:space="preserve">70-FG-002</t>
  </si>
  <si>
    <t xml:space="preserve">F&amp;G loop: GT enclosure detectors</t>
  </si>
  <si>
    <t xml:space="preserve">70-FG-003</t>
  </si>
  <si>
    <t xml:space="preserve">F&amp;G loop: CCS area detectors</t>
  </si>
  <si>
    <t xml:space="preserve">20-EG-001</t>
  </si>
  <si>
    <t xml:space="preserve">Power block main ground grid (mesh)</t>
  </si>
  <si>
    <t xml:space="preserve">EG</t>
  </si>
  <si>
    <t xml:space="preserve">Length estimate - confirm by IEEE 80 study</t>
  </si>
  <si>
    <t xml:space="preserve">10-EG-001</t>
  </si>
  <si>
    <t xml:space="preserve">Switchyard ground grid (mesh)</t>
  </si>
  <si>
    <t xml:space="preserve">40-EG-001</t>
  </si>
  <si>
    <t xml:space="preserve">CCS area ground grid (mesh)</t>
  </si>
  <si>
    <t xml:space="preserve">Length estimate</t>
  </si>
  <si>
    <t xml:space="preserve">60-EG-001</t>
  </si>
  <si>
    <t xml:space="preserve">Gas / LNG area ground grid (mesh)</t>
  </si>
  <si>
    <t xml:space="preserve">50-EG-001</t>
  </si>
  <si>
    <t xml:space="preserve">RICE area ground grid (mesh)</t>
  </si>
  <si>
    <t xml:space="preserve">10-EG-002</t>
  </si>
  <si>
    <t xml:space="preserve">Interconnection power block grid - switchyard grid</t>
  </si>
  <si>
    <t xml:space="preserve">Two diverse connections</t>
  </si>
  <si>
    <t xml:space="preserve">50-EG-002</t>
  </si>
  <si>
    <t xml:space="preserve">Interconnection power block grid - RICE grid</t>
  </si>
  <si>
    <t xml:space="preserve">40-EG-002</t>
  </si>
  <si>
    <t xml:space="preserve">Interconnection power block grid - CCS grid</t>
  </si>
  <si>
    <t xml:space="preserve">60-EG-002</t>
  </si>
  <si>
    <t xml:space="preserve">Interconnection power block grid - gas/LNG grid</t>
  </si>
  <si>
    <t xml:space="preserve">Insulating joints on gas pipe - check cathodic protection</t>
  </si>
  <si>
    <t xml:space="preserve">20-EG-002</t>
  </si>
  <si>
    <t xml:space="preserve">GSU-GT tank and neutral bonds</t>
  </si>
  <si>
    <t xml:space="preserve">20-EG-003</t>
  </si>
  <si>
    <t xml:space="preserve">GSU-ST tank and neutral bonds</t>
  </si>
  <si>
    <t xml:space="preserve">20-EG-004</t>
  </si>
  <si>
    <t xml:space="preserve">Stack lightning down conductors</t>
  </si>
  <si>
    <t xml:space="preserve">40-EG-003</t>
  </si>
  <si>
    <t xml:space="preserve">Absorber column bonds</t>
  </si>
  <si>
    <t xml:space="preserve">60-EG-003</t>
  </si>
  <si>
    <t xml:space="preserve">LNG tank bonds</t>
  </si>
  <si>
    <t xml:space="preserve">Raceway ID</t>
  </si>
  <si>
    <t xml:space="preserve">Type</t>
  </si>
  <si>
    <t xml:space="preserve">Elevation (m)</t>
  </si>
  <si>
    <t xml:space="preserve">Width (mm)</t>
  </si>
  <si>
    <t xml:space="preserve">Usable depth (mm)</t>
  </si>
  <si>
    <t xml:space="preserve">Tiers</t>
  </si>
  <si>
    <t xml:space="preserve">Max fill</t>
  </si>
  <si>
    <t xml:space="preserve">Correction factor</t>
  </si>
  <si>
    <t xml:space="preserve">Capacity (mm2)</t>
  </si>
  <si>
    <t xml:space="preserve">Cable area used (mm2)</t>
  </si>
  <si>
    <t xml:space="preserve">Fill (% of max)</t>
  </si>
  <si>
    <t xml:space="preserve">Overhead strung conductors (switchyard / line)</t>
  </si>
  <si>
    <t xml:space="preserve">Overhead</t>
  </si>
  <si>
    <t xml:space="preserve">Isolated phase bus route GT generator -&gt; GSU / UAT-1</t>
  </si>
  <si>
    <t xml:space="preserve">Isolated phase bus route ST generator -&gt; GSU / UAT-2</t>
  </si>
  <si>
    <t xml:space="preserve">LV busduct, transformer to switchboard (local)</t>
  </si>
  <si>
    <t xml:space="preserve">Ladder tray: main electrical bldg -&gt; GT / HRSG (40,50 -&gt; 40,20 -&gt; 46,20)</t>
  </si>
  <si>
    <t xml:space="preserve">Tray</t>
  </si>
  <si>
    <t xml:space="preserve">Ladder tray: main electrical bldg -&gt; ACC -&gt; CCS (46,53 -&gt; 140,53 -&gt; 140,64 -&gt; 180,64 -&gt; 180,40)</t>
  </si>
  <si>
    <t xml:space="preserve">Ladder tray: main electrical bldg -&gt; gas station / LNG (40,50 -&gt; -4,50 -&gt; -4,14)</t>
  </si>
  <si>
    <t xml:space="preserve">Ladder tray: RICE gensets -&gt; collector e-house (4,70 -&gt; 4,104 -&gt; 12,104)</t>
  </si>
  <si>
    <t xml:space="preserve">Ladder tray: CCS internal (substation -&gt; absorber / stripper / compressor)</t>
  </si>
  <si>
    <t xml:space="preserve">Ladder tray: ACC VFD room -&gt; fan deck, 2 risers (east / west) x 600 mm, single layer for 500 kcmil (NEC 392.22)</t>
  </si>
  <si>
    <t xml:space="preserve">Ladder tray: gas station / LNG local</t>
  </si>
  <si>
    <t xml:space="preserve">Concrete cable trench: switchyard bays -&gt; relay building</t>
  </si>
  <si>
    <t xml:space="preserve">Trench</t>
  </si>
  <si>
    <t xml:space="preserve">Duct bank: main electrical bldg / transformer yard -&gt; switchyard relay bldg</t>
  </si>
  <si>
    <t xml:space="preserve">Duct bank</t>
  </si>
  <si>
    <t xml:space="preserve">Duct bank: RICE e-house -&gt; main electrical bldg</t>
  </si>
  <si>
    <t xml:space="preserve">Duct bank: UAT-1 -&gt; main 13.8 kV switchgear</t>
  </si>
  <si>
    <t xml:space="preserve">Local tray / conduit within a building or package</t>
  </si>
  <si>
    <t xml:space="preserve">Local</t>
  </si>
  <si>
    <t xml:space="preserve">Buried earth grid / bonding</t>
  </si>
  <si>
    <t xml:space="preserve">BILL OF QUANTITIES - CABLES, CONDUCTORS AND BUSWAY</t>
  </si>
  <si>
    <t xml:space="preserve">No. of circuits</t>
  </si>
  <si>
    <t xml:space="preserve">Schedule length (m)</t>
  </si>
  <si>
    <t xml:space="preserve">Incl. wastage (m)</t>
  </si>
  <si>
    <t xml:space="preserve">Incl. wastage (ft)</t>
  </si>
  <si>
    <t xml:space="preserve">Reel length (m)</t>
  </si>
  <si>
    <t xml:space="preserve">No. of reels</t>
  </si>
  <si>
    <t xml:space="preserve">Mass (t)</t>
  </si>
  <si>
    <t xml:space="preserve">TOTAL</t>
  </si>
  <si>
    <t xml:space="preserve">IPB lengths are per phase metre (3 per run); LV busway per metre; OHL lengths are conductor metres; triplexed MV sets count each 1/C cable.</t>
  </si>
  <si>
    <t xml:space="preserve">SUMMARY BY SYSTEM</t>
  </si>
  <si>
    <t xml:space="preserve">Conductor length (m)</t>
  </si>
  <si>
    <t xml:space="preserve">Conductor length (ft)</t>
  </si>
  <si>
    <t xml:space="preserve">Circuits OK</t>
  </si>
  <si>
    <t xml:space="preserve">Circuits CHECK</t>
  </si>
  <si>
    <t xml:space="preserve">Max loading</t>
  </si>
  <si>
    <t xml:space="preserve">Max volt drop</t>
  </si>
  <si>
    <t xml:space="preserve">PUBLIC REFERENCE DOCUMENTS</t>
  </si>
  <si>
    <t xml:space="preserve">These public documents were identified as references for typical plant arrangements. They were NOT opened or transcribed for this schedule: equipment positions come from the 3D model and ratings are representative values. Cable product pages are cited as examples of the MC-HL / CCW armor construction; sizes, ODs and masses in 'Cable Types' are typical values - confirm against the selected manufacturer's data sheets. Replace with project data before use.</t>
  </si>
  <si>
    <t xml:space="preserve">Topic</t>
  </si>
  <si>
    <t xml:space="preserve">Document</t>
  </si>
  <si>
    <t xml:space="preserve">URL</t>
  </si>
  <si>
    <t xml:space="preserve">CCPP + LNG + gas metering</t>
  </si>
  <si>
    <t xml:space="preserve">Shannon Technology &amp; Energy Park power plant - list of planning drawings (incl. gas metering / regulating enclosures)</t>
  </si>
  <si>
    <t xml:space="preserve">https://www.pleanala.ie/publicaccess/EIAR-NIS/319566/Shannon%20Technology%20and%20Energy%20Park%20(STEP)%20Power%20Plant/02_Planning%20Drawings/SLNG_PP_List%20of%20Planning_Drawings.pdf</t>
  </si>
  <si>
    <t xml:space="preserve">CCPP layout</t>
  </si>
  <si>
    <t xml:space="preserve">Shannon - Combined Cycle Power Plant general arrangement</t>
  </si>
  <si>
    <t xml:space="preserve">https://www.pleanala.ie/publicaccess/EIAR-NIS/311233/Drawings/Structures/198291-1GSU-G2001.pdf</t>
  </si>
  <si>
    <t xml:space="preserve">Tees CCPP - indicative generating station sheet 1</t>
  </si>
  <si>
    <t xml:space="preserve">https://infrastructure.planninginspectorate.gov.uk/wp-content/ipc/uploads/projects/EN010082/EN010082-000370-4.5%20-%20Tees%20CCPP%20-%20Indicative%20Generating%20Station%20Sheet%201%20-%20Rev%202.pdf</t>
  </si>
  <si>
    <t xml:space="preserve">ESC Brooke County CCGT air permit application (conceptual layout, App. A)</t>
  </si>
  <si>
    <t xml:space="preserve">https://dep.wv.gov/daq/Documents/December%202016%20Applications/033-00264_APPL_R14-0036.pdf</t>
  </si>
  <si>
    <t xml:space="preserve">Bechtel / Panda Sherman NGCC carbon capture FEED final report (OSTI)</t>
  </si>
  <si>
    <t xml:space="preserve">https://www.osti.gov/servlets/purl/1836563</t>
  </si>
  <si>
    <t xml:space="preserve">NETL - EPRI CalCapture (Elk Hills) NGCC CCS FEED</t>
  </si>
  <si>
    <t xml:space="preserve">https://netl.doe.gov/sites/default/files/netl-file/21CMOG_CCUS_Bhown.pdf</t>
  </si>
  <si>
    <t xml:space="preserve">NETL - Calpine Deer Park CCS FEED</t>
  </si>
  <si>
    <t xml:space="preserve">https://netl.doe.gov/sites/default/files/netl-file/23CM_PSCC28_Herman.pdf</t>
  </si>
  <si>
    <t xml:space="preserve">Gas metering</t>
  </si>
  <si>
    <t xml:space="preserve">Adams County CO - regulator station site plan submittal</t>
  </si>
  <si>
    <t xml:space="preserve">https://adcogov.org/sites/default/files/2024-05/RCU2024-00010-submittal1.pdf</t>
  </si>
  <si>
    <t xml:space="preserve">RICE</t>
  </si>
  <si>
    <t xml:space="preserve">KYMEA Energy Center (4 x Wartsila 18V50SG) - KY PSC case 2024-00290</t>
  </si>
  <si>
    <t xml:space="preserve">https://psc.ky.gov/pscecf/2024-00290/tosterloh@sturgillturner.com/10042024124833/07_Attachment_E_-_Public_Meeting_Information.pdf</t>
  </si>
  <si>
    <t xml:space="preserve">We Energies Paris RICE generation project</t>
  </si>
  <si>
    <t xml:space="preserve">https://www.we-energies.com/company/paris-generation-project</t>
  </si>
  <si>
    <t xml:space="preserve">Switchyard / SLD</t>
  </si>
  <si>
    <t xml:space="preserve">PJM facilities study - 1,100 MW combined cycle interconnection (one-lines)</t>
  </si>
  <si>
    <t xml:space="preserve">https://www.pjm.com/pjmfiles/pub/planning/project-queues/facilities/b03_fac.pdf</t>
  </si>
  <si>
    <t xml:space="preserve">Cable product</t>
  </si>
  <si>
    <t xml:space="preserve">Southwire SPEC 45352 - 600 V XLPE XHHW-2 Armor-X (MC-HL) power cable with ground</t>
  </si>
  <si>
    <t xml:space="preserve">https://cabletechsupport.southwire.com/tile/26/spec/45352/?country=US</t>
  </si>
  <si>
    <t xml:space="preserve">Southwire SPEC 45227 - 600 V XLPE XHHW-2 Armor-X (MC-HL) control cable with ground</t>
  </si>
  <si>
    <t xml:space="preserve">https://www.southwire.com/wire-cable/armored-power-cable/cu-600v-xlpe-xhhw-2-armor-x-pvc-control-cable-with-ground/p/55061899</t>
  </si>
  <si>
    <t xml:space="preserve">Southwire SPEC 45302 - 600/1000 V Armor-X VFD cable</t>
  </si>
  <si>
    <t xml:space="preserve">https://www.southwire.com/wire-cable/armored-power-cable/cu-600-1000v-xlpe-insulation-armor-x-sup-sup-thermoplastic-lszh-tp-jacket-xhhw-2-vfd-cable-ct-rated-sunlight-resistant-for-direct-burial-silicone-free/p/67267399</t>
  </si>
  <si>
    <t xml:space="preserve">Southwire SPEC 45443 - Machine Flex TC-ER 1000 V flexible VFD cable, 3 symmetrical grounds</t>
  </si>
  <si>
    <t xml:space="preserve">https://cabletechsupport.southwire.com/tile/1/spec/45443/?country=US</t>
  </si>
  <si>
    <t xml:space="preserve">Southwire SPEC 45442 - reduced diameter flexible VFD cable, Type TC-ER</t>
  </si>
  <si>
    <t xml:space="preserve">https://www.southwire.com/wire-cable/power-control/cu-600v-xlpe-insulation-shielded-tpe-jacket-xhhw-2-reduced-diameter-flexible-variable-frequency-drive-vfd-/p/SPEC45442</t>
  </si>
  <si>
    <t xml:space="preserve">SPP GEN-2008-006 facility study - 2-on-1 CCGT, 138 kV one-lines</t>
  </si>
  <si>
    <t xml:space="preserve">https://opsportal.spp.org/documents/studies/files/2008_Generation_Studies/GEN-2008-006FS.pdf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</si>
</sst>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%"/>
    <numFmt numFmtId="166" formatCode="0.0"/>
    <numFmt numFmtId="167" formatCode="0"/>
    <numFmt numFmtId="168" formatCode="0.00000"/>
    <numFmt numFmtId="169" formatCode="0.0%"/>
    <numFmt numFmtId="170" formatCode="0.000"/>
    <numFmt numFmtId="171" formatCode="#,##0"/>
    <numFmt numFmtId="172" formatCode="0.00"/>
    <numFmt numFmtId="173" formatCode="#,##0.0"/>
    <numFmt numFmtId="17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sz val="10"/>
      <name val="Arial"/>
      <family val="2"/>
    </font>
    <font>
      <i val="true"/>
      <sz val="8"/>
      <name val="Arial"/>
      <family val="0"/>
      <charset val="1"/>
    </font>
    <font>
      <i val="true"/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595959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F4B084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pleanala.ie/publicaccess/EIAR-NIS/319566/Shannon%20Technology%20and%20Energy%20Park%20(STEP)%20Power%20Plant/02_Planning%20Drawings/SLNG_PP_List%20of%20Planning_Drawings.pdf" TargetMode="External"/><Relationship Id="rId2" Type="http://schemas.openxmlformats.org/officeDocument/2006/relationships/hyperlink" Target="https://www.pleanala.ie/publicaccess/EIAR-NIS/311233/Drawings/Structures/198291-1GSU-G2001.pdf" TargetMode="External"/><Relationship Id="rId3" Type="http://schemas.openxmlformats.org/officeDocument/2006/relationships/hyperlink" Target="https://infrastructure.planninginspectorate.gov.uk/wp-content/ipc/uploads/projects/EN010082/EN010082-000370-4.5%20-%20Tees%20CCPP%20-%20Indicative%20Generating%20Station%20Sheet%201%20-%20Rev%202.pdf" TargetMode="External"/><Relationship Id="rId4" Type="http://schemas.openxmlformats.org/officeDocument/2006/relationships/hyperlink" Target="https://dep.wv.gov/daq/Documents/December%202016%20Applications/033-00264_APPL_R14-0036.pdf" TargetMode="External"/><Relationship Id="rId5" Type="http://schemas.openxmlformats.org/officeDocument/2006/relationships/hyperlink" Target="https://www.osti.gov/servlets/purl/1836563" TargetMode="External"/><Relationship Id="rId6" Type="http://schemas.openxmlformats.org/officeDocument/2006/relationships/hyperlink" Target="https://netl.doe.gov/sites/default/files/netl-file/21CMOG_CCUS_Bhown.pdf" TargetMode="External"/><Relationship Id="rId7" Type="http://schemas.openxmlformats.org/officeDocument/2006/relationships/hyperlink" Target="https://netl.doe.gov/sites/default/files/netl-file/23CM_PSCC28_Herman.pdf" TargetMode="External"/><Relationship Id="rId8" Type="http://schemas.openxmlformats.org/officeDocument/2006/relationships/hyperlink" Target="https://adcogov.org/sites/default/files/2024-05/RCU2024-00010-submittal1.pdf" TargetMode="External"/><Relationship Id="rId9" Type="http://schemas.openxmlformats.org/officeDocument/2006/relationships/hyperlink" Target="https://psc.ky.gov/pscecf/2024-00290/tosterloh@sturgillturner.com/10042024124833/07_Attachment_E_-_Public_Meeting_Information.pdf" TargetMode="External"/><Relationship Id="rId10" Type="http://schemas.openxmlformats.org/officeDocument/2006/relationships/hyperlink" Target="https://www.we-energies.com/company/paris-generation-project" TargetMode="External"/><Relationship Id="rId11" Type="http://schemas.openxmlformats.org/officeDocument/2006/relationships/hyperlink" Target="https://www.pjm.com/pjmfiles/pub/planning/project-queues/facilities/b03_fac.pdf" TargetMode="External"/><Relationship Id="rId12" Type="http://schemas.openxmlformats.org/officeDocument/2006/relationships/hyperlink" Target="https://cabletechsupport.southwire.com/tile/26/spec/45352/?country=US" TargetMode="External"/><Relationship Id="rId13" Type="http://schemas.openxmlformats.org/officeDocument/2006/relationships/hyperlink" Target="https://www.southwire.com/wire-cable/armored-power-cable/cu-600v-xlpe-xhhw-2-armor-x-pvc-control-cable-with-ground/p/55061899" TargetMode="External"/><Relationship Id="rId14" Type="http://schemas.openxmlformats.org/officeDocument/2006/relationships/hyperlink" Target="https://www.southwire.com/wire-cable/armored-power-cable/cu-600-1000v-xlpe-insulation-armor-x-sup-sup-thermoplastic-lszh-tp-jacket-xhhw-2-vfd-cable-ct-rated-sunlight-resistant-for-direct-burial-silicone-free/p/67267399" TargetMode="External"/><Relationship Id="rId15" Type="http://schemas.openxmlformats.org/officeDocument/2006/relationships/hyperlink" Target="https://cabletechsupport.southwire.com/tile/1/spec/45443/?country=US" TargetMode="External"/><Relationship Id="rId16" Type="http://schemas.openxmlformats.org/officeDocument/2006/relationships/hyperlink" Target="https://www.southwire.com/wire-cable/power-control/cu-600v-xlpe-insulation-shielded-tpe-jacket-xhhw-2-reduced-diameter-flexible-variable-frequency-drive-vfd-/p/SPEC45442" TargetMode="External"/><Relationship Id="rId17" Type="http://schemas.openxmlformats.org/officeDocument/2006/relationships/hyperlink" Target="https://opsportal.spp.org/documents/studies/files/2008_Generation_Studies/GEN-2008-006FS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22.3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22.35" hidden="false" customHeight="false" outlineLevel="0" collapsed="false">
      <c r="A7" s="3" t="s">
        <v>8</v>
      </c>
      <c r="B7" s="4" t="s">
        <v>9</v>
      </c>
    </row>
    <row r="8" customFormat="false" ht="22.35" hidden="false" customHeight="false" outlineLevel="0" collapsed="false">
      <c r="A8" s="3" t="s">
        <v>10</v>
      </c>
      <c r="B8" s="4" t="s">
        <v>11</v>
      </c>
    </row>
    <row r="9" customFormat="false" ht="43.2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 t="s">
        <v>14</v>
      </c>
    </row>
    <row r="12" customFormat="false" ht="15" hidden="false" customHeight="false" outlineLevel="0" collapsed="false">
      <c r="A12" s="3" t="s">
        <v>15</v>
      </c>
      <c r="B12" s="4" t="s">
        <v>16</v>
      </c>
    </row>
    <row r="13" customFormat="false" ht="15" hidden="false" customHeight="false" outlineLevel="0" collapsed="false">
      <c r="A13" s="3" t="s">
        <v>17</v>
      </c>
      <c r="B13" s="4" t="s">
        <v>18</v>
      </c>
    </row>
    <row r="14" customFormat="false" ht="15" hidden="false" customHeight="false" outlineLevel="0" collapsed="false">
      <c r="A14" s="3" t="s">
        <v>19</v>
      </c>
      <c r="B14" s="4" t="s">
        <v>20</v>
      </c>
    </row>
    <row r="15" customFormat="false" ht="15" hidden="false" customHeight="false" outlineLevel="0" collapsed="false">
      <c r="A15" s="3" t="s">
        <v>21</v>
      </c>
      <c r="B15" s="4" t="s">
        <v>22</v>
      </c>
    </row>
    <row r="16" customFormat="false" ht="15" hidden="false" customHeight="false" outlineLevel="0" collapsed="false">
      <c r="A16" s="3" t="s">
        <v>23</v>
      </c>
      <c r="B16" s="4" t="s">
        <v>24</v>
      </c>
    </row>
    <row r="17" customFormat="false" ht="15" hidden="false" customHeight="false" outlineLevel="0" collapsed="false">
      <c r="A17" s="3" t="s">
        <v>25</v>
      </c>
      <c r="B17" s="4" t="s">
        <v>26</v>
      </c>
    </row>
    <row r="18" customFormat="false" ht="15" hidden="false" customHeight="false" outlineLevel="0" collapsed="false">
      <c r="A18" s="3" t="s">
        <v>27</v>
      </c>
      <c r="B18" s="4" t="s">
        <v>28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3" t="s">
        <v>29</v>
      </c>
    </row>
    <row r="21" customFormat="false" ht="15" hidden="false" customHeight="false" outlineLevel="0" collapsed="false">
      <c r="A21" s="5" t="s">
        <v>30</v>
      </c>
      <c r="B21" s="4" t="s">
        <v>31</v>
      </c>
    </row>
    <row r="22" customFormat="false" ht="15" hidden="false" customHeight="false" outlineLevel="0" collapsed="false">
      <c r="A22" s="3" t="s">
        <v>32</v>
      </c>
      <c r="B22" s="4" t="s">
        <v>33</v>
      </c>
    </row>
    <row r="23" customFormat="false" ht="15" hidden="false" customHeight="false" outlineLevel="0" collapsed="false">
      <c r="A23" s="6" t="s">
        <v>34</v>
      </c>
      <c r="B23" s="4" t="s">
        <v>35</v>
      </c>
    </row>
    <row r="24" customFormat="false" ht="15" hidden="false" customHeight="false" outlineLevel="0" collapsed="false">
      <c r="A24" s="7" t="s">
        <v>36</v>
      </c>
      <c r="B24" s="4" t="s">
        <v>37</v>
      </c>
    </row>
    <row r="25" customFormat="false" ht="15" hidden="false" customHeight="false" outlineLevel="0" collapsed="false">
      <c r="A25" s="3"/>
    </row>
    <row r="26" customFormat="false" ht="22.35" hidden="false" customHeight="false" outlineLevel="0" collapsed="false">
      <c r="A26" s="3" t="s">
        <v>38</v>
      </c>
      <c r="B26" s="4" t="s">
        <v>39</v>
      </c>
    </row>
    <row r="27" customFormat="false" ht="32.8" hidden="false" customHeight="false" outlineLevel="0" collapsed="false">
      <c r="A27" s="3" t="s">
        <v>40</v>
      </c>
      <c r="B27" s="4" t="s">
        <v>41</v>
      </c>
    </row>
    <row r="28" customFormat="false" ht="32.8" hidden="false" customHeight="false" outlineLevel="0" collapsed="false">
      <c r="A28" s="3" t="s">
        <v>42</v>
      </c>
      <c r="B28" s="4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44</v>
      </c>
    </row>
    <row r="3" customFormat="false" ht="15" hidden="false" customHeight="false" outlineLevel="0" collapsed="false">
      <c r="A3" s="9" t="s">
        <v>45</v>
      </c>
      <c r="C3" s="9" t="s">
        <v>46</v>
      </c>
      <c r="D3" s="9" t="s">
        <v>47</v>
      </c>
    </row>
    <row r="4" customFormat="false" ht="15" hidden="false" customHeight="false" outlineLevel="0" collapsed="false">
      <c r="A4" s="10" t="s">
        <v>48</v>
      </c>
      <c r="C4" s="11" t="n">
        <v>0.1</v>
      </c>
      <c r="D4" s="10" t="s">
        <v>49</v>
      </c>
    </row>
    <row r="5" customFormat="false" ht="15" hidden="false" customHeight="false" outlineLevel="0" collapsed="false">
      <c r="A5" s="10" t="s">
        <v>50</v>
      </c>
      <c r="C5" s="12" t="n">
        <v>3</v>
      </c>
      <c r="D5" s="10" t="s">
        <v>51</v>
      </c>
    </row>
    <row r="6" customFormat="false" ht="15" hidden="false" customHeight="false" outlineLevel="0" collapsed="false">
      <c r="A6" s="10" t="s">
        <v>52</v>
      </c>
      <c r="C6" s="11" t="n">
        <v>0.03</v>
      </c>
      <c r="D6" s="10" t="s">
        <v>53</v>
      </c>
    </row>
    <row r="7" customFormat="false" ht="15" hidden="false" customHeight="false" outlineLevel="0" collapsed="false">
      <c r="A7" s="10" t="s">
        <v>54</v>
      </c>
      <c r="C7" s="11" t="n">
        <v>0.05</v>
      </c>
      <c r="D7" s="10" t="s">
        <v>55</v>
      </c>
    </row>
    <row r="8" customFormat="false" ht="15" hidden="false" customHeight="false" outlineLevel="0" collapsed="false">
      <c r="A8" s="10" t="s">
        <v>56</v>
      </c>
      <c r="C8" s="13" t="n">
        <v>40</v>
      </c>
      <c r="D8" s="10" t="s">
        <v>57</v>
      </c>
    </row>
    <row r="9" customFormat="false" ht="15" hidden="false" customHeight="false" outlineLevel="0" collapsed="false">
      <c r="A9" s="10" t="s">
        <v>58</v>
      </c>
      <c r="C9" s="13" t="n">
        <v>90</v>
      </c>
      <c r="D9" s="10" t="s">
        <v>59</v>
      </c>
    </row>
    <row r="10" customFormat="false" ht="15" hidden="false" customHeight="false" outlineLevel="0" collapsed="false">
      <c r="A10" s="10" t="s">
        <v>60</v>
      </c>
      <c r="C10" s="14" t="n">
        <v>3.28084</v>
      </c>
      <c r="D10" s="10" t="s">
        <v>61</v>
      </c>
    </row>
    <row r="12" customFormat="false" ht="15" hidden="false" customHeight="false" outlineLevel="0" collapsed="false">
      <c r="A12" s="9" t="s">
        <v>62</v>
      </c>
      <c r="B12" s="9" t="s">
        <v>63</v>
      </c>
      <c r="C12" s="9" t="s">
        <v>64</v>
      </c>
      <c r="D12" s="9" t="s">
        <v>47</v>
      </c>
    </row>
    <row r="13" customFormat="false" ht="15" hidden="false" customHeight="false" outlineLevel="0" collapsed="false">
      <c r="A13" s="15" t="s">
        <v>65</v>
      </c>
      <c r="B13" s="15" t="s">
        <v>66</v>
      </c>
      <c r="C13" s="16"/>
      <c r="D13" s="10" t="s">
        <v>67</v>
      </c>
    </row>
    <row r="14" customFormat="false" ht="15" hidden="false" customHeight="false" outlineLevel="0" collapsed="false">
      <c r="A14" s="15" t="s">
        <v>68</v>
      </c>
      <c r="B14" s="15" t="s">
        <v>69</v>
      </c>
      <c r="C14" s="16"/>
      <c r="D14" s="10" t="s">
        <v>70</v>
      </c>
    </row>
    <row r="15" customFormat="false" ht="15" hidden="false" customHeight="false" outlineLevel="0" collapsed="false">
      <c r="A15" s="15" t="s">
        <v>71</v>
      </c>
      <c r="B15" s="15" t="s">
        <v>72</v>
      </c>
      <c r="C15" s="17" t="n">
        <v>0.03</v>
      </c>
      <c r="D15" s="10" t="s">
        <v>73</v>
      </c>
    </row>
    <row r="16" customFormat="false" ht="15" hidden="false" customHeight="false" outlineLevel="0" collapsed="false">
      <c r="A16" s="15" t="s">
        <v>74</v>
      </c>
      <c r="B16" s="15" t="s">
        <v>75</v>
      </c>
      <c r="C16" s="17" t="n">
        <v>0.03</v>
      </c>
      <c r="D16" s="10" t="s">
        <v>76</v>
      </c>
    </row>
    <row r="17" customFormat="false" ht="15" hidden="false" customHeight="false" outlineLevel="0" collapsed="false">
      <c r="A17" s="15" t="s">
        <v>77</v>
      </c>
      <c r="B17" s="15" t="s">
        <v>78</v>
      </c>
      <c r="C17" s="17" t="n">
        <v>0.03</v>
      </c>
      <c r="D17" s="10" t="s">
        <v>79</v>
      </c>
    </row>
    <row r="18" customFormat="false" ht="15" hidden="false" customHeight="false" outlineLevel="0" collapsed="false">
      <c r="A18" s="15" t="s">
        <v>80</v>
      </c>
      <c r="B18" s="15" t="s">
        <v>81</v>
      </c>
      <c r="C18" s="16"/>
      <c r="D18" s="10" t="s">
        <v>82</v>
      </c>
    </row>
    <row r="19" customFormat="false" ht="15" hidden="false" customHeight="false" outlineLevel="0" collapsed="false">
      <c r="A19" s="15" t="s">
        <v>83</v>
      </c>
      <c r="B19" s="15" t="s">
        <v>84</v>
      </c>
      <c r="C19" s="16"/>
      <c r="D19" s="10" t="s">
        <v>85</v>
      </c>
    </row>
    <row r="20" customFormat="false" ht="15" hidden="false" customHeight="false" outlineLevel="0" collapsed="false">
      <c r="A20" s="15" t="s">
        <v>86</v>
      </c>
      <c r="B20" s="15" t="s">
        <v>87</v>
      </c>
      <c r="C20" s="16"/>
      <c r="D20" s="10" t="s">
        <v>87</v>
      </c>
    </row>
    <row r="21" customFormat="false" ht="15" hidden="false" customHeight="false" outlineLevel="0" collapsed="false">
      <c r="A21" s="15" t="s">
        <v>88</v>
      </c>
      <c r="B21" s="15" t="s">
        <v>87</v>
      </c>
      <c r="C21" s="16"/>
      <c r="D21" s="10" t="s">
        <v>89</v>
      </c>
    </row>
    <row r="24" customFormat="false" ht="15" hidden="false" customHeight="false" outlineLevel="0" collapsed="false">
      <c r="A24" s="3" t="s">
        <v>90</v>
      </c>
    </row>
    <row r="25" customFormat="false" ht="15" hidden="false" customHeight="false" outlineLevel="0" collapsed="false">
      <c r="A25" s="10" t="s">
        <v>91</v>
      </c>
    </row>
    <row r="26" customFormat="false" ht="15" hidden="false" customHeight="false" outlineLevel="0" collapsed="false">
      <c r="A26" s="10" t="s">
        <v>92</v>
      </c>
    </row>
    <row r="27" customFormat="false" ht="15" hidden="false" customHeight="false" outlineLevel="0" collapsed="false">
      <c r="A27" s="10" t="s">
        <v>93</v>
      </c>
    </row>
    <row r="28" customFormat="false" ht="15" hidden="false" customHeight="false" outlineLevel="0" collapsed="false">
      <c r="A28" s="10" t="s">
        <v>94</v>
      </c>
    </row>
    <row r="29" customFormat="false" ht="15" hidden="false" customHeight="false" outlineLevel="0" collapsed="false">
      <c r="A29" s="10" t="s">
        <v>95</v>
      </c>
    </row>
    <row r="30" customFormat="false" ht="15" hidden="false" customHeight="false" outlineLevel="0" collapsed="false">
      <c r="A30" s="10" t="s">
        <v>96</v>
      </c>
    </row>
    <row r="31" customFormat="false" ht="15" hidden="false" customHeight="false" outlineLevel="0" collapsed="false">
      <c r="A31" s="10" t="s">
        <v>97</v>
      </c>
    </row>
    <row r="32" customFormat="false" ht="15" hidden="false" customHeight="false" outlineLevel="0" collapsed="false">
      <c r="A32" s="10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2"/>
    <col collapsed="false" customWidth="true" hidden="false" outlineLevel="0" max="3" min="3" style="0" width="6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36"/>
  </cols>
  <sheetData>
    <row r="1" customFormat="false" ht="15" hidden="false" customHeight="false" outlineLevel="0" collapsed="false">
      <c r="A1" s="18" t="s">
        <v>99</v>
      </c>
      <c r="B1" s="18" t="s">
        <v>100</v>
      </c>
      <c r="C1" s="18" t="s">
        <v>101</v>
      </c>
      <c r="D1" s="18" t="s">
        <v>102</v>
      </c>
      <c r="E1" s="18" t="s">
        <v>103</v>
      </c>
      <c r="F1" s="18" t="s">
        <v>104</v>
      </c>
      <c r="G1" s="18" t="s">
        <v>105</v>
      </c>
    </row>
    <row r="2" customFormat="false" ht="15" hidden="false" customHeight="false" outlineLevel="0" collapsed="false">
      <c r="A2" s="19" t="s">
        <v>106</v>
      </c>
      <c r="B2" s="19" t="s">
        <v>107</v>
      </c>
      <c r="C2" s="19" t="s">
        <v>108</v>
      </c>
      <c r="D2" s="20" t="n">
        <v>20</v>
      </c>
      <c r="E2" s="20" t="n">
        <v>137.5</v>
      </c>
      <c r="F2" s="20" t="n">
        <v>12.5</v>
      </c>
      <c r="G2" s="21" t="s">
        <v>109</v>
      </c>
    </row>
    <row r="3" customFormat="false" ht="15" hidden="false" customHeight="false" outlineLevel="0" collapsed="false">
      <c r="A3" s="19" t="s">
        <v>110</v>
      </c>
      <c r="B3" s="19" t="s">
        <v>111</v>
      </c>
      <c r="C3" s="19" t="s">
        <v>108</v>
      </c>
      <c r="D3" s="20" t="n">
        <v>40</v>
      </c>
      <c r="E3" s="20" t="n">
        <v>137.5</v>
      </c>
      <c r="F3" s="20" t="n">
        <v>12.5</v>
      </c>
      <c r="G3" s="21" t="s">
        <v>112</v>
      </c>
    </row>
    <row r="4" customFormat="false" ht="15" hidden="false" customHeight="false" outlineLevel="0" collapsed="false">
      <c r="A4" s="19" t="s">
        <v>113</v>
      </c>
      <c r="B4" s="19" t="s">
        <v>114</v>
      </c>
      <c r="C4" s="19" t="s">
        <v>108</v>
      </c>
      <c r="D4" s="20" t="n">
        <v>60</v>
      </c>
      <c r="E4" s="20" t="n">
        <v>137.5</v>
      </c>
      <c r="F4" s="20" t="n">
        <v>12.5</v>
      </c>
      <c r="G4" s="21" t="s">
        <v>115</v>
      </c>
    </row>
    <row r="5" customFormat="false" ht="15" hidden="false" customHeight="false" outlineLevel="0" collapsed="false">
      <c r="A5" s="19" t="s">
        <v>116</v>
      </c>
      <c r="B5" s="19" t="s">
        <v>117</v>
      </c>
      <c r="C5" s="19" t="s">
        <v>108</v>
      </c>
      <c r="D5" s="20" t="n">
        <v>80</v>
      </c>
      <c r="E5" s="20" t="n">
        <v>137.5</v>
      </c>
      <c r="F5" s="20" t="n">
        <v>12.5</v>
      </c>
      <c r="G5" s="21" t="s">
        <v>118</v>
      </c>
    </row>
    <row r="6" customFormat="false" ht="15" hidden="false" customHeight="false" outlineLevel="0" collapsed="false">
      <c r="A6" s="19" t="s">
        <v>119</v>
      </c>
      <c r="B6" s="19" t="s">
        <v>120</v>
      </c>
      <c r="C6" s="19" t="s">
        <v>108</v>
      </c>
      <c r="D6" s="20" t="n">
        <v>130</v>
      </c>
      <c r="E6" s="20" t="n">
        <v>137.5</v>
      </c>
      <c r="F6" s="20" t="n">
        <v>31.5</v>
      </c>
      <c r="G6" s="21" t="s">
        <v>121</v>
      </c>
    </row>
    <row r="7" customFormat="false" ht="15" hidden="false" customHeight="false" outlineLevel="0" collapsed="false">
      <c r="A7" s="19" t="s">
        <v>122</v>
      </c>
      <c r="B7" s="19" t="s">
        <v>123</v>
      </c>
      <c r="C7" s="19" t="s">
        <v>108</v>
      </c>
      <c r="D7" s="20" t="n">
        <v>200</v>
      </c>
      <c r="E7" s="20" t="n">
        <v>152.5</v>
      </c>
      <c r="F7" s="20" t="n">
        <v>31.5</v>
      </c>
      <c r="G7" s="21" t="s">
        <v>124</v>
      </c>
    </row>
    <row r="8" customFormat="false" ht="15" hidden="false" customHeight="false" outlineLevel="0" collapsed="false">
      <c r="A8" s="19" t="s">
        <v>125</v>
      </c>
      <c r="B8" s="19" t="s">
        <v>126</v>
      </c>
      <c r="C8" s="19" t="s">
        <v>108</v>
      </c>
      <c r="D8" s="20" t="n">
        <v>270</v>
      </c>
      <c r="E8" s="20" t="n">
        <v>167.5</v>
      </c>
      <c r="F8" s="20" t="n">
        <v>31.5</v>
      </c>
      <c r="G8" s="21" t="s">
        <v>127</v>
      </c>
    </row>
    <row r="9" customFormat="false" ht="15" hidden="false" customHeight="false" outlineLevel="0" collapsed="false">
      <c r="A9" s="19" t="s">
        <v>128</v>
      </c>
      <c r="B9" s="19" t="s">
        <v>129</v>
      </c>
      <c r="C9" s="19" t="s">
        <v>108</v>
      </c>
      <c r="D9" s="20" t="n">
        <v>95</v>
      </c>
      <c r="E9" s="20" t="n">
        <v>128</v>
      </c>
      <c r="F9" s="20" t="n">
        <v>0.5</v>
      </c>
      <c r="G9" s="22" t="s">
        <v>130</v>
      </c>
    </row>
    <row r="10" customFormat="false" ht="15" hidden="false" customHeight="false" outlineLevel="0" collapsed="false">
      <c r="A10" s="19" t="s">
        <v>131</v>
      </c>
      <c r="B10" s="19" t="s">
        <v>132</v>
      </c>
      <c r="C10" s="19" t="s">
        <v>133</v>
      </c>
      <c r="D10" s="20" t="n">
        <v>19</v>
      </c>
      <c r="E10" s="20" t="n">
        <v>107.5</v>
      </c>
      <c r="F10" s="20" t="n">
        <v>8</v>
      </c>
      <c r="G10" s="21" t="s">
        <v>134</v>
      </c>
    </row>
    <row r="11" customFormat="false" ht="15" hidden="false" customHeight="false" outlineLevel="0" collapsed="false">
      <c r="A11" s="19" t="s">
        <v>135</v>
      </c>
      <c r="B11" s="19" t="s">
        <v>136</v>
      </c>
      <c r="C11" s="19" t="s">
        <v>133</v>
      </c>
      <c r="D11" s="20" t="n">
        <v>14.5</v>
      </c>
      <c r="E11" s="20" t="n">
        <v>107.5</v>
      </c>
      <c r="F11" s="20" t="n">
        <v>2</v>
      </c>
      <c r="G11" s="21" t="s">
        <v>134</v>
      </c>
    </row>
    <row r="12" customFormat="false" ht="15" hidden="false" customHeight="false" outlineLevel="0" collapsed="false">
      <c r="A12" s="19" t="s">
        <v>137</v>
      </c>
      <c r="B12" s="19" t="s">
        <v>138</v>
      </c>
      <c r="C12" s="19" t="s">
        <v>139</v>
      </c>
      <c r="D12" s="20" t="n">
        <v>58</v>
      </c>
      <c r="E12" s="20" t="n">
        <v>18</v>
      </c>
      <c r="F12" s="20" t="n">
        <v>4</v>
      </c>
      <c r="G12" s="21" t="s">
        <v>140</v>
      </c>
    </row>
    <row r="13" customFormat="false" ht="15" hidden="false" customHeight="false" outlineLevel="0" collapsed="false">
      <c r="A13" s="19" t="s">
        <v>141</v>
      </c>
      <c r="B13" s="19" t="s">
        <v>142</v>
      </c>
      <c r="C13" s="19" t="s">
        <v>139</v>
      </c>
      <c r="D13" s="20" t="n">
        <v>60</v>
      </c>
      <c r="E13" s="20" t="n">
        <v>46</v>
      </c>
      <c r="F13" s="20" t="n">
        <v>6</v>
      </c>
      <c r="G13" s="21" t="s">
        <v>143</v>
      </c>
    </row>
    <row r="14" customFormat="false" ht="15" hidden="false" customHeight="false" outlineLevel="0" collapsed="false">
      <c r="A14" s="19" t="s">
        <v>144</v>
      </c>
      <c r="B14" s="19" t="s">
        <v>145</v>
      </c>
      <c r="C14" s="19" t="s">
        <v>139</v>
      </c>
      <c r="D14" s="20" t="n">
        <v>54</v>
      </c>
      <c r="E14" s="20" t="n">
        <v>65.5</v>
      </c>
      <c r="F14" s="20" t="n">
        <v>10</v>
      </c>
      <c r="G14" s="21" t="s">
        <v>146</v>
      </c>
    </row>
    <row r="15" customFormat="false" ht="15" hidden="false" customHeight="false" outlineLevel="0" collapsed="false">
      <c r="A15" s="19" t="s">
        <v>147</v>
      </c>
      <c r="B15" s="19" t="s">
        <v>148</v>
      </c>
      <c r="C15" s="19" t="s">
        <v>139</v>
      </c>
      <c r="D15" s="20" t="n">
        <v>54</v>
      </c>
      <c r="E15" s="20" t="n">
        <v>60</v>
      </c>
      <c r="F15" s="20" t="n">
        <v>4.5</v>
      </c>
      <c r="G15" s="21" t="s">
        <v>146</v>
      </c>
    </row>
    <row r="16" customFormat="false" ht="15" hidden="false" customHeight="false" outlineLevel="0" collapsed="false">
      <c r="A16" s="19" t="s">
        <v>149</v>
      </c>
      <c r="B16" s="19" t="s">
        <v>150</v>
      </c>
      <c r="C16" s="19" t="s">
        <v>139</v>
      </c>
      <c r="D16" s="20" t="n">
        <v>74</v>
      </c>
      <c r="E16" s="20" t="n">
        <v>65.5</v>
      </c>
      <c r="F16" s="20" t="n">
        <v>10</v>
      </c>
      <c r="G16" s="21" t="s">
        <v>151</v>
      </c>
    </row>
    <row r="17" customFormat="false" ht="15" hidden="false" customHeight="false" outlineLevel="0" collapsed="false">
      <c r="A17" s="19" t="s">
        <v>152</v>
      </c>
      <c r="B17" s="19" t="s">
        <v>153</v>
      </c>
      <c r="C17" s="19" t="s">
        <v>139</v>
      </c>
      <c r="D17" s="20" t="n">
        <v>74</v>
      </c>
      <c r="E17" s="20" t="n">
        <v>60</v>
      </c>
      <c r="F17" s="20" t="n">
        <v>4.5</v>
      </c>
      <c r="G17" s="21" t="s">
        <v>151</v>
      </c>
    </row>
    <row r="18" customFormat="false" ht="15" hidden="false" customHeight="false" outlineLevel="0" collapsed="false">
      <c r="A18" s="19" t="s">
        <v>154</v>
      </c>
      <c r="B18" s="19" t="s">
        <v>155</v>
      </c>
      <c r="C18" s="19" t="s">
        <v>139</v>
      </c>
      <c r="D18" s="20" t="n">
        <v>44</v>
      </c>
      <c r="E18" s="20" t="n">
        <v>64</v>
      </c>
      <c r="F18" s="20" t="n">
        <v>3</v>
      </c>
      <c r="G18" s="22" t="s">
        <v>156</v>
      </c>
    </row>
    <row r="19" customFormat="false" ht="15" hidden="false" customHeight="false" outlineLevel="0" collapsed="false">
      <c r="A19" s="19" t="s">
        <v>157</v>
      </c>
      <c r="B19" s="19" t="s">
        <v>158</v>
      </c>
      <c r="C19" s="19" t="s">
        <v>139</v>
      </c>
      <c r="D19" s="20" t="n">
        <v>86</v>
      </c>
      <c r="E19" s="20" t="n">
        <v>64</v>
      </c>
      <c r="F19" s="20" t="n">
        <v>3</v>
      </c>
      <c r="G19" s="22" t="s">
        <v>159</v>
      </c>
    </row>
    <row r="20" customFormat="false" ht="15" hidden="false" customHeight="false" outlineLevel="0" collapsed="false">
      <c r="A20" s="19" t="s">
        <v>160</v>
      </c>
      <c r="B20" s="19" t="s">
        <v>161</v>
      </c>
      <c r="C20" s="19" t="s">
        <v>139</v>
      </c>
      <c r="D20" s="20" t="n">
        <v>62</v>
      </c>
      <c r="E20" s="20" t="n">
        <v>18</v>
      </c>
      <c r="F20" s="20" t="n">
        <v>1</v>
      </c>
      <c r="G20" s="22" t="s">
        <v>162</v>
      </c>
    </row>
    <row r="21" customFormat="false" ht="15" hidden="false" customHeight="false" outlineLevel="0" collapsed="false">
      <c r="A21" s="19" t="s">
        <v>163</v>
      </c>
      <c r="B21" s="19" t="s">
        <v>164</v>
      </c>
      <c r="C21" s="19" t="s">
        <v>139</v>
      </c>
      <c r="D21" s="20" t="n">
        <v>64</v>
      </c>
      <c r="E21" s="20" t="n">
        <v>46</v>
      </c>
      <c r="F21" s="20" t="n">
        <v>1</v>
      </c>
      <c r="G21" s="22" t="s">
        <v>162</v>
      </c>
    </row>
    <row r="22" customFormat="false" ht="15" hidden="false" customHeight="false" outlineLevel="0" collapsed="false">
      <c r="A22" s="19" t="s">
        <v>165</v>
      </c>
      <c r="B22" s="19" t="s">
        <v>166</v>
      </c>
      <c r="C22" s="19" t="s">
        <v>139</v>
      </c>
      <c r="D22" s="20" t="n">
        <v>40</v>
      </c>
      <c r="E22" s="20" t="n">
        <v>-6</v>
      </c>
      <c r="F22" s="20" t="n">
        <v>0.5</v>
      </c>
      <c r="G22" s="22" t="s">
        <v>167</v>
      </c>
    </row>
    <row r="23" customFormat="false" ht="15" hidden="false" customHeight="false" outlineLevel="0" collapsed="false">
      <c r="A23" s="19" t="s">
        <v>168</v>
      </c>
      <c r="B23" s="19" t="s">
        <v>169</v>
      </c>
      <c r="C23" s="19" t="s">
        <v>139</v>
      </c>
      <c r="D23" s="20" t="n">
        <v>44</v>
      </c>
      <c r="E23" s="20" t="n">
        <v>-6</v>
      </c>
      <c r="F23" s="20" t="n">
        <v>0.5</v>
      </c>
      <c r="G23" s="22" t="s">
        <v>167</v>
      </c>
    </row>
    <row r="24" customFormat="false" ht="15" hidden="false" customHeight="false" outlineLevel="0" collapsed="false">
      <c r="A24" s="19" t="s">
        <v>170</v>
      </c>
      <c r="B24" s="19" t="s">
        <v>171</v>
      </c>
      <c r="C24" s="19" t="s">
        <v>139</v>
      </c>
      <c r="D24" s="20" t="n">
        <v>46</v>
      </c>
      <c r="E24" s="20" t="n">
        <v>-6</v>
      </c>
      <c r="F24" s="20" t="n">
        <v>0.5</v>
      </c>
      <c r="G24" s="22" t="s">
        <v>167</v>
      </c>
    </row>
    <row r="25" customFormat="false" ht="15" hidden="false" customHeight="false" outlineLevel="0" collapsed="false">
      <c r="A25" s="19" t="s">
        <v>172</v>
      </c>
      <c r="B25" s="19" t="s">
        <v>173</v>
      </c>
      <c r="C25" s="19" t="s">
        <v>139</v>
      </c>
      <c r="D25" s="20" t="n">
        <v>48</v>
      </c>
      <c r="E25" s="20" t="n">
        <v>-6</v>
      </c>
      <c r="F25" s="20" t="n">
        <v>0.5</v>
      </c>
      <c r="G25" s="22" t="s">
        <v>167</v>
      </c>
    </row>
    <row r="26" customFormat="false" ht="15" hidden="false" customHeight="false" outlineLevel="0" collapsed="false">
      <c r="A26" s="19" t="s">
        <v>174</v>
      </c>
      <c r="B26" s="19" t="s">
        <v>175</v>
      </c>
      <c r="C26" s="19" t="s">
        <v>139</v>
      </c>
      <c r="D26" s="20" t="n">
        <v>60</v>
      </c>
      <c r="E26" s="20" t="n">
        <v>-5</v>
      </c>
      <c r="F26" s="20" t="n">
        <v>0.5</v>
      </c>
      <c r="G26" s="21" t="s">
        <v>176</v>
      </c>
    </row>
    <row r="27" customFormat="false" ht="15" hidden="false" customHeight="false" outlineLevel="0" collapsed="false">
      <c r="A27" s="19" t="s">
        <v>177</v>
      </c>
      <c r="B27" s="19" t="s">
        <v>178</v>
      </c>
      <c r="C27" s="19" t="s">
        <v>139</v>
      </c>
      <c r="D27" s="20" t="n">
        <v>61</v>
      </c>
      <c r="E27" s="20" t="n">
        <v>-5</v>
      </c>
      <c r="F27" s="20" t="n">
        <v>0.5</v>
      </c>
      <c r="G27" s="21" t="s">
        <v>179</v>
      </c>
    </row>
    <row r="28" customFormat="false" ht="15" hidden="false" customHeight="false" outlineLevel="0" collapsed="false">
      <c r="A28" s="19" t="s">
        <v>180</v>
      </c>
      <c r="B28" s="19" t="s">
        <v>181</v>
      </c>
      <c r="C28" s="19" t="s">
        <v>139</v>
      </c>
      <c r="D28" s="20" t="n">
        <v>52</v>
      </c>
      <c r="E28" s="20" t="n">
        <v>6.5</v>
      </c>
      <c r="F28" s="20" t="n">
        <v>11</v>
      </c>
      <c r="G28" s="21" t="s">
        <v>182</v>
      </c>
    </row>
    <row r="29" customFormat="false" ht="15" hidden="false" customHeight="false" outlineLevel="0" collapsed="false">
      <c r="A29" s="19" t="s">
        <v>183</v>
      </c>
      <c r="B29" s="19" t="s">
        <v>184</v>
      </c>
      <c r="C29" s="19" t="s">
        <v>139</v>
      </c>
      <c r="D29" s="20" t="n">
        <v>60</v>
      </c>
      <c r="E29" s="20" t="n">
        <v>6.5</v>
      </c>
      <c r="F29" s="20" t="n">
        <v>11</v>
      </c>
      <c r="G29" s="21" t="s">
        <v>185</v>
      </c>
    </row>
    <row r="30" customFormat="false" ht="15" hidden="false" customHeight="false" outlineLevel="0" collapsed="false">
      <c r="A30" s="19" t="s">
        <v>186</v>
      </c>
      <c r="B30" s="19" t="s">
        <v>187</v>
      </c>
      <c r="C30" s="19" t="s">
        <v>139</v>
      </c>
      <c r="D30" s="20" t="n">
        <v>72</v>
      </c>
      <c r="E30" s="20" t="n">
        <v>2</v>
      </c>
      <c r="F30" s="20" t="n">
        <v>6</v>
      </c>
      <c r="G30" s="21" t="s">
        <v>188</v>
      </c>
    </row>
    <row r="31" customFormat="false" ht="15" hidden="false" customHeight="false" outlineLevel="0" collapsed="false">
      <c r="A31" s="19" t="s">
        <v>189</v>
      </c>
      <c r="B31" s="19" t="s">
        <v>190</v>
      </c>
      <c r="C31" s="19" t="s">
        <v>139</v>
      </c>
      <c r="D31" s="20" t="n">
        <v>60</v>
      </c>
      <c r="E31" s="20" t="n">
        <v>-3</v>
      </c>
      <c r="F31" s="20" t="n">
        <v>1</v>
      </c>
      <c r="G31" s="21" t="s">
        <v>179</v>
      </c>
    </row>
    <row r="32" customFormat="false" ht="15" hidden="false" customHeight="false" outlineLevel="0" collapsed="false">
      <c r="A32" s="19" t="s">
        <v>191</v>
      </c>
      <c r="B32" s="19" t="s">
        <v>192</v>
      </c>
      <c r="C32" s="19" t="s">
        <v>139</v>
      </c>
      <c r="D32" s="20" t="n">
        <v>80</v>
      </c>
      <c r="E32" s="20" t="n">
        <v>-9</v>
      </c>
      <c r="F32" s="20" t="n">
        <v>0.5</v>
      </c>
      <c r="G32" s="22" t="s">
        <v>193</v>
      </c>
    </row>
    <row r="33" customFormat="false" ht="15" hidden="false" customHeight="false" outlineLevel="0" collapsed="false">
      <c r="A33" s="19" t="s">
        <v>194</v>
      </c>
      <c r="B33" s="19" t="s">
        <v>195</v>
      </c>
      <c r="C33" s="19" t="s">
        <v>139</v>
      </c>
      <c r="D33" s="20" t="n">
        <v>86</v>
      </c>
      <c r="E33" s="20" t="n">
        <v>-9</v>
      </c>
      <c r="F33" s="20" t="n">
        <v>0.5</v>
      </c>
      <c r="G33" s="21" t="s">
        <v>196</v>
      </c>
    </row>
    <row r="34" customFormat="false" ht="15" hidden="false" customHeight="false" outlineLevel="0" collapsed="false">
      <c r="A34" s="19" t="s">
        <v>197</v>
      </c>
      <c r="B34" s="19" t="s">
        <v>198</v>
      </c>
      <c r="C34" s="19" t="s">
        <v>139</v>
      </c>
      <c r="D34" s="20" t="n">
        <v>90</v>
      </c>
      <c r="E34" s="20" t="n">
        <v>-9</v>
      </c>
      <c r="F34" s="20" t="n">
        <v>0.5</v>
      </c>
      <c r="G34" s="21" t="s">
        <v>196</v>
      </c>
    </row>
    <row r="35" customFormat="false" ht="15" hidden="false" customHeight="false" outlineLevel="0" collapsed="false">
      <c r="A35" s="19" t="s">
        <v>199</v>
      </c>
      <c r="B35" s="19" t="s">
        <v>200</v>
      </c>
      <c r="C35" s="19" t="s">
        <v>139</v>
      </c>
      <c r="D35" s="20" t="n">
        <v>100</v>
      </c>
      <c r="E35" s="20" t="n">
        <v>-8</v>
      </c>
      <c r="F35" s="20" t="n">
        <v>0.5</v>
      </c>
      <c r="G35" s="21" t="s">
        <v>196</v>
      </c>
    </row>
    <row r="36" customFormat="false" ht="15" hidden="false" customHeight="false" outlineLevel="0" collapsed="false">
      <c r="A36" s="19" t="s">
        <v>201</v>
      </c>
      <c r="B36" s="19" t="s">
        <v>202</v>
      </c>
      <c r="C36" s="19" t="s">
        <v>139</v>
      </c>
      <c r="D36" s="20" t="n">
        <v>97</v>
      </c>
      <c r="E36" s="20" t="n">
        <v>-6</v>
      </c>
      <c r="F36" s="20" t="n">
        <v>30</v>
      </c>
      <c r="G36" s="21" t="s">
        <v>203</v>
      </c>
    </row>
    <row r="37" customFormat="false" ht="15" hidden="false" customHeight="false" outlineLevel="0" collapsed="false">
      <c r="A37" s="19" t="s">
        <v>204</v>
      </c>
      <c r="B37" s="19" t="s">
        <v>205</v>
      </c>
      <c r="C37" s="19" t="s">
        <v>139</v>
      </c>
      <c r="D37" s="20" t="n">
        <v>117</v>
      </c>
      <c r="E37" s="20" t="n">
        <v>3</v>
      </c>
      <c r="F37" s="20" t="n">
        <v>55</v>
      </c>
      <c r="G37" s="21" t="s">
        <v>206</v>
      </c>
    </row>
    <row r="38" customFormat="false" ht="15" hidden="false" customHeight="false" outlineLevel="0" collapsed="false">
      <c r="A38" s="19" t="s">
        <v>207</v>
      </c>
      <c r="B38" s="19" t="s">
        <v>208</v>
      </c>
      <c r="C38" s="19" t="s">
        <v>139</v>
      </c>
      <c r="D38" s="20" t="n">
        <v>117</v>
      </c>
      <c r="E38" s="20" t="n">
        <v>-0.5</v>
      </c>
      <c r="F38" s="20" t="n">
        <v>40</v>
      </c>
      <c r="G38" s="21" t="s">
        <v>209</v>
      </c>
    </row>
    <row r="39" customFormat="false" ht="15" hidden="false" customHeight="false" outlineLevel="0" collapsed="false">
      <c r="A39" s="19" t="s">
        <v>210</v>
      </c>
      <c r="B39" s="19" t="s">
        <v>211</v>
      </c>
      <c r="C39" s="19" t="s">
        <v>139</v>
      </c>
      <c r="D39" s="20" t="n">
        <v>122</v>
      </c>
      <c r="E39" s="20" t="n">
        <v>-8</v>
      </c>
      <c r="F39" s="20" t="n">
        <v>0.5</v>
      </c>
      <c r="G39" s="22" t="s">
        <v>162</v>
      </c>
    </row>
    <row r="40" customFormat="false" ht="15" hidden="false" customHeight="false" outlineLevel="0" collapsed="false">
      <c r="A40" s="19" t="s">
        <v>212</v>
      </c>
      <c r="B40" s="19" t="s">
        <v>213</v>
      </c>
      <c r="C40" s="19" t="s">
        <v>139</v>
      </c>
      <c r="D40" s="20" t="n">
        <v>85</v>
      </c>
      <c r="E40" s="20" t="n">
        <v>40</v>
      </c>
      <c r="F40" s="20" t="n">
        <v>0.5</v>
      </c>
      <c r="G40" s="21" t="s">
        <v>214</v>
      </c>
    </row>
    <row r="41" customFormat="false" ht="15" hidden="false" customHeight="false" outlineLevel="0" collapsed="false">
      <c r="A41" s="19" t="s">
        <v>215</v>
      </c>
      <c r="B41" s="19" t="s">
        <v>216</v>
      </c>
      <c r="C41" s="19" t="s">
        <v>139</v>
      </c>
      <c r="D41" s="20" t="n">
        <v>88</v>
      </c>
      <c r="E41" s="20" t="n">
        <v>30</v>
      </c>
      <c r="F41" s="20" t="n">
        <v>0.5</v>
      </c>
      <c r="G41" s="21" t="s">
        <v>217</v>
      </c>
    </row>
    <row r="42" customFormat="false" ht="15" hidden="false" customHeight="false" outlineLevel="0" collapsed="false">
      <c r="A42" s="19" t="s">
        <v>218</v>
      </c>
      <c r="B42" s="19" t="s">
        <v>219</v>
      </c>
      <c r="C42" s="19" t="s">
        <v>139</v>
      </c>
      <c r="D42" s="20" t="n">
        <v>66</v>
      </c>
      <c r="E42" s="20" t="n">
        <v>36</v>
      </c>
      <c r="F42" s="20" t="n">
        <v>6</v>
      </c>
      <c r="G42" s="21" t="s">
        <v>220</v>
      </c>
    </row>
    <row r="43" customFormat="false" ht="15" hidden="false" customHeight="false" outlineLevel="0" collapsed="false">
      <c r="A43" s="19" t="s">
        <v>221</v>
      </c>
      <c r="B43" s="19" t="s">
        <v>222</v>
      </c>
      <c r="C43" s="19" t="s">
        <v>139</v>
      </c>
      <c r="D43" s="20" t="n">
        <v>70</v>
      </c>
      <c r="E43" s="20" t="n">
        <v>30</v>
      </c>
      <c r="F43" s="20" t="n">
        <v>0.5</v>
      </c>
      <c r="G43" s="21" t="s">
        <v>217</v>
      </c>
    </row>
    <row r="44" customFormat="false" ht="15" hidden="false" customHeight="false" outlineLevel="0" collapsed="false">
      <c r="A44" s="19" t="s">
        <v>223</v>
      </c>
      <c r="B44" s="19" t="s">
        <v>224</v>
      </c>
      <c r="C44" s="19" t="s">
        <v>139</v>
      </c>
      <c r="D44" s="20" t="n">
        <v>72</v>
      </c>
      <c r="E44" s="20" t="n">
        <v>30</v>
      </c>
      <c r="F44" s="20" t="n">
        <v>0.5</v>
      </c>
      <c r="G44" s="21" t="s">
        <v>217</v>
      </c>
    </row>
    <row r="45" customFormat="false" ht="15" hidden="false" customHeight="false" outlineLevel="0" collapsed="false">
      <c r="A45" s="19" t="s">
        <v>225</v>
      </c>
      <c r="B45" s="19" t="s">
        <v>226</v>
      </c>
      <c r="C45" s="19" t="s">
        <v>139</v>
      </c>
      <c r="D45" s="20" t="n">
        <v>88</v>
      </c>
      <c r="E45" s="20" t="n">
        <v>44</v>
      </c>
      <c r="F45" s="20" t="n">
        <v>0.5</v>
      </c>
      <c r="G45" s="21" t="s">
        <v>217</v>
      </c>
    </row>
    <row r="46" customFormat="false" ht="15" hidden="false" customHeight="false" outlineLevel="0" collapsed="false">
      <c r="A46" s="19" t="s">
        <v>227</v>
      </c>
      <c r="B46" s="19" t="s">
        <v>228</v>
      </c>
      <c r="C46" s="19" t="s">
        <v>139</v>
      </c>
      <c r="D46" s="20" t="n">
        <v>88</v>
      </c>
      <c r="E46" s="20" t="n">
        <v>41</v>
      </c>
      <c r="F46" s="20" t="n">
        <v>0.5</v>
      </c>
      <c r="G46" s="21" t="s">
        <v>217</v>
      </c>
    </row>
    <row r="47" customFormat="false" ht="15" hidden="false" customHeight="false" outlineLevel="0" collapsed="false">
      <c r="A47" s="19" t="s">
        <v>229</v>
      </c>
      <c r="B47" s="19" t="s">
        <v>230</v>
      </c>
      <c r="C47" s="19" t="s">
        <v>139</v>
      </c>
      <c r="D47" s="20" t="n">
        <v>68</v>
      </c>
      <c r="E47" s="20" t="n">
        <v>22</v>
      </c>
      <c r="F47" s="20" t="n">
        <v>0.5</v>
      </c>
      <c r="G47" s="22" t="s">
        <v>162</v>
      </c>
    </row>
    <row r="48" customFormat="false" ht="15" hidden="false" customHeight="false" outlineLevel="0" collapsed="false">
      <c r="A48" s="19" t="s">
        <v>231</v>
      </c>
      <c r="B48" s="19" t="s">
        <v>232</v>
      </c>
      <c r="C48" s="19" t="s">
        <v>139</v>
      </c>
      <c r="D48" s="20" t="n">
        <v>75</v>
      </c>
      <c r="E48" s="20" t="n">
        <v>20</v>
      </c>
      <c r="F48" s="20" t="n">
        <v>-0.8</v>
      </c>
      <c r="G48" s="21" t="s">
        <v>233</v>
      </c>
    </row>
    <row r="49" customFormat="false" ht="15" hidden="false" customHeight="false" outlineLevel="0" collapsed="false">
      <c r="A49" s="19" t="s">
        <v>234</v>
      </c>
      <c r="B49" s="19" t="s">
        <v>235</v>
      </c>
      <c r="C49" s="19" t="s">
        <v>236</v>
      </c>
      <c r="D49" s="20" t="n">
        <v>146</v>
      </c>
      <c r="E49" s="20" t="n">
        <v>40</v>
      </c>
      <c r="F49" s="20" t="n">
        <v>0.5</v>
      </c>
      <c r="G49" s="21" t="s">
        <v>237</v>
      </c>
    </row>
    <row r="50" customFormat="false" ht="15" hidden="false" customHeight="false" outlineLevel="0" collapsed="false">
      <c r="A50" s="19" t="s">
        <v>238</v>
      </c>
      <c r="B50" s="19" t="s">
        <v>239</v>
      </c>
      <c r="C50" s="19" t="s">
        <v>236</v>
      </c>
      <c r="D50" s="20" t="n">
        <v>146</v>
      </c>
      <c r="E50" s="20" t="n">
        <v>46</v>
      </c>
      <c r="F50" s="20" t="n">
        <v>0.5</v>
      </c>
      <c r="G50" s="21" t="s">
        <v>240</v>
      </c>
    </row>
    <row r="51" customFormat="false" ht="15" hidden="false" customHeight="false" outlineLevel="0" collapsed="false">
      <c r="A51" s="19" t="s">
        <v>241</v>
      </c>
      <c r="B51" s="19" t="s">
        <v>242</v>
      </c>
      <c r="C51" s="19" t="s">
        <v>236</v>
      </c>
      <c r="D51" s="20" t="n">
        <v>142</v>
      </c>
      <c r="E51" s="20" t="n">
        <v>30</v>
      </c>
      <c r="F51" s="20" t="n">
        <v>0.5</v>
      </c>
      <c r="G51" s="21" t="s">
        <v>243</v>
      </c>
    </row>
    <row r="52" customFormat="false" ht="15" hidden="false" customHeight="false" outlineLevel="0" collapsed="false">
      <c r="A52" s="19" t="s">
        <v>244</v>
      </c>
      <c r="B52" s="19" t="s">
        <v>245</v>
      </c>
      <c r="C52" s="19" t="s">
        <v>236</v>
      </c>
      <c r="D52" s="20" t="n">
        <v>104</v>
      </c>
      <c r="E52" s="20" t="n">
        <v>32</v>
      </c>
      <c r="F52" s="20" t="n">
        <v>20.5</v>
      </c>
      <c r="G52" s="21" t="s">
        <v>246</v>
      </c>
    </row>
    <row r="53" customFormat="false" ht="15" hidden="false" customHeight="false" outlineLevel="0" collapsed="false">
      <c r="A53" s="19" t="s">
        <v>247</v>
      </c>
      <c r="B53" s="19" t="s">
        <v>248</v>
      </c>
      <c r="C53" s="19" t="s">
        <v>236</v>
      </c>
      <c r="D53" s="20" t="n">
        <v>108</v>
      </c>
      <c r="E53" s="20" t="n">
        <v>32</v>
      </c>
      <c r="F53" s="20" t="n">
        <v>20.5</v>
      </c>
      <c r="G53" s="21" t="s">
        <v>249</v>
      </c>
    </row>
    <row r="54" customFormat="false" ht="15" hidden="false" customHeight="false" outlineLevel="0" collapsed="false">
      <c r="A54" s="19" t="s">
        <v>250</v>
      </c>
      <c r="B54" s="19" t="s">
        <v>251</v>
      </c>
      <c r="C54" s="19" t="s">
        <v>236</v>
      </c>
      <c r="D54" s="20" t="n">
        <v>104</v>
      </c>
      <c r="E54" s="20" t="n">
        <v>43</v>
      </c>
      <c r="F54" s="20" t="n">
        <v>20.5</v>
      </c>
      <c r="G54" s="21" t="s">
        <v>252</v>
      </c>
    </row>
    <row r="55" customFormat="false" ht="15" hidden="false" customHeight="false" outlineLevel="0" collapsed="false">
      <c r="A55" s="19" t="s">
        <v>253</v>
      </c>
      <c r="B55" s="19" t="s">
        <v>254</v>
      </c>
      <c r="C55" s="19" t="s">
        <v>236</v>
      </c>
      <c r="D55" s="20" t="n">
        <v>108</v>
      </c>
      <c r="E55" s="20" t="n">
        <v>43</v>
      </c>
      <c r="F55" s="20" t="n">
        <v>20.5</v>
      </c>
      <c r="G55" s="21" t="s">
        <v>255</v>
      </c>
    </row>
    <row r="56" customFormat="false" ht="15" hidden="false" customHeight="false" outlineLevel="0" collapsed="false">
      <c r="A56" s="19" t="s">
        <v>256</v>
      </c>
      <c r="B56" s="19" t="s">
        <v>257</v>
      </c>
      <c r="C56" s="19" t="s">
        <v>236</v>
      </c>
      <c r="D56" s="20" t="n">
        <v>104</v>
      </c>
      <c r="E56" s="20" t="n">
        <v>54</v>
      </c>
      <c r="F56" s="20" t="n">
        <v>20.5</v>
      </c>
      <c r="G56" s="21" t="s">
        <v>258</v>
      </c>
    </row>
    <row r="57" customFormat="false" ht="15" hidden="false" customHeight="false" outlineLevel="0" collapsed="false">
      <c r="A57" s="19" t="s">
        <v>259</v>
      </c>
      <c r="B57" s="19" t="s">
        <v>260</v>
      </c>
      <c r="C57" s="19" t="s">
        <v>236</v>
      </c>
      <c r="D57" s="20" t="n">
        <v>108</v>
      </c>
      <c r="E57" s="20" t="n">
        <v>54</v>
      </c>
      <c r="F57" s="20" t="n">
        <v>20.5</v>
      </c>
      <c r="G57" s="21" t="s">
        <v>261</v>
      </c>
    </row>
    <row r="58" customFormat="false" ht="15" hidden="false" customHeight="false" outlineLevel="0" collapsed="false">
      <c r="A58" s="19" t="s">
        <v>262</v>
      </c>
      <c r="B58" s="19" t="s">
        <v>263</v>
      </c>
      <c r="C58" s="19" t="s">
        <v>236</v>
      </c>
      <c r="D58" s="20" t="n">
        <v>112</v>
      </c>
      <c r="E58" s="20" t="n">
        <v>32</v>
      </c>
      <c r="F58" s="20" t="n">
        <v>20.5</v>
      </c>
      <c r="G58" s="21" t="s">
        <v>264</v>
      </c>
    </row>
    <row r="59" customFormat="false" ht="15" hidden="false" customHeight="false" outlineLevel="0" collapsed="false">
      <c r="A59" s="19" t="s">
        <v>265</v>
      </c>
      <c r="B59" s="19" t="s">
        <v>266</v>
      </c>
      <c r="C59" s="19" t="s">
        <v>236</v>
      </c>
      <c r="D59" s="20" t="n">
        <v>116</v>
      </c>
      <c r="E59" s="20" t="n">
        <v>32</v>
      </c>
      <c r="F59" s="20" t="n">
        <v>20.5</v>
      </c>
      <c r="G59" s="21" t="s">
        <v>267</v>
      </c>
    </row>
    <row r="60" customFormat="false" ht="15" hidden="false" customHeight="false" outlineLevel="0" collapsed="false">
      <c r="A60" s="19" t="s">
        <v>268</v>
      </c>
      <c r="B60" s="19" t="s">
        <v>269</v>
      </c>
      <c r="C60" s="19" t="s">
        <v>236</v>
      </c>
      <c r="D60" s="20" t="n">
        <v>112</v>
      </c>
      <c r="E60" s="20" t="n">
        <v>43</v>
      </c>
      <c r="F60" s="20" t="n">
        <v>20.5</v>
      </c>
      <c r="G60" s="21" t="s">
        <v>270</v>
      </c>
    </row>
    <row r="61" customFormat="false" ht="15" hidden="false" customHeight="false" outlineLevel="0" collapsed="false">
      <c r="A61" s="19" t="s">
        <v>271</v>
      </c>
      <c r="B61" s="19" t="s">
        <v>272</v>
      </c>
      <c r="C61" s="19" t="s">
        <v>236</v>
      </c>
      <c r="D61" s="20" t="n">
        <v>116</v>
      </c>
      <c r="E61" s="20" t="n">
        <v>43</v>
      </c>
      <c r="F61" s="20" t="n">
        <v>20.5</v>
      </c>
      <c r="G61" s="21" t="s">
        <v>273</v>
      </c>
    </row>
    <row r="62" customFormat="false" ht="15" hidden="false" customHeight="false" outlineLevel="0" collapsed="false">
      <c r="A62" s="19" t="s">
        <v>274</v>
      </c>
      <c r="B62" s="19" t="s">
        <v>275</v>
      </c>
      <c r="C62" s="19" t="s">
        <v>236</v>
      </c>
      <c r="D62" s="20" t="n">
        <v>112</v>
      </c>
      <c r="E62" s="20" t="n">
        <v>54</v>
      </c>
      <c r="F62" s="20" t="n">
        <v>20.5</v>
      </c>
      <c r="G62" s="21" t="s">
        <v>276</v>
      </c>
    </row>
    <row r="63" customFormat="false" ht="15" hidden="false" customHeight="false" outlineLevel="0" collapsed="false">
      <c r="A63" s="19" t="s">
        <v>277</v>
      </c>
      <c r="B63" s="19" t="s">
        <v>278</v>
      </c>
      <c r="C63" s="19" t="s">
        <v>236</v>
      </c>
      <c r="D63" s="20" t="n">
        <v>116</v>
      </c>
      <c r="E63" s="20" t="n">
        <v>54</v>
      </c>
      <c r="F63" s="20" t="n">
        <v>20.5</v>
      </c>
      <c r="G63" s="21" t="s">
        <v>279</v>
      </c>
    </row>
    <row r="64" customFormat="false" ht="15" hidden="false" customHeight="false" outlineLevel="0" collapsed="false">
      <c r="A64" s="19" t="s">
        <v>280</v>
      </c>
      <c r="B64" s="19" t="s">
        <v>281</v>
      </c>
      <c r="C64" s="19" t="s">
        <v>236</v>
      </c>
      <c r="D64" s="20" t="n">
        <v>120</v>
      </c>
      <c r="E64" s="20" t="n">
        <v>32</v>
      </c>
      <c r="F64" s="20" t="n">
        <v>20.5</v>
      </c>
      <c r="G64" s="21" t="s">
        <v>282</v>
      </c>
    </row>
    <row r="65" customFormat="false" ht="15" hidden="false" customHeight="false" outlineLevel="0" collapsed="false">
      <c r="A65" s="19" t="s">
        <v>283</v>
      </c>
      <c r="B65" s="19" t="s">
        <v>284</v>
      </c>
      <c r="C65" s="19" t="s">
        <v>236</v>
      </c>
      <c r="D65" s="20" t="n">
        <v>124</v>
      </c>
      <c r="E65" s="20" t="n">
        <v>32</v>
      </c>
      <c r="F65" s="20" t="n">
        <v>20.5</v>
      </c>
      <c r="G65" s="21" t="s">
        <v>285</v>
      </c>
    </row>
    <row r="66" customFormat="false" ht="15" hidden="false" customHeight="false" outlineLevel="0" collapsed="false">
      <c r="A66" s="19" t="s">
        <v>286</v>
      </c>
      <c r="B66" s="19" t="s">
        <v>287</v>
      </c>
      <c r="C66" s="19" t="s">
        <v>236</v>
      </c>
      <c r="D66" s="20" t="n">
        <v>120</v>
      </c>
      <c r="E66" s="20" t="n">
        <v>43</v>
      </c>
      <c r="F66" s="20" t="n">
        <v>20.5</v>
      </c>
      <c r="G66" s="21" t="s">
        <v>288</v>
      </c>
    </row>
    <row r="67" customFormat="false" ht="15" hidden="false" customHeight="false" outlineLevel="0" collapsed="false">
      <c r="A67" s="19" t="s">
        <v>289</v>
      </c>
      <c r="B67" s="19" t="s">
        <v>290</v>
      </c>
      <c r="C67" s="19" t="s">
        <v>236</v>
      </c>
      <c r="D67" s="20" t="n">
        <v>124</v>
      </c>
      <c r="E67" s="20" t="n">
        <v>43</v>
      </c>
      <c r="F67" s="20" t="n">
        <v>20.5</v>
      </c>
      <c r="G67" s="21" t="s">
        <v>291</v>
      </c>
    </row>
    <row r="68" customFormat="false" ht="15" hidden="false" customHeight="false" outlineLevel="0" collapsed="false">
      <c r="A68" s="19" t="s">
        <v>292</v>
      </c>
      <c r="B68" s="19" t="s">
        <v>293</v>
      </c>
      <c r="C68" s="19" t="s">
        <v>236</v>
      </c>
      <c r="D68" s="20" t="n">
        <v>120</v>
      </c>
      <c r="E68" s="20" t="n">
        <v>54</v>
      </c>
      <c r="F68" s="20" t="n">
        <v>20.5</v>
      </c>
      <c r="G68" s="21" t="s">
        <v>294</v>
      </c>
    </row>
    <row r="69" customFormat="false" ht="15" hidden="false" customHeight="false" outlineLevel="0" collapsed="false">
      <c r="A69" s="19" t="s">
        <v>295</v>
      </c>
      <c r="B69" s="19" t="s">
        <v>296</v>
      </c>
      <c r="C69" s="19" t="s">
        <v>236</v>
      </c>
      <c r="D69" s="20" t="n">
        <v>124</v>
      </c>
      <c r="E69" s="20" t="n">
        <v>54</v>
      </c>
      <c r="F69" s="20" t="n">
        <v>20.5</v>
      </c>
      <c r="G69" s="21" t="s">
        <v>297</v>
      </c>
    </row>
    <row r="70" customFormat="false" ht="15" hidden="false" customHeight="false" outlineLevel="0" collapsed="false">
      <c r="A70" s="19" t="s">
        <v>298</v>
      </c>
      <c r="B70" s="19" t="s">
        <v>299</v>
      </c>
      <c r="C70" s="19" t="s">
        <v>236</v>
      </c>
      <c r="D70" s="20" t="n">
        <v>128</v>
      </c>
      <c r="E70" s="20" t="n">
        <v>32</v>
      </c>
      <c r="F70" s="20" t="n">
        <v>20.5</v>
      </c>
      <c r="G70" s="21" t="s">
        <v>300</v>
      </c>
    </row>
    <row r="71" customFormat="false" ht="15" hidden="false" customHeight="false" outlineLevel="0" collapsed="false">
      <c r="A71" s="19" t="s">
        <v>301</v>
      </c>
      <c r="B71" s="19" t="s">
        <v>302</v>
      </c>
      <c r="C71" s="19" t="s">
        <v>236</v>
      </c>
      <c r="D71" s="20" t="n">
        <v>132</v>
      </c>
      <c r="E71" s="20" t="n">
        <v>32</v>
      </c>
      <c r="F71" s="20" t="n">
        <v>20.5</v>
      </c>
      <c r="G71" s="21" t="s">
        <v>303</v>
      </c>
    </row>
    <row r="72" customFormat="false" ht="15" hidden="false" customHeight="false" outlineLevel="0" collapsed="false">
      <c r="A72" s="19" t="s">
        <v>304</v>
      </c>
      <c r="B72" s="19" t="s">
        <v>305</v>
      </c>
      <c r="C72" s="19" t="s">
        <v>236</v>
      </c>
      <c r="D72" s="20" t="n">
        <v>128</v>
      </c>
      <c r="E72" s="20" t="n">
        <v>43</v>
      </c>
      <c r="F72" s="20" t="n">
        <v>20.5</v>
      </c>
      <c r="G72" s="21" t="s">
        <v>306</v>
      </c>
    </row>
    <row r="73" customFormat="false" ht="15" hidden="false" customHeight="false" outlineLevel="0" collapsed="false">
      <c r="A73" s="19" t="s">
        <v>307</v>
      </c>
      <c r="B73" s="19" t="s">
        <v>308</v>
      </c>
      <c r="C73" s="19" t="s">
        <v>236</v>
      </c>
      <c r="D73" s="20" t="n">
        <v>132</v>
      </c>
      <c r="E73" s="20" t="n">
        <v>43</v>
      </c>
      <c r="F73" s="20" t="n">
        <v>20.5</v>
      </c>
      <c r="G73" s="21" t="s">
        <v>309</v>
      </c>
    </row>
    <row r="74" customFormat="false" ht="15" hidden="false" customHeight="false" outlineLevel="0" collapsed="false">
      <c r="A74" s="19" t="s">
        <v>310</v>
      </c>
      <c r="B74" s="19" t="s">
        <v>311</v>
      </c>
      <c r="C74" s="19" t="s">
        <v>236</v>
      </c>
      <c r="D74" s="20" t="n">
        <v>128</v>
      </c>
      <c r="E74" s="20" t="n">
        <v>54</v>
      </c>
      <c r="F74" s="20" t="n">
        <v>20.5</v>
      </c>
      <c r="G74" s="21" t="s">
        <v>312</v>
      </c>
    </row>
    <row r="75" customFormat="false" ht="15" hidden="false" customHeight="false" outlineLevel="0" collapsed="false">
      <c r="A75" s="19" t="s">
        <v>313</v>
      </c>
      <c r="B75" s="19" t="s">
        <v>314</v>
      </c>
      <c r="C75" s="19" t="s">
        <v>236</v>
      </c>
      <c r="D75" s="20" t="n">
        <v>132</v>
      </c>
      <c r="E75" s="20" t="n">
        <v>54</v>
      </c>
      <c r="F75" s="20" t="n">
        <v>20.5</v>
      </c>
      <c r="G75" s="21" t="s">
        <v>315</v>
      </c>
    </row>
    <row r="76" customFormat="false" ht="15" hidden="false" customHeight="false" outlineLevel="0" collapsed="false">
      <c r="A76" s="19" t="s">
        <v>316</v>
      </c>
      <c r="B76" s="19" t="s">
        <v>317</v>
      </c>
      <c r="C76" s="19" t="s">
        <v>236</v>
      </c>
      <c r="D76" s="20" t="n">
        <v>136</v>
      </c>
      <c r="E76" s="20" t="n">
        <v>32</v>
      </c>
      <c r="F76" s="20" t="n">
        <v>20.5</v>
      </c>
      <c r="G76" s="21" t="s">
        <v>318</v>
      </c>
    </row>
    <row r="77" customFormat="false" ht="15" hidden="false" customHeight="false" outlineLevel="0" collapsed="false">
      <c r="A77" s="19" t="s">
        <v>319</v>
      </c>
      <c r="B77" s="19" t="s">
        <v>320</v>
      </c>
      <c r="C77" s="19" t="s">
        <v>236</v>
      </c>
      <c r="D77" s="20" t="n">
        <v>140</v>
      </c>
      <c r="E77" s="20" t="n">
        <v>32</v>
      </c>
      <c r="F77" s="20" t="n">
        <v>20.5</v>
      </c>
      <c r="G77" s="21" t="s">
        <v>321</v>
      </c>
    </row>
    <row r="78" customFormat="false" ht="15" hidden="false" customHeight="false" outlineLevel="0" collapsed="false">
      <c r="A78" s="19" t="s">
        <v>322</v>
      </c>
      <c r="B78" s="19" t="s">
        <v>323</v>
      </c>
      <c r="C78" s="19" t="s">
        <v>236</v>
      </c>
      <c r="D78" s="20" t="n">
        <v>136</v>
      </c>
      <c r="E78" s="20" t="n">
        <v>43</v>
      </c>
      <c r="F78" s="20" t="n">
        <v>20.5</v>
      </c>
      <c r="G78" s="21" t="s">
        <v>324</v>
      </c>
    </row>
    <row r="79" customFormat="false" ht="15" hidden="false" customHeight="false" outlineLevel="0" collapsed="false">
      <c r="A79" s="19" t="s">
        <v>325</v>
      </c>
      <c r="B79" s="19" t="s">
        <v>326</v>
      </c>
      <c r="C79" s="19" t="s">
        <v>236</v>
      </c>
      <c r="D79" s="20" t="n">
        <v>140</v>
      </c>
      <c r="E79" s="20" t="n">
        <v>43</v>
      </c>
      <c r="F79" s="20" t="n">
        <v>20.5</v>
      </c>
      <c r="G79" s="21" t="s">
        <v>327</v>
      </c>
    </row>
    <row r="80" customFormat="false" ht="15" hidden="false" customHeight="false" outlineLevel="0" collapsed="false">
      <c r="A80" s="19" t="s">
        <v>328</v>
      </c>
      <c r="B80" s="19" t="s">
        <v>329</v>
      </c>
      <c r="C80" s="19" t="s">
        <v>236</v>
      </c>
      <c r="D80" s="20" t="n">
        <v>136</v>
      </c>
      <c r="E80" s="20" t="n">
        <v>54</v>
      </c>
      <c r="F80" s="20" t="n">
        <v>20.5</v>
      </c>
      <c r="G80" s="21" t="s">
        <v>330</v>
      </c>
    </row>
    <row r="81" customFormat="false" ht="15" hidden="false" customHeight="false" outlineLevel="0" collapsed="false">
      <c r="A81" s="19" t="s">
        <v>331</v>
      </c>
      <c r="B81" s="19" t="s">
        <v>332</v>
      </c>
      <c r="C81" s="19" t="s">
        <v>236</v>
      </c>
      <c r="D81" s="20" t="n">
        <v>140</v>
      </c>
      <c r="E81" s="20" t="n">
        <v>54</v>
      </c>
      <c r="F81" s="20" t="n">
        <v>20.5</v>
      </c>
      <c r="G81" s="21" t="s">
        <v>333</v>
      </c>
    </row>
    <row r="82" customFormat="false" ht="15" hidden="false" customHeight="false" outlineLevel="0" collapsed="false">
      <c r="A82" s="19" t="s">
        <v>334</v>
      </c>
      <c r="B82" s="19" t="s">
        <v>335</v>
      </c>
      <c r="C82" s="19" t="s">
        <v>336</v>
      </c>
      <c r="D82" s="20" t="n">
        <v>178</v>
      </c>
      <c r="E82" s="20" t="n">
        <v>58</v>
      </c>
      <c r="F82" s="20" t="n">
        <v>0.5</v>
      </c>
      <c r="G82" s="21" t="s">
        <v>337</v>
      </c>
    </row>
    <row r="83" customFormat="false" ht="15" hidden="false" customHeight="false" outlineLevel="0" collapsed="false">
      <c r="A83" s="19" t="s">
        <v>338</v>
      </c>
      <c r="B83" s="19" t="s">
        <v>339</v>
      </c>
      <c r="C83" s="19" t="s">
        <v>336</v>
      </c>
      <c r="D83" s="20" t="n">
        <v>182</v>
      </c>
      <c r="E83" s="20" t="n">
        <v>60</v>
      </c>
      <c r="F83" s="20" t="n">
        <v>0.5</v>
      </c>
      <c r="G83" s="21" t="s">
        <v>340</v>
      </c>
    </row>
    <row r="84" customFormat="false" ht="15" hidden="false" customHeight="false" outlineLevel="0" collapsed="false">
      <c r="A84" s="19" t="s">
        <v>341</v>
      </c>
      <c r="B84" s="19" t="s">
        <v>342</v>
      </c>
      <c r="C84" s="19" t="s">
        <v>336</v>
      </c>
      <c r="D84" s="20" t="n">
        <v>176</v>
      </c>
      <c r="E84" s="20" t="n">
        <v>60</v>
      </c>
      <c r="F84" s="20" t="n">
        <v>0.5</v>
      </c>
      <c r="G84" s="21" t="s">
        <v>340</v>
      </c>
    </row>
    <row r="85" customFormat="false" ht="15" hidden="false" customHeight="false" outlineLevel="0" collapsed="false">
      <c r="A85" s="19" t="s">
        <v>343</v>
      </c>
      <c r="B85" s="19" t="s">
        <v>344</v>
      </c>
      <c r="C85" s="19" t="s">
        <v>336</v>
      </c>
      <c r="D85" s="20" t="n">
        <v>174</v>
      </c>
      <c r="E85" s="20" t="n">
        <v>58</v>
      </c>
      <c r="F85" s="20" t="n">
        <v>0.5</v>
      </c>
      <c r="G85" s="21" t="s">
        <v>340</v>
      </c>
    </row>
    <row r="86" customFormat="false" ht="15" hidden="false" customHeight="false" outlineLevel="0" collapsed="false">
      <c r="A86" s="19" t="s">
        <v>345</v>
      </c>
      <c r="B86" s="19" t="s">
        <v>346</v>
      </c>
      <c r="C86" s="19" t="s">
        <v>336</v>
      </c>
      <c r="D86" s="20" t="n">
        <v>150</v>
      </c>
      <c r="E86" s="20" t="n">
        <v>-4</v>
      </c>
      <c r="F86" s="20" t="n">
        <v>0.5</v>
      </c>
      <c r="G86" s="21" t="s">
        <v>347</v>
      </c>
    </row>
    <row r="87" customFormat="false" ht="15" hidden="false" customHeight="false" outlineLevel="0" collapsed="false">
      <c r="A87" s="19" t="s">
        <v>348</v>
      </c>
      <c r="B87" s="19" t="s">
        <v>349</v>
      </c>
      <c r="C87" s="19" t="s">
        <v>336</v>
      </c>
      <c r="D87" s="20" t="n">
        <v>146</v>
      </c>
      <c r="E87" s="20" t="n">
        <v>6</v>
      </c>
      <c r="F87" s="20" t="n">
        <v>0.5</v>
      </c>
      <c r="G87" s="21" t="s">
        <v>350</v>
      </c>
    </row>
    <row r="88" customFormat="false" ht="15" hidden="false" customHeight="false" outlineLevel="0" collapsed="false">
      <c r="A88" s="19" t="s">
        <v>351</v>
      </c>
      <c r="B88" s="19" t="s">
        <v>352</v>
      </c>
      <c r="C88" s="19" t="s">
        <v>336</v>
      </c>
      <c r="D88" s="20" t="n">
        <v>146</v>
      </c>
      <c r="E88" s="20" t="n">
        <v>9</v>
      </c>
      <c r="F88" s="20" t="n">
        <v>0.5</v>
      </c>
      <c r="G88" s="21" t="s">
        <v>353</v>
      </c>
    </row>
    <row r="89" customFormat="false" ht="15" hidden="false" customHeight="false" outlineLevel="0" collapsed="false">
      <c r="A89" s="19" t="s">
        <v>354</v>
      </c>
      <c r="B89" s="19" t="s">
        <v>355</v>
      </c>
      <c r="C89" s="19" t="s">
        <v>336</v>
      </c>
      <c r="D89" s="20" t="n">
        <v>174</v>
      </c>
      <c r="E89" s="20" t="n">
        <v>16</v>
      </c>
      <c r="F89" s="20" t="n">
        <v>0.5</v>
      </c>
      <c r="G89" s="21" t="s">
        <v>356</v>
      </c>
    </row>
    <row r="90" customFormat="false" ht="15" hidden="false" customHeight="false" outlineLevel="0" collapsed="false">
      <c r="A90" s="19" t="s">
        <v>357</v>
      </c>
      <c r="B90" s="19" t="s">
        <v>358</v>
      </c>
      <c r="C90" s="19" t="s">
        <v>336</v>
      </c>
      <c r="D90" s="20" t="n">
        <v>177</v>
      </c>
      <c r="E90" s="20" t="n">
        <v>16</v>
      </c>
      <c r="F90" s="20" t="n">
        <v>0.5</v>
      </c>
      <c r="G90" s="21" t="s">
        <v>359</v>
      </c>
    </row>
    <row r="91" customFormat="false" ht="15" hidden="false" customHeight="false" outlineLevel="0" collapsed="false">
      <c r="A91" s="19" t="s">
        <v>360</v>
      </c>
      <c r="B91" s="19" t="s">
        <v>361</v>
      </c>
      <c r="C91" s="19" t="s">
        <v>336</v>
      </c>
      <c r="D91" s="20" t="n">
        <v>186</v>
      </c>
      <c r="E91" s="20" t="n">
        <v>12</v>
      </c>
      <c r="F91" s="20" t="n">
        <v>0.5</v>
      </c>
      <c r="G91" s="21" t="s">
        <v>362</v>
      </c>
    </row>
    <row r="92" customFormat="false" ht="15" hidden="false" customHeight="false" outlineLevel="0" collapsed="false">
      <c r="A92" s="19" t="s">
        <v>363</v>
      </c>
      <c r="B92" s="19" t="s">
        <v>364</v>
      </c>
      <c r="C92" s="19" t="s">
        <v>336</v>
      </c>
      <c r="D92" s="20" t="n">
        <v>186</v>
      </c>
      <c r="E92" s="20" t="n">
        <v>15</v>
      </c>
      <c r="F92" s="20" t="n">
        <v>0.5</v>
      </c>
      <c r="G92" s="21" t="s">
        <v>365</v>
      </c>
    </row>
    <row r="93" customFormat="false" ht="15" hidden="false" customHeight="false" outlineLevel="0" collapsed="false">
      <c r="A93" s="19" t="s">
        <v>366</v>
      </c>
      <c r="B93" s="19" t="s">
        <v>367</v>
      </c>
      <c r="C93" s="19" t="s">
        <v>336</v>
      </c>
      <c r="D93" s="20" t="n">
        <v>200</v>
      </c>
      <c r="E93" s="20" t="n">
        <v>24</v>
      </c>
      <c r="F93" s="20" t="n">
        <v>0.5</v>
      </c>
      <c r="G93" s="21" t="s">
        <v>368</v>
      </c>
    </row>
    <row r="94" customFormat="false" ht="15" hidden="false" customHeight="false" outlineLevel="0" collapsed="false">
      <c r="A94" s="19" t="s">
        <v>369</v>
      </c>
      <c r="B94" s="19" t="s">
        <v>370</v>
      </c>
      <c r="C94" s="19" t="s">
        <v>336</v>
      </c>
      <c r="D94" s="20" t="n">
        <v>195</v>
      </c>
      <c r="E94" s="20" t="n">
        <v>39</v>
      </c>
      <c r="F94" s="20" t="n">
        <v>0.5</v>
      </c>
      <c r="G94" s="21" t="s">
        <v>371</v>
      </c>
    </row>
    <row r="95" customFormat="false" ht="15" hidden="false" customHeight="false" outlineLevel="0" collapsed="false">
      <c r="A95" s="19" t="s">
        <v>372</v>
      </c>
      <c r="B95" s="19" t="s">
        <v>373</v>
      </c>
      <c r="C95" s="19" t="s">
        <v>336</v>
      </c>
      <c r="D95" s="20" t="n">
        <v>192</v>
      </c>
      <c r="E95" s="20" t="n">
        <v>34</v>
      </c>
      <c r="F95" s="20" t="n">
        <v>0.5</v>
      </c>
      <c r="G95" s="21" t="s">
        <v>374</v>
      </c>
    </row>
    <row r="96" customFormat="false" ht="15" hidden="false" customHeight="false" outlineLevel="0" collapsed="false">
      <c r="A96" s="19" t="s">
        <v>375</v>
      </c>
      <c r="B96" s="19" t="s">
        <v>376</v>
      </c>
      <c r="C96" s="19" t="s">
        <v>336</v>
      </c>
      <c r="D96" s="20" t="n">
        <v>186</v>
      </c>
      <c r="E96" s="20" t="n">
        <v>40</v>
      </c>
      <c r="F96" s="20" t="n">
        <v>0.5</v>
      </c>
      <c r="G96" s="22" t="s">
        <v>377</v>
      </c>
    </row>
    <row r="97" customFormat="false" ht="15" hidden="false" customHeight="false" outlineLevel="0" collapsed="false">
      <c r="A97" s="19" t="s">
        <v>378</v>
      </c>
      <c r="B97" s="19" t="s">
        <v>379</v>
      </c>
      <c r="C97" s="19" t="s">
        <v>336</v>
      </c>
      <c r="D97" s="20" t="n">
        <v>214</v>
      </c>
      <c r="E97" s="20" t="n">
        <v>39</v>
      </c>
      <c r="F97" s="20" t="n">
        <v>0.5</v>
      </c>
      <c r="G97" s="21" t="s">
        <v>380</v>
      </c>
    </row>
    <row r="98" customFormat="false" ht="15" hidden="false" customHeight="false" outlineLevel="0" collapsed="false">
      <c r="A98" s="19" t="s">
        <v>381</v>
      </c>
      <c r="B98" s="19" t="s">
        <v>382</v>
      </c>
      <c r="C98" s="19" t="s">
        <v>336</v>
      </c>
      <c r="D98" s="20" t="n">
        <v>242</v>
      </c>
      <c r="E98" s="20" t="n">
        <v>39</v>
      </c>
      <c r="F98" s="20" t="n">
        <v>1</v>
      </c>
      <c r="G98" s="21" t="s">
        <v>383</v>
      </c>
    </row>
    <row r="99" customFormat="false" ht="15" hidden="false" customHeight="false" outlineLevel="0" collapsed="false">
      <c r="A99" s="19" t="s">
        <v>384</v>
      </c>
      <c r="B99" s="19" t="s">
        <v>385</v>
      </c>
      <c r="C99" s="19" t="s">
        <v>336</v>
      </c>
      <c r="D99" s="20" t="n">
        <v>170</v>
      </c>
      <c r="E99" s="20" t="n">
        <v>-2.5</v>
      </c>
      <c r="F99" s="20" t="n">
        <v>30</v>
      </c>
      <c r="G99" s="21" t="s">
        <v>359</v>
      </c>
    </row>
    <row r="100" customFormat="false" ht="15" hidden="false" customHeight="false" outlineLevel="0" collapsed="false">
      <c r="A100" s="19" t="s">
        <v>386</v>
      </c>
      <c r="B100" s="19" t="s">
        <v>387</v>
      </c>
      <c r="C100" s="19" t="s">
        <v>336</v>
      </c>
      <c r="D100" s="20" t="n">
        <v>190</v>
      </c>
      <c r="E100" s="20" t="n">
        <v>15.5</v>
      </c>
      <c r="F100" s="20" t="n">
        <v>20</v>
      </c>
      <c r="G100" s="21" t="s">
        <v>365</v>
      </c>
    </row>
    <row r="101" customFormat="false" ht="15" hidden="false" customHeight="false" outlineLevel="0" collapsed="false">
      <c r="A101" s="19" t="s">
        <v>388</v>
      </c>
      <c r="B101" s="19" t="s">
        <v>389</v>
      </c>
      <c r="C101" s="19" t="s">
        <v>336</v>
      </c>
      <c r="D101" s="20" t="n">
        <v>172</v>
      </c>
      <c r="E101" s="20" t="n">
        <v>-3</v>
      </c>
      <c r="F101" s="20" t="n">
        <v>1</v>
      </c>
      <c r="G101" s="21" t="s">
        <v>390</v>
      </c>
    </row>
    <row r="102" customFormat="false" ht="15" hidden="false" customHeight="false" outlineLevel="0" collapsed="false">
      <c r="A102" s="19" t="s">
        <v>391</v>
      </c>
      <c r="B102" s="19" t="s">
        <v>392</v>
      </c>
      <c r="C102" s="19" t="s">
        <v>336</v>
      </c>
      <c r="D102" s="20" t="n">
        <v>170</v>
      </c>
      <c r="E102" s="20" t="n">
        <v>6</v>
      </c>
      <c r="F102" s="20" t="n">
        <v>0</v>
      </c>
      <c r="G102" s="21" t="s">
        <v>359</v>
      </c>
    </row>
    <row r="103" customFormat="false" ht="15" hidden="false" customHeight="false" outlineLevel="0" collapsed="false">
      <c r="A103" s="19" t="s">
        <v>393</v>
      </c>
      <c r="B103" s="19" t="s">
        <v>394</v>
      </c>
      <c r="C103" s="19" t="s">
        <v>336</v>
      </c>
      <c r="D103" s="20" t="n">
        <v>190</v>
      </c>
      <c r="E103" s="20" t="n">
        <v>25</v>
      </c>
      <c r="F103" s="20" t="n">
        <v>-0.8</v>
      </c>
      <c r="G103" s="21" t="s">
        <v>233</v>
      </c>
    </row>
    <row r="104" customFormat="false" ht="15" hidden="false" customHeight="false" outlineLevel="0" collapsed="false">
      <c r="A104" s="19" t="s">
        <v>395</v>
      </c>
      <c r="B104" s="19" t="s">
        <v>396</v>
      </c>
      <c r="C104" s="19" t="s">
        <v>133</v>
      </c>
      <c r="D104" s="20" t="n">
        <v>12</v>
      </c>
      <c r="E104" s="20" t="n">
        <v>99</v>
      </c>
      <c r="F104" s="20" t="n">
        <v>0.5</v>
      </c>
      <c r="G104" s="21" t="s">
        <v>397</v>
      </c>
    </row>
    <row r="105" customFormat="false" ht="15" hidden="false" customHeight="false" outlineLevel="0" collapsed="false">
      <c r="A105" s="19" t="s">
        <v>398</v>
      </c>
      <c r="B105" s="19" t="s">
        <v>399</v>
      </c>
      <c r="C105" s="19" t="s">
        <v>133</v>
      </c>
      <c r="D105" s="20" t="n">
        <v>10</v>
      </c>
      <c r="E105" s="20" t="n">
        <v>104</v>
      </c>
      <c r="F105" s="20" t="n">
        <v>0.5</v>
      </c>
      <c r="G105" s="22" t="s">
        <v>162</v>
      </c>
    </row>
    <row r="106" customFormat="false" ht="15" hidden="false" customHeight="false" outlineLevel="0" collapsed="false">
      <c r="A106" s="19" t="s">
        <v>400</v>
      </c>
      <c r="B106" s="19" t="s">
        <v>401</v>
      </c>
      <c r="C106" s="19" t="s">
        <v>133</v>
      </c>
      <c r="D106" s="20" t="n">
        <v>16</v>
      </c>
      <c r="E106" s="20" t="n">
        <v>99</v>
      </c>
      <c r="F106" s="20" t="n">
        <v>0.5</v>
      </c>
      <c r="G106" s="21" t="s">
        <v>402</v>
      </c>
    </row>
    <row r="107" customFormat="false" ht="15" hidden="false" customHeight="false" outlineLevel="0" collapsed="false">
      <c r="A107" s="19" t="s">
        <v>403</v>
      </c>
      <c r="B107" s="19" t="s">
        <v>404</v>
      </c>
      <c r="C107" s="19" t="s">
        <v>133</v>
      </c>
      <c r="D107" s="20" t="n">
        <v>8</v>
      </c>
      <c r="E107" s="20" t="n">
        <v>99</v>
      </c>
      <c r="F107" s="20" t="n">
        <v>0.5</v>
      </c>
      <c r="G107" s="21" t="s">
        <v>402</v>
      </c>
    </row>
    <row r="108" customFormat="false" ht="15" hidden="false" customHeight="false" outlineLevel="0" collapsed="false">
      <c r="A108" s="19" t="s">
        <v>405</v>
      </c>
      <c r="B108" s="19" t="s">
        <v>406</v>
      </c>
      <c r="C108" s="19" t="s">
        <v>133</v>
      </c>
      <c r="D108" s="20" t="n">
        <v>-4</v>
      </c>
      <c r="E108" s="20" t="n">
        <v>85</v>
      </c>
      <c r="F108" s="20" t="n">
        <v>-0.8</v>
      </c>
      <c r="G108" s="21" t="s">
        <v>233</v>
      </c>
    </row>
    <row r="109" customFormat="false" ht="15" hidden="false" customHeight="false" outlineLevel="0" collapsed="false">
      <c r="A109" s="19" t="s">
        <v>407</v>
      </c>
      <c r="B109" s="19" t="s">
        <v>408</v>
      </c>
      <c r="C109" s="19" t="s">
        <v>133</v>
      </c>
      <c r="D109" s="20" t="n">
        <v>2.2</v>
      </c>
      <c r="E109" s="20" t="n">
        <v>71.45</v>
      </c>
      <c r="F109" s="20" t="n">
        <v>1.5</v>
      </c>
      <c r="G109" s="21" t="s">
        <v>409</v>
      </c>
    </row>
    <row r="110" customFormat="false" ht="15" hidden="false" customHeight="false" outlineLevel="0" collapsed="false">
      <c r="A110" s="19" t="s">
        <v>410</v>
      </c>
      <c r="B110" s="19" t="s">
        <v>411</v>
      </c>
      <c r="C110" s="19" t="s">
        <v>133</v>
      </c>
      <c r="D110" s="20" t="n">
        <v>2.2</v>
      </c>
      <c r="E110" s="20" t="n">
        <v>75.65</v>
      </c>
      <c r="F110" s="20" t="n">
        <v>1.5</v>
      </c>
      <c r="G110" s="21" t="s">
        <v>412</v>
      </c>
    </row>
    <row r="111" customFormat="false" ht="15" hidden="false" customHeight="false" outlineLevel="0" collapsed="false">
      <c r="A111" s="19" t="s">
        <v>413</v>
      </c>
      <c r="B111" s="19" t="s">
        <v>414</v>
      </c>
      <c r="C111" s="19" t="s">
        <v>133</v>
      </c>
      <c r="D111" s="20" t="n">
        <v>2.2</v>
      </c>
      <c r="E111" s="20" t="n">
        <v>79.85</v>
      </c>
      <c r="F111" s="20" t="n">
        <v>1.5</v>
      </c>
      <c r="G111" s="21" t="s">
        <v>415</v>
      </c>
    </row>
    <row r="112" customFormat="false" ht="15" hidden="false" customHeight="false" outlineLevel="0" collapsed="false">
      <c r="A112" s="19" t="s">
        <v>416</v>
      </c>
      <c r="B112" s="19" t="s">
        <v>417</v>
      </c>
      <c r="C112" s="19" t="s">
        <v>133</v>
      </c>
      <c r="D112" s="20" t="n">
        <v>2.2</v>
      </c>
      <c r="E112" s="20" t="n">
        <v>84.05</v>
      </c>
      <c r="F112" s="20" t="n">
        <v>1.5</v>
      </c>
      <c r="G112" s="21" t="s">
        <v>418</v>
      </c>
    </row>
    <row r="113" customFormat="false" ht="15" hidden="false" customHeight="false" outlineLevel="0" collapsed="false">
      <c r="A113" s="19" t="s">
        <v>419</v>
      </c>
      <c r="B113" s="19" t="s">
        <v>420</v>
      </c>
      <c r="C113" s="19" t="s">
        <v>133</v>
      </c>
      <c r="D113" s="20" t="n">
        <v>2.2</v>
      </c>
      <c r="E113" s="20" t="n">
        <v>88.25</v>
      </c>
      <c r="F113" s="20" t="n">
        <v>1.5</v>
      </c>
      <c r="G113" s="21" t="s">
        <v>421</v>
      </c>
    </row>
    <row r="114" customFormat="false" ht="15" hidden="false" customHeight="false" outlineLevel="0" collapsed="false">
      <c r="A114" s="19" t="s">
        <v>422</v>
      </c>
      <c r="B114" s="19" t="s">
        <v>423</v>
      </c>
      <c r="C114" s="19" t="s">
        <v>133</v>
      </c>
      <c r="D114" s="20" t="n">
        <v>2.2</v>
      </c>
      <c r="E114" s="20" t="n">
        <v>92.45</v>
      </c>
      <c r="F114" s="20" t="n">
        <v>1.5</v>
      </c>
      <c r="G114" s="21" t="s">
        <v>424</v>
      </c>
    </row>
    <row r="115" customFormat="false" ht="15" hidden="false" customHeight="false" outlineLevel="0" collapsed="false">
      <c r="A115" s="19" t="s">
        <v>425</v>
      </c>
      <c r="B115" s="19" t="s">
        <v>426</v>
      </c>
      <c r="C115" s="19" t="s">
        <v>133</v>
      </c>
      <c r="D115" s="20" t="n">
        <v>2.2</v>
      </c>
      <c r="E115" s="20" t="n">
        <v>96.65</v>
      </c>
      <c r="F115" s="20" t="n">
        <v>1.5</v>
      </c>
      <c r="G115" s="21" t="s">
        <v>427</v>
      </c>
    </row>
    <row r="116" customFormat="false" ht="15" hidden="false" customHeight="false" outlineLevel="0" collapsed="false">
      <c r="A116" s="19" t="s">
        <v>428</v>
      </c>
      <c r="B116" s="19" t="s">
        <v>429</v>
      </c>
      <c r="C116" s="19" t="s">
        <v>133</v>
      </c>
      <c r="D116" s="20" t="n">
        <v>2.2</v>
      </c>
      <c r="E116" s="20" t="n">
        <v>100.85</v>
      </c>
      <c r="F116" s="20" t="n">
        <v>1.5</v>
      </c>
      <c r="G116" s="21" t="s">
        <v>430</v>
      </c>
    </row>
    <row r="117" customFormat="false" ht="15" hidden="false" customHeight="false" outlineLevel="0" collapsed="false">
      <c r="A117" s="19" t="s">
        <v>431</v>
      </c>
      <c r="B117" s="19" t="s">
        <v>432</v>
      </c>
      <c r="C117" s="19" t="s">
        <v>133</v>
      </c>
      <c r="D117" s="20" t="n">
        <v>-4</v>
      </c>
      <c r="E117" s="20" t="n">
        <v>71.45</v>
      </c>
      <c r="F117" s="20" t="n">
        <v>1</v>
      </c>
      <c r="G117" s="21" t="s">
        <v>409</v>
      </c>
    </row>
    <row r="118" customFormat="false" ht="15" hidden="false" customHeight="false" outlineLevel="0" collapsed="false">
      <c r="A118" s="19" t="s">
        <v>433</v>
      </c>
      <c r="B118" s="19" t="s">
        <v>434</v>
      </c>
      <c r="C118" s="19" t="s">
        <v>133</v>
      </c>
      <c r="D118" s="20" t="n">
        <v>-4</v>
      </c>
      <c r="E118" s="20" t="n">
        <v>75.65</v>
      </c>
      <c r="F118" s="20" t="n">
        <v>1</v>
      </c>
      <c r="G118" s="21" t="s">
        <v>412</v>
      </c>
    </row>
    <row r="119" customFormat="false" ht="15" hidden="false" customHeight="false" outlineLevel="0" collapsed="false">
      <c r="A119" s="19" t="s">
        <v>435</v>
      </c>
      <c r="B119" s="19" t="s">
        <v>436</v>
      </c>
      <c r="C119" s="19" t="s">
        <v>133</v>
      </c>
      <c r="D119" s="20" t="n">
        <v>-4</v>
      </c>
      <c r="E119" s="20" t="n">
        <v>79.85</v>
      </c>
      <c r="F119" s="20" t="n">
        <v>1</v>
      </c>
      <c r="G119" s="21" t="s">
        <v>415</v>
      </c>
    </row>
    <row r="120" customFormat="false" ht="15" hidden="false" customHeight="false" outlineLevel="0" collapsed="false">
      <c r="A120" s="19" t="s">
        <v>437</v>
      </c>
      <c r="B120" s="19" t="s">
        <v>438</v>
      </c>
      <c r="C120" s="19" t="s">
        <v>133</v>
      </c>
      <c r="D120" s="20" t="n">
        <v>-4</v>
      </c>
      <c r="E120" s="20" t="n">
        <v>84.05</v>
      </c>
      <c r="F120" s="20" t="n">
        <v>1</v>
      </c>
      <c r="G120" s="21" t="s">
        <v>418</v>
      </c>
    </row>
    <row r="121" customFormat="false" ht="15" hidden="false" customHeight="false" outlineLevel="0" collapsed="false">
      <c r="A121" s="19" t="s">
        <v>439</v>
      </c>
      <c r="B121" s="19" t="s">
        <v>440</v>
      </c>
      <c r="C121" s="19" t="s">
        <v>133</v>
      </c>
      <c r="D121" s="20" t="n">
        <v>-4</v>
      </c>
      <c r="E121" s="20" t="n">
        <v>88.25</v>
      </c>
      <c r="F121" s="20" t="n">
        <v>1</v>
      </c>
      <c r="G121" s="21" t="s">
        <v>421</v>
      </c>
    </row>
    <row r="122" customFormat="false" ht="15" hidden="false" customHeight="false" outlineLevel="0" collapsed="false">
      <c r="A122" s="19" t="s">
        <v>441</v>
      </c>
      <c r="B122" s="19" t="s">
        <v>442</v>
      </c>
      <c r="C122" s="19" t="s">
        <v>133</v>
      </c>
      <c r="D122" s="20" t="n">
        <v>-4</v>
      </c>
      <c r="E122" s="20" t="n">
        <v>92.45</v>
      </c>
      <c r="F122" s="20" t="n">
        <v>1</v>
      </c>
      <c r="G122" s="21" t="s">
        <v>424</v>
      </c>
    </row>
    <row r="123" customFormat="false" ht="15" hidden="false" customHeight="false" outlineLevel="0" collapsed="false">
      <c r="A123" s="19" t="s">
        <v>443</v>
      </c>
      <c r="B123" s="19" t="s">
        <v>444</v>
      </c>
      <c r="C123" s="19" t="s">
        <v>133</v>
      </c>
      <c r="D123" s="20" t="n">
        <v>-4</v>
      </c>
      <c r="E123" s="20" t="n">
        <v>96.65</v>
      </c>
      <c r="F123" s="20" t="n">
        <v>1</v>
      </c>
      <c r="G123" s="21" t="s">
        <v>427</v>
      </c>
    </row>
    <row r="124" customFormat="false" ht="15" hidden="false" customHeight="false" outlineLevel="0" collapsed="false">
      <c r="A124" s="19" t="s">
        <v>445</v>
      </c>
      <c r="B124" s="19" t="s">
        <v>446</v>
      </c>
      <c r="C124" s="19" t="s">
        <v>133</v>
      </c>
      <c r="D124" s="20" t="n">
        <v>-4</v>
      </c>
      <c r="E124" s="20" t="n">
        <v>100.85</v>
      </c>
      <c r="F124" s="20" t="n">
        <v>1</v>
      </c>
      <c r="G124" s="21" t="s">
        <v>430</v>
      </c>
    </row>
    <row r="125" customFormat="false" ht="15" hidden="false" customHeight="false" outlineLevel="0" collapsed="false">
      <c r="A125" s="19" t="s">
        <v>447</v>
      </c>
      <c r="B125" s="19" t="s">
        <v>448</v>
      </c>
      <c r="C125" s="19" t="s">
        <v>449</v>
      </c>
      <c r="D125" s="20" t="n">
        <v>-60</v>
      </c>
      <c r="E125" s="20" t="n">
        <v>10</v>
      </c>
      <c r="F125" s="20" t="n">
        <v>0</v>
      </c>
      <c r="G125" s="21" t="s">
        <v>450</v>
      </c>
    </row>
    <row r="126" customFormat="false" ht="15" hidden="false" customHeight="false" outlineLevel="0" collapsed="false">
      <c r="A126" s="19" t="s">
        <v>451</v>
      </c>
      <c r="B126" s="19" t="s">
        <v>452</v>
      </c>
      <c r="C126" s="19" t="s">
        <v>449</v>
      </c>
      <c r="D126" s="20" t="n">
        <v>-60</v>
      </c>
      <c r="E126" s="20" t="n">
        <v>10</v>
      </c>
      <c r="F126" s="20" t="n">
        <v>24</v>
      </c>
      <c r="G126" s="21" t="s">
        <v>453</v>
      </c>
    </row>
    <row r="127" customFormat="false" ht="15" hidden="false" customHeight="false" outlineLevel="0" collapsed="false">
      <c r="A127" s="19" t="s">
        <v>454</v>
      </c>
      <c r="B127" s="19" t="s">
        <v>455</v>
      </c>
      <c r="C127" s="19" t="s">
        <v>449</v>
      </c>
      <c r="D127" s="20" t="n">
        <v>-58</v>
      </c>
      <c r="E127" s="20" t="n">
        <v>12</v>
      </c>
      <c r="F127" s="20" t="n">
        <v>24</v>
      </c>
      <c r="G127" s="21" t="s">
        <v>453</v>
      </c>
    </row>
    <row r="128" customFormat="false" ht="15" hidden="false" customHeight="false" outlineLevel="0" collapsed="false">
      <c r="A128" s="19" t="s">
        <v>456</v>
      </c>
      <c r="B128" s="19" t="s">
        <v>457</v>
      </c>
      <c r="C128" s="19" t="s">
        <v>449</v>
      </c>
      <c r="D128" s="20" t="n">
        <v>-60</v>
      </c>
      <c r="E128" s="20" t="n">
        <v>-6</v>
      </c>
      <c r="F128" s="20" t="n">
        <v>24</v>
      </c>
      <c r="G128" s="21" t="s">
        <v>458</v>
      </c>
    </row>
    <row r="129" customFormat="false" ht="15" hidden="false" customHeight="false" outlineLevel="0" collapsed="false">
      <c r="A129" s="19" t="s">
        <v>459</v>
      </c>
      <c r="B129" s="19" t="s">
        <v>460</v>
      </c>
      <c r="C129" s="19" t="s">
        <v>449</v>
      </c>
      <c r="D129" s="20" t="n">
        <v>-45</v>
      </c>
      <c r="E129" s="20" t="n">
        <v>25</v>
      </c>
      <c r="F129" s="20" t="n">
        <v>0.5</v>
      </c>
      <c r="G129" s="22" t="s">
        <v>461</v>
      </c>
    </row>
    <row r="130" customFormat="false" ht="15" hidden="false" customHeight="false" outlineLevel="0" collapsed="false">
      <c r="A130" s="19" t="s">
        <v>462</v>
      </c>
      <c r="B130" s="19" t="s">
        <v>463</v>
      </c>
      <c r="C130" s="19" t="s">
        <v>449</v>
      </c>
      <c r="D130" s="20" t="n">
        <v>-44</v>
      </c>
      <c r="E130" s="20" t="n">
        <v>8</v>
      </c>
      <c r="F130" s="20" t="n">
        <v>0.5</v>
      </c>
      <c r="G130" s="21" t="s">
        <v>464</v>
      </c>
    </row>
    <row r="131" customFormat="false" ht="15" hidden="false" customHeight="false" outlineLevel="0" collapsed="false">
      <c r="A131" s="19" t="s">
        <v>465</v>
      </c>
      <c r="B131" s="19" t="s">
        <v>466</v>
      </c>
      <c r="C131" s="19" t="s">
        <v>449</v>
      </c>
      <c r="D131" s="20" t="n">
        <v>-42</v>
      </c>
      <c r="E131" s="20" t="n">
        <v>4</v>
      </c>
      <c r="F131" s="20" t="n">
        <v>0.5</v>
      </c>
      <c r="G131" s="22" t="s">
        <v>162</v>
      </c>
    </row>
    <row r="132" customFormat="false" ht="15" hidden="false" customHeight="false" outlineLevel="0" collapsed="false">
      <c r="A132" s="19" t="s">
        <v>467</v>
      </c>
      <c r="B132" s="19" t="s">
        <v>468</v>
      </c>
      <c r="C132" s="19" t="s">
        <v>449</v>
      </c>
      <c r="D132" s="20" t="n">
        <v>-24</v>
      </c>
      <c r="E132" s="20" t="n">
        <v>10</v>
      </c>
      <c r="F132" s="20" t="n">
        <v>4</v>
      </c>
      <c r="G132" s="21" t="s">
        <v>469</v>
      </c>
    </row>
    <row r="133" customFormat="false" ht="15" hidden="false" customHeight="false" outlineLevel="0" collapsed="false">
      <c r="A133" s="19" t="s">
        <v>470</v>
      </c>
      <c r="B133" s="19" t="s">
        <v>471</v>
      </c>
      <c r="C133" s="19" t="s">
        <v>449</v>
      </c>
      <c r="D133" s="20" t="n">
        <v>-12</v>
      </c>
      <c r="E133" s="20" t="n">
        <v>16</v>
      </c>
      <c r="F133" s="20" t="n">
        <v>0.5</v>
      </c>
      <c r="G133" s="22" t="s">
        <v>472</v>
      </c>
    </row>
    <row r="134" customFormat="false" ht="15" hidden="false" customHeight="false" outlineLevel="0" collapsed="false">
      <c r="A134" s="19" t="s">
        <v>473</v>
      </c>
      <c r="B134" s="19" t="s">
        <v>474</v>
      </c>
      <c r="C134" s="19" t="s">
        <v>449</v>
      </c>
      <c r="D134" s="20" t="n">
        <v>-20</v>
      </c>
      <c r="E134" s="20" t="n">
        <v>12</v>
      </c>
      <c r="F134" s="20" t="n">
        <v>0.5</v>
      </c>
      <c r="G134" s="21" t="s">
        <v>475</v>
      </c>
    </row>
    <row r="135" customFormat="false" ht="15" hidden="false" customHeight="false" outlineLevel="0" collapsed="false">
      <c r="A135" s="19" t="s">
        <v>476</v>
      </c>
      <c r="B135" s="19" t="s">
        <v>477</v>
      </c>
      <c r="C135" s="19" t="s">
        <v>449</v>
      </c>
      <c r="D135" s="20" t="n">
        <v>-18</v>
      </c>
      <c r="E135" s="20" t="n">
        <v>12</v>
      </c>
      <c r="F135" s="20" t="n">
        <v>0.5</v>
      </c>
      <c r="G135" s="21" t="s">
        <v>478</v>
      </c>
    </row>
    <row r="136" customFormat="false" ht="15" hidden="false" customHeight="false" outlineLevel="0" collapsed="false">
      <c r="A136" s="19" t="s">
        <v>479</v>
      </c>
      <c r="B136" s="19" t="s">
        <v>480</v>
      </c>
      <c r="C136" s="19" t="s">
        <v>449</v>
      </c>
      <c r="D136" s="20" t="n">
        <v>-17</v>
      </c>
      <c r="E136" s="20" t="n">
        <v>12</v>
      </c>
      <c r="F136" s="20" t="n">
        <v>0.5</v>
      </c>
      <c r="G136" s="21" t="s">
        <v>478</v>
      </c>
    </row>
    <row r="137" customFormat="false" ht="15" hidden="false" customHeight="false" outlineLevel="0" collapsed="false">
      <c r="A137" s="19" t="s">
        <v>481</v>
      </c>
      <c r="B137" s="19" t="s">
        <v>482</v>
      </c>
      <c r="C137" s="19" t="s">
        <v>449</v>
      </c>
      <c r="D137" s="20" t="n">
        <v>-22</v>
      </c>
      <c r="E137" s="20" t="n">
        <v>12</v>
      </c>
      <c r="F137" s="20" t="n">
        <v>0.5</v>
      </c>
      <c r="G137" s="21" t="s">
        <v>478</v>
      </c>
    </row>
    <row r="138" customFormat="false" ht="15" hidden="false" customHeight="false" outlineLevel="0" collapsed="false">
      <c r="A138" s="19" t="s">
        <v>483</v>
      </c>
      <c r="B138" s="19" t="s">
        <v>484</v>
      </c>
      <c r="C138" s="19" t="s">
        <v>449</v>
      </c>
      <c r="D138" s="20" t="n">
        <v>-7.25</v>
      </c>
      <c r="E138" s="20" t="n">
        <v>-3</v>
      </c>
      <c r="F138" s="20" t="n">
        <v>2.2</v>
      </c>
      <c r="G138" s="21" t="s">
        <v>485</v>
      </c>
    </row>
    <row r="139" customFormat="false" ht="15" hidden="false" customHeight="false" outlineLevel="0" collapsed="false">
      <c r="A139" s="19" t="s">
        <v>486</v>
      </c>
      <c r="B139" s="19" t="s">
        <v>487</v>
      </c>
      <c r="C139" s="19" t="s">
        <v>449</v>
      </c>
      <c r="D139" s="20" t="n">
        <v>-7.25</v>
      </c>
      <c r="E139" s="20" t="n">
        <v>0</v>
      </c>
      <c r="F139" s="20" t="n">
        <v>2.2</v>
      </c>
      <c r="G139" s="21" t="s">
        <v>488</v>
      </c>
    </row>
    <row r="140" customFormat="false" ht="15" hidden="false" customHeight="false" outlineLevel="0" collapsed="false">
      <c r="A140" s="19" t="s">
        <v>489</v>
      </c>
      <c r="B140" s="19" t="s">
        <v>490</v>
      </c>
      <c r="C140" s="19" t="s">
        <v>449</v>
      </c>
      <c r="D140" s="20" t="n">
        <v>-7.25</v>
      </c>
      <c r="E140" s="20" t="n">
        <v>3</v>
      </c>
      <c r="F140" s="20" t="n">
        <v>2.2</v>
      </c>
      <c r="G140" s="21" t="s">
        <v>491</v>
      </c>
    </row>
    <row r="141" customFormat="false" ht="15" hidden="false" customHeight="false" outlineLevel="0" collapsed="false">
      <c r="A141" s="19" t="s">
        <v>492</v>
      </c>
      <c r="B141" s="19" t="s">
        <v>493</v>
      </c>
      <c r="C141" s="19" t="s">
        <v>449</v>
      </c>
      <c r="D141" s="20" t="n">
        <v>1.5</v>
      </c>
      <c r="E141" s="20" t="n">
        <v>1.5</v>
      </c>
      <c r="F141" s="20" t="n">
        <v>2.5</v>
      </c>
      <c r="G141" s="21" t="s">
        <v>494</v>
      </c>
    </row>
    <row r="142" customFormat="false" ht="15" hidden="false" customHeight="false" outlineLevel="0" collapsed="false">
      <c r="A142" s="19" t="s">
        <v>495</v>
      </c>
      <c r="B142" s="19" t="s">
        <v>496</v>
      </c>
      <c r="C142" s="19" t="s">
        <v>449</v>
      </c>
      <c r="D142" s="20" t="n">
        <v>2</v>
      </c>
      <c r="E142" s="20" t="n">
        <v>7</v>
      </c>
      <c r="F142" s="20" t="n">
        <v>1.5</v>
      </c>
      <c r="G142" s="21" t="s">
        <v>497</v>
      </c>
    </row>
    <row r="143" customFormat="false" ht="15" hidden="false" customHeight="false" outlineLevel="0" collapsed="false">
      <c r="A143" s="19" t="s">
        <v>498</v>
      </c>
      <c r="B143" s="19" t="s">
        <v>499</v>
      </c>
      <c r="C143" s="19" t="s">
        <v>449</v>
      </c>
      <c r="D143" s="20" t="n">
        <v>-10</v>
      </c>
      <c r="E143" s="20" t="n">
        <v>8</v>
      </c>
      <c r="F143" s="20" t="n">
        <v>0.5</v>
      </c>
      <c r="G143" s="21" t="s">
        <v>500</v>
      </c>
    </row>
    <row r="144" customFormat="false" ht="15" hidden="false" customHeight="false" outlineLevel="0" collapsed="false">
      <c r="A144" s="19" t="s">
        <v>501</v>
      </c>
      <c r="B144" s="19" t="s">
        <v>502</v>
      </c>
      <c r="C144" s="19" t="s">
        <v>449</v>
      </c>
      <c r="D144" s="20" t="n">
        <v>-30</v>
      </c>
      <c r="E144" s="20" t="n">
        <v>5</v>
      </c>
      <c r="F144" s="20" t="n">
        <v>-0.8</v>
      </c>
      <c r="G144" s="21" t="s">
        <v>233</v>
      </c>
    </row>
    <row r="145" customFormat="false" ht="15" hidden="false" customHeight="false" outlineLevel="0" collapsed="false">
      <c r="A145" s="19" t="s">
        <v>503</v>
      </c>
      <c r="B145" s="19" t="s">
        <v>504</v>
      </c>
      <c r="C145" s="19" t="s">
        <v>505</v>
      </c>
      <c r="D145" s="20" t="n">
        <v>36</v>
      </c>
      <c r="E145" s="20" t="n">
        <v>52</v>
      </c>
      <c r="F145" s="20" t="n">
        <v>0.5</v>
      </c>
      <c r="G145" s="21" t="s">
        <v>506</v>
      </c>
    </row>
    <row r="146" customFormat="false" ht="15" hidden="false" customHeight="false" outlineLevel="0" collapsed="false">
      <c r="A146" s="19" t="s">
        <v>507</v>
      </c>
      <c r="B146" s="19" t="s">
        <v>508</v>
      </c>
      <c r="C146" s="19" t="s">
        <v>505</v>
      </c>
      <c r="D146" s="20" t="n">
        <v>44</v>
      </c>
      <c r="E146" s="20" t="n">
        <v>52</v>
      </c>
      <c r="F146" s="20" t="n">
        <v>0.5</v>
      </c>
      <c r="G146" s="21" t="s">
        <v>402</v>
      </c>
    </row>
    <row r="147" customFormat="false" ht="15" hidden="false" customHeight="false" outlineLevel="0" collapsed="false">
      <c r="A147" s="19" t="s">
        <v>509</v>
      </c>
      <c r="B147" s="19" t="s">
        <v>510</v>
      </c>
      <c r="C147" s="19" t="s">
        <v>505</v>
      </c>
      <c r="D147" s="20" t="n">
        <v>34</v>
      </c>
      <c r="E147" s="20" t="n">
        <v>57</v>
      </c>
      <c r="F147" s="20" t="n">
        <v>0.5</v>
      </c>
      <c r="G147" s="21" t="s">
        <v>511</v>
      </c>
    </row>
    <row r="148" customFormat="false" ht="15" hidden="false" customHeight="false" outlineLevel="0" collapsed="false">
      <c r="A148" s="19" t="s">
        <v>512</v>
      </c>
      <c r="B148" s="19" t="s">
        <v>513</v>
      </c>
      <c r="C148" s="19" t="s">
        <v>505</v>
      </c>
      <c r="D148" s="20" t="n">
        <v>40</v>
      </c>
      <c r="E148" s="20" t="n">
        <v>55</v>
      </c>
      <c r="F148" s="20" t="n">
        <v>0.5</v>
      </c>
      <c r="G148" s="21" t="s">
        <v>402</v>
      </c>
    </row>
    <row r="149" customFormat="false" ht="15" hidden="false" customHeight="false" outlineLevel="0" collapsed="false">
      <c r="A149" s="19" t="s">
        <v>514</v>
      </c>
      <c r="B149" s="19" t="s">
        <v>515</v>
      </c>
      <c r="C149" s="19" t="s">
        <v>505</v>
      </c>
      <c r="D149" s="20" t="n">
        <v>38</v>
      </c>
      <c r="E149" s="20" t="n">
        <v>55</v>
      </c>
      <c r="F149" s="20" t="n">
        <v>0.5</v>
      </c>
      <c r="G149" s="21" t="s">
        <v>402</v>
      </c>
    </row>
    <row r="150" customFormat="false" ht="15" hidden="false" customHeight="false" outlineLevel="0" collapsed="false">
      <c r="A150" s="19" t="s">
        <v>516</v>
      </c>
      <c r="B150" s="19" t="s">
        <v>517</v>
      </c>
      <c r="C150" s="19" t="s">
        <v>505</v>
      </c>
      <c r="D150" s="20" t="n">
        <v>42</v>
      </c>
      <c r="E150" s="20" t="n">
        <v>55</v>
      </c>
      <c r="F150" s="20" t="n">
        <v>0.5</v>
      </c>
      <c r="G150" s="21" t="s">
        <v>402</v>
      </c>
    </row>
    <row r="151" customFormat="false" ht="15" hidden="false" customHeight="false" outlineLevel="0" collapsed="false">
      <c r="A151" s="19" t="s">
        <v>518</v>
      </c>
      <c r="B151" s="19" t="s">
        <v>519</v>
      </c>
      <c r="C151" s="19" t="s">
        <v>505</v>
      </c>
      <c r="D151" s="20" t="n">
        <v>43</v>
      </c>
      <c r="E151" s="20" t="n">
        <v>55</v>
      </c>
      <c r="F151" s="20" t="n">
        <v>0.5</v>
      </c>
      <c r="G151" s="21" t="s">
        <v>402</v>
      </c>
    </row>
    <row r="152" customFormat="false" ht="15" hidden="false" customHeight="false" outlineLevel="0" collapsed="false">
      <c r="A152" s="19" t="s">
        <v>520</v>
      </c>
      <c r="B152" s="19" t="s">
        <v>521</v>
      </c>
      <c r="C152" s="19" t="s">
        <v>505</v>
      </c>
      <c r="D152" s="20" t="n">
        <v>39</v>
      </c>
      <c r="E152" s="20" t="n">
        <v>55.5</v>
      </c>
      <c r="F152" s="20" t="n">
        <v>0.5</v>
      </c>
      <c r="G152" s="21" t="s">
        <v>402</v>
      </c>
    </row>
    <row r="153" customFormat="false" ht="15" hidden="false" customHeight="false" outlineLevel="0" collapsed="false">
      <c r="A153" s="19" t="s">
        <v>522</v>
      </c>
      <c r="B153" s="19" t="s">
        <v>523</v>
      </c>
      <c r="C153" s="19" t="s">
        <v>108</v>
      </c>
      <c r="D153" s="20" t="n">
        <v>50</v>
      </c>
      <c r="E153" s="20" t="n">
        <v>137.5</v>
      </c>
      <c r="F153" s="20" t="n">
        <v>-0.8</v>
      </c>
      <c r="G153" s="21" t="s">
        <v>233</v>
      </c>
    </row>
  </sheetData>
  <autoFilter ref="A1:G1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78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70"/>
  </cols>
  <sheetData>
    <row r="1" customFormat="false" ht="32.8" hidden="false" customHeight="false" outlineLevel="0" collapsed="false">
      <c r="A1" s="18" t="s">
        <v>524</v>
      </c>
      <c r="B1" s="18" t="s">
        <v>100</v>
      </c>
      <c r="C1" s="18" t="s">
        <v>525</v>
      </c>
      <c r="D1" s="18" t="s">
        <v>526</v>
      </c>
      <c r="E1" s="18" t="s">
        <v>527</v>
      </c>
      <c r="F1" s="18" t="s">
        <v>528</v>
      </c>
      <c r="G1" s="18" t="s">
        <v>529</v>
      </c>
      <c r="H1" s="18" t="s">
        <v>530</v>
      </c>
      <c r="I1" s="18" t="s">
        <v>531</v>
      </c>
      <c r="J1" s="18" t="s">
        <v>532</v>
      </c>
    </row>
    <row r="2" customFormat="false" ht="15" hidden="false" customHeight="false" outlineLevel="0" collapsed="false">
      <c r="A2" s="19" t="s">
        <v>533</v>
      </c>
      <c r="B2" s="19" t="s">
        <v>534</v>
      </c>
      <c r="C2" s="19" t="s">
        <v>65</v>
      </c>
      <c r="D2" s="19" t="n">
        <v>3</v>
      </c>
      <c r="E2" s="19" t="n">
        <v>28.1</v>
      </c>
      <c r="F2" s="23" t="n">
        <v>900</v>
      </c>
      <c r="G2" s="24"/>
      <c r="H2" s="19" t="n">
        <v>1.628</v>
      </c>
      <c r="I2" s="19" t="n">
        <v>2000</v>
      </c>
      <c r="J2" s="21" t="s">
        <v>535</v>
      </c>
    </row>
    <row r="3" customFormat="false" ht="15" hidden="false" customHeight="false" outlineLevel="0" collapsed="false">
      <c r="A3" s="19" t="s">
        <v>536</v>
      </c>
      <c r="B3" s="19" t="s">
        <v>537</v>
      </c>
      <c r="C3" s="19" t="s">
        <v>65</v>
      </c>
      <c r="D3" s="19" t="n">
        <v>6</v>
      </c>
      <c r="E3" s="19" t="n">
        <v>28.1</v>
      </c>
      <c r="F3" s="23" t="n">
        <v>1800</v>
      </c>
      <c r="G3" s="24"/>
      <c r="H3" s="19" t="n">
        <v>1.628</v>
      </c>
      <c r="I3" s="19" t="n">
        <v>2000</v>
      </c>
      <c r="J3" s="21" t="s">
        <v>535</v>
      </c>
    </row>
    <row r="4" customFormat="false" ht="15" hidden="false" customHeight="false" outlineLevel="0" collapsed="false">
      <c r="A4" s="19" t="s">
        <v>538</v>
      </c>
      <c r="B4" s="19" t="s">
        <v>539</v>
      </c>
      <c r="C4" s="19" t="s">
        <v>65</v>
      </c>
      <c r="D4" s="19" t="n">
        <v>1</v>
      </c>
      <c r="E4" s="19" t="n">
        <v>11.1</v>
      </c>
      <c r="F4" s="19"/>
      <c r="G4" s="24"/>
      <c r="H4" s="19" t="n">
        <v>0.595</v>
      </c>
      <c r="I4" s="19" t="n">
        <v>3000</v>
      </c>
      <c r="J4" s="21" t="s">
        <v>535</v>
      </c>
    </row>
    <row r="5" customFormat="false" ht="15" hidden="false" customHeight="false" outlineLevel="0" collapsed="false">
      <c r="A5" s="19" t="s">
        <v>540</v>
      </c>
      <c r="B5" s="19" t="s">
        <v>541</v>
      </c>
      <c r="C5" s="19" t="s">
        <v>65</v>
      </c>
      <c r="D5" s="19" t="n">
        <v>1</v>
      </c>
      <c r="E5" s="19" t="n">
        <v>14</v>
      </c>
      <c r="F5" s="19"/>
      <c r="G5" s="24"/>
      <c r="H5" s="19" t="n">
        <v>0.62</v>
      </c>
      <c r="I5" s="19" t="n">
        <v>4000</v>
      </c>
      <c r="J5" s="21" t="s">
        <v>535</v>
      </c>
    </row>
    <row r="6" customFormat="false" ht="15" hidden="false" customHeight="false" outlineLevel="0" collapsed="false">
      <c r="A6" s="19" t="s">
        <v>542</v>
      </c>
      <c r="B6" s="19" t="s">
        <v>543</v>
      </c>
      <c r="C6" s="19" t="s">
        <v>68</v>
      </c>
      <c r="D6" s="19" t="n">
        <v>3</v>
      </c>
      <c r="E6" s="19"/>
      <c r="F6" s="23" t="n">
        <v>10000</v>
      </c>
      <c r="G6" s="24"/>
      <c r="H6" s="19" t="n">
        <v>160</v>
      </c>
      <c r="I6" s="19"/>
      <c r="J6" s="21" t="s">
        <v>544</v>
      </c>
    </row>
    <row r="7" customFormat="false" ht="15" hidden="false" customHeight="false" outlineLevel="0" collapsed="false">
      <c r="A7" s="19" t="s">
        <v>545</v>
      </c>
      <c r="B7" s="19" t="s">
        <v>546</v>
      </c>
      <c r="C7" s="19" t="s">
        <v>68</v>
      </c>
      <c r="D7" s="19" t="n">
        <v>3</v>
      </c>
      <c r="E7" s="19"/>
      <c r="F7" s="23" t="n">
        <v>7000</v>
      </c>
      <c r="G7" s="24"/>
      <c r="H7" s="19" t="n">
        <v>120</v>
      </c>
      <c r="I7" s="19"/>
      <c r="J7" s="21" t="s">
        <v>544</v>
      </c>
    </row>
    <row r="8" customFormat="false" ht="15" hidden="false" customHeight="false" outlineLevel="0" collapsed="false">
      <c r="A8" s="19" t="s">
        <v>547</v>
      </c>
      <c r="B8" s="19" t="s">
        <v>548</v>
      </c>
      <c r="C8" s="19" t="s">
        <v>68</v>
      </c>
      <c r="D8" s="19" t="n">
        <v>3</v>
      </c>
      <c r="E8" s="19"/>
      <c r="F8" s="23" t="n">
        <v>3000</v>
      </c>
      <c r="G8" s="24"/>
      <c r="H8" s="19" t="n">
        <v>70</v>
      </c>
      <c r="I8" s="19"/>
      <c r="J8" s="21" t="s">
        <v>544</v>
      </c>
    </row>
    <row r="9" customFormat="false" ht="15" hidden="false" customHeight="false" outlineLevel="0" collapsed="false">
      <c r="A9" s="19" t="s">
        <v>549</v>
      </c>
      <c r="B9" s="19" t="s">
        <v>550</v>
      </c>
      <c r="C9" s="19" t="s">
        <v>68</v>
      </c>
      <c r="D9" s="19" t="n">
        <v>1</v>
      </c>
      <c r="E9" s="19"/>
      <c r="F9" s="23" t="n">
        <v>4000</v>
      </c>
      <c r="G9" s="24"/>
      <c r="H9" s="19" t="n">
        <v>45</v>
      </c>
      <c r="I9" s="19"/>
      <c r="J9" s="21" t="s">
        <v>544</v>
      </c>
    </row>
    <row r="10" customFormat="false" ht="15" hidden="false" customHeight="false" outlineLevel="0" collapsed="false">
      <c r="A10" s="19" t="s">
        <v>551</v>
      </c>
      <c r="B10" s="19" t="s">
        <v>552</v>
      </c>
      <c r="C10" s="19" t="s">
        <v>68</v>
      </c>
      <c r="D10" s="19" t="n">
        <v>1</v>
      </c>
      <c r="E10" s="19"/>
      <c r="F10" s="23" t="n">
        <v>2500</v>
      </c>
      <c r="G10" s="24"/>
      <c r="H10" s="19" t="n">
        <v>30</v>
      </c>
      <c r="I10" s="19"/>
      <c r="J10" s="21" t="s">
        <v>544</v>
      </c>
    </row>
    <row r="11" customFormat="false" ht="15" hidden="false" customHeight="false" outlineLevel="0" collapsed="false">
      <c r="A11" s="19" t="s">
        <v>553</v>
      </c>
      <c r="B11" s="19" t="s">
        <v>554</v>
      </c>
      <c r="C11" s="19" t="s">
        <v>71</v>
      </c>
      <c r="D11" s="19" t="n">
        <v>1</v>
      </c>
      <c r="E11" s="19" t="n">
        <v>33</v>
      </c>
      <c r="F11" s="23" t="n">
        <v>195</v>
      </c>
      <c r="G11" s="24"/>
      <c r="H11" s="19" t="n">
        <v>1.6</v>
      </c>
      <c r="I11" s="19" t="n">
        <v>300</v>
      </c>
      <c r="J11" s="21" t="s">
        <v>555</v>
      </c>
    </row>
    <row r="12" customFormat="false" ht="15" hidden="false" customHeight="false" outlineLevel="0" collapsed="false">
      <c r="A12" s="19" t="s">
        <v>556</v>
      </c>
      <c r="B12" s="19" t="s">
        <v>557</v>
      </c>
      <c r="C12" s="19" t="s">
        <v>71</v>
      </c>
      <c r="D12" s="19" t="n">
        <v>1</v>
      </c>
      <c r="E12" s="19" t="n">
        <v>61</v>
      </c>
      <c r="F12" s="23" t="n">
        <v>165</v>
      </c>
      <c r="G12" s="24" t="n">
        <v>1.068</v>
      </c>
      <c r="H12" s="19" t="n">
        <v>4</v>
      </c>
      <c r="I12" s="19" t="n">
        <v>300</v>
      </c>
      <c r="J12" s="21" t="s">
        <v>555</v>
      </c>
    </row>
    <row r="13" customFormat="false" ht="15" hidden="false" customHeight="false" outlineLevel="0" collapsed="false">
      <c r="A13" s="19" t="s">
        <v>558</v>
      </c>
      <c r="B13" s="19" t="s">
        <v>559</v>
      </c>
      <c r="C13" s="19" t="s">
        <v>71</v>
      </c>
      <c r="D13" s="19" t="n">
        <v>1</v>
      </c>
      <c r="E13" s="19" t="n">
        <v>66</v>
      </c>
      <c r="F13" s="23" t="n">
        <v>215</v>
      </c>
      <c r="G13" s="24" t="n">
        <v>0.716</v>
      </c>
      <c r="H13" s="19" t="n">
        <v>5.3</v>
      </c>
      <c r="I13" s="19" t="n">
        <v>300</v>
      </c>
      <c r="J13" s="21" t="s">
        <v>555</v>
      </c>
    </row>
    <row r="14" customFormat="false" ht="15" hidden="false" customHeight="false" outlineLevel="0" collapsed="false">
      <c r="A14" s="19" t="s">
        <v>560</v>
      </c>
      <c r="B14" s="19" t="s">
        <v>561</v>
      </c>
      <c r="C14" s="19" t="s">
        <v>71</v>
      </c>
      <c r="D14" s="19" t="n">
        <v>1</v>
      </c>
      <c r="E14" s="19" t="n">
        <v>76</v>
      </c>
      <c r="F14" s="23" t="n">
        <v>310</v>
      </c>
      <c r="G14" s="24" t="n">
        <v>0.426</v>
      </c>
      <c r="H14" s="19" t="n">
        <v>8</v>
      </c>
      <c r="I14" s="19" t="n">
        <v>300</v>
      </c>
      <c r="J14" s="21" t="s">
        <v>555</v>
      </c>
    </row>
    <row r="15" customFormat="false" ht="15" hidden="false" customHeight="false" outlineLevel="0" collapsed="false">
      <c r="A15" s="19" t="s">
        <v>562</v>
      </c>
      <c r="B15" s="19" t="s">
        <v>563</v>
      </c>
      <c r="C15" s="19" t="s">
        <v>71</v>
      </c>
      <c r="D15" s="19" t="n">
        <v>1</v>
      </c>
      <c r="E15" s="19" t="n">
        <v>94</v>
      </c>
      <c r="F15" s="23" t="n">
        <v>515</v>
      </c>
      <c r="G15" s="24" t="n">
        <v>0.256</v>
      </c>
      <c r="H15" s="19" t="n">
        <v>15.5</v>
      </c>
      <c r="I15" s="19" t="n">
        <v>300</v>
      </c>
      <c r="J15" s="21" t="s">
        <v>555</v>
      </c>
    </row>
    <row r="16" customFormat="false" ht="15" hidden="false" customHeight="false" outlineLevel="0" collapsed="false">
      <c r="A16" s="19" t="s">
        <v>564</v>
      </c>
      <c r="B16" s="19" t="s">
        <v>565</v>
      </c>
      <c r="C16" s="19" t="s">
        <v>71</v>
      </c>
      <c r="D16" s="19" t="n">
        <v>3</v>
      </c>
      <c r="E16" s="19" t="n">
        <v>41</v>
      </c>
      <c r="F16" s="23" t="n">
        <v>585</v>
      </c>
      <c r="G16" s="24" t="n">
        <v>0.256</v>
      </c>
      <c r="H16" s="19" t="n">
        <v>4.4</v>
      </c>
      <c r="I16" s="19" t="n">
        <v>300</v>
      </c>
      <c r="J16" s="21" t="s">
        <v>555</v>
      </c>
    </row>
    <row r="17" customFormat="false" ht="15" hidden="false" customHeight="false" outlineLevel="0" collapsed="false">
      <c r="A17" s="19" t="s">
        <v>566</v>
      </c>
      <c r="B17" s="19" t="s">
        <v>567</v>
      </c>
      <c r="C17" s="19" t="s">
        <v>71</v>
      </c>
      <c r="D17" s="19" t="n">
        <v>3</v>
      </c>
      <c r="E17" s="19" t="n">
        <v>46</v>
      </c>
      <c r="F17" s="23" t="n">
        <v>740</v>
      </c>
      <c r="G17" s="24" t="n">
        <v>0.21</v>
      </c>
      <c r="H17" s="19" t="n">
        <v>6.2</v>
      </c>
      <c r="I17" s="19" t="n">
        <v>300</v>
      </c>
      <c r="J17" s="21" t="s">
        <v>555</v>
      </c>
    </row>
    <row r="18" customFormat="false" ht="15" hidden="false" customHeight="false" outlineLevel="0" collapsed="false">
      <c r="A18" s="19" t="s">
        <v>568</v>
      </c>
      <c r="B18" s="19" t="s">
        <v>569</v>
      </c>
      <c r="C18" s="19" t="s">
        <v>71</v>
      </c>
      <c r="D18" s="19" t="n">
        <v>3</v>
      </c>
      <c r="E18" s="19" t="n">
        <v>51</v>
      </c>
      <c r="F18" s="23" t="n">
        <v>860</v>
      </c>
      <c r="G18" s="24" t="n">
        <v>0.188</v>
      </c>
      <c r="H18" s="19" t="n">
        <v>7.9</v>
      </c>
      <c r="I18" s="19" t="n">
        <v>300</v>
      </c>
      <c r="J18" s="21" t="s">
        <v>555</v>
      </c>
    </row>
    <row r="19" customFormat="false" ht="15" hidden="false" customHeight="false" outlineLevel="0" collapsed="false">
      <c r="A19" s="19" t="s">
        <v>570</v>
      </c>
      <c r="B19" s="19" t="s">
        <v>571</v>
      </c>
      <c r="C19" s="19" t="s">
        <v>74</v>
      </c>
      <c r="D19" s="19" t="n">
        <v>1</v>
      </c>
      <c r="E19" s="19" t="n">
        <v>20</v>
      </c>
      <c r="F19" s="23" t="n">
        <v>35</v>
      </c>
      <c r="G19" s="24" t="n">
        <v>6.251</v>
      </c>
      <c r="H19" s="19" t="n">
        <v>0.6</v>
      </c>
      <c r="I19" s="19" t="n">
        <v>600</v>
      </c>
      <c r="J19" s="21" t="s">
        <v>572</v>
      </c>
    </row>
    <row r="20" customFormat="false" ht="15" hidden="false" customHeight="false" outlineLevel="0" collapsed="false">
      <c r="A20" s="19" t="s">
        <v>573</v>
      </c>
      <c r="B20" s="19" t="s">
        <v>574</v>
      </c>
      <c r="C20" s="19" t="s">
        <v>74</v>
      </c>
      <c r="D20" s="19" t="n">
        <v>1</v>
      </c>
      <c r="E20" s="19" t="n">
        <v>24</v>
      </c>
      <c r="F20" s="23" t="n">
        <v>65</v>
      </c>
      <c r="G20" s="24" t="n">
        <v>2.557</v>
      </c>
      <c r="H20" s="19" t="n">
        <v>0.95</v>
      </c>
      <c r="I20" s="19" t="n">
        <v>600</v>
      </c>
      <c r="J20" s="21" t="s">
        <v>572</v>
      </c>
    </row>
    <row r="21" customFormat="false" ht="15" hidden="false" customHeight="false" outlineLevel="0" collapsed="false">
      <c r="A21" s="19" t="s">
        <v>575</v>
      </c>
      <c r="B21" s="19" t="s">
        <v>576</v>
      </c>
      <c r="C21" s="19" t="s">
        <v>74</v>
      </c>
      <c r="D21" s="19" t="n">
        <v>1</v>
      </c>
      <c r="E21" s="19" t="n">
        <v>31</v>
      </c>
      <c r="F21" s="23" t="n">
        <v>115</v>
      </c>
      <c r="G21" s="24" t="n">
        <v>1.08</v>
      </c>
      <c r="H21" s="19" t="n">
        <v>1.8</v>
      </c>
      <c r="I21" s="19" t="n">
        <v>600</v>
      </c>
      <c r="J21" s="21" t="s">
        <v>572</v>
      </c>
    </row>
    <row r="22" customFormat="false" ht="15" hidden="false" customHeight="false" outlineLevel="0" collapsed="false">
      <c r="A22" s="19" t="s">
        <v>577</v>
      </c>
      <c r="B22" s="19" t="s">
        <v>578</v>
      </c>
      <c r="C22" s="19" t="s">
        <v>74</v>
      </c>
      <c r="D22" s="19" t="n">
        <v>1</v>
      </c>
      <c r="E22" s="19" t="n">
        <v>37</v>
      </c>
      <c r="F22" s="23" t="n">
        <v>150</v>
      </c>
      <c r="G22" s="24" t="n">
        <v>0.682</v>
      </c>
      <c r="H22" s="19" t="n">
        <v>2.6</v>
      </c>
      <c r="I22" s="19" t="n">
        <v>300</v>
      </c>
      <c r="J22" s="21" t="s">
        <v>572</v>
      </c>
    </row>
    <row r="23" customFormat="false" ht="15" hidden="false" customHeight="false" outlineLevel="0" collapsed="false">
      <c r="A23" s="19" t="s">
        <v>579</v>
      </c>
      <c r="B23" s="19" t="s">
        <v>580</v>
      </c>
      <c r="C23" s="19" t="s">
        <v>74</v>
      </c>
      <c r="D23" s="19" t="n">
        <v>1</v>
      </c>
      <c r="E23" s="19" t="n">
        <v>47</v>
      </c>
      <c r="F23" s="23" t="n">
        <v>230</v>
      </c>
      <c r="G23" s="24" t="n">
        <v>0.392</v>
      </c>
      <c r="H23" s="19" t="n">
        <v>4.6</v>
      </c>
      <c r="I23" s="19" t="n">
        <v>300</v>
      </c>
      <c r="J23" s="21" t="s">
        <v>572</v>
      </c>
    </row>
    <row r="24" customFormat="false" ht="15" hidden="false" customHeight="false" outlineLevel="0" collapsed="false">
      <c r="A24" s="19" t="s">
        <v>581</v>
      </c>
      <c r="B24" s="19" t="s">
        <v>582</v>
      </c>
      <c r="C24" s="19" t="s">
        <v>74</v>
      </c>
      <c r="D24" s="19" t="n">
        <v>1</v>
      </c>
      <c r="E24" s="19" t="n">
        <v>57</v>
      </c>
      <c r="F24" s="23" t="n">
        <v>310</v>
      </c>
      <c r="G24" s="24" t="n">
        <v>0.273</v>
      </c>
      <c r="H24" s="19" t="n">
        <v>7.2</v>
      </c>
      <c r="I24" s="19" t="n">
        <v>300</v>
      </c>
      <c r="J24" s="21" t="s">
        <v>572</v>
      </c>
    </row>
    <row r="25" customFormat="false" ht="15" hidden="false" customHeight="false" outlineLevel="0" collapsed="false">
      <c r="A25" s="19" t="s">
        <v>583</v>
      </c>
      <c r="B25" s="19" t="s">
        <v>584</v>
      </c>
      <c r="C25" s="19" t="s">
        <v>74</v>
      </c>
      <c r="D25" s="19" t="n">
        <v>1</v>
      </c>
      <c r="E25" s="19" t="n">
        <v>66</v>
      </c>
      <c r="F25" s="23" t="n">
        <v>380</v>
      </c>
      <c r="G25" s="24" t="n">
        <v>0.222</v>
      </c>
      <c r="H25" s="19" t="n">
        <v>9.8</v>
      </c>
      <c r="I25" s="19" t="n">
        <v>300</v>
      </c>
      <c r="J25" s="21" t="s">
        <v>572</v>
      </c>
    </row>
    <row r="26" customFormat="false" ht="15" hidden="false" customHeight="false" outlineLevel="0" collapsed="false">
      <c r="A26" s="19" t="s">
        <v>585</v>
      </c>
      <c r="B26" s="19" t="s">
        <v>586</v>
      </c>
      <c r="C26" s="19" t="s">
        <v>74</v>
      </c>
      <c r="D26" s="19" t="n">
        <v>1</v>
      </c>
      <c r="E26" s="19" t="n">
        <v>70</v>
      </c>
      <c r="F26" s="23" t="n">
        <v>380</v>
      </c>
      <c r="G26" s="24" t="n">
        <v>0.222</v>
      </c>
      <c r="H26" s="19" t="n">
        <v>11</v>
      </c>
      <c r="I26" s="19" t="n">
        <v>300</v>
      </c>
      <c r="J26" s="21" t="s">
        <v>572</v>
      </c>
    </row>
    <row r="27" customFormat="false" ht="15" hidden="false" customHeight="false" outlineLevel="0" collapsed="false">
      <c r="A27" s="19" t="s">
        <v>587</v>
      </c>
      <c r="B27" s="19" t="s">
        <v>588</v>
      </c>
      <c r="C27" s="19" t="s">
        <v>74</v>
      </c>
      <c r="D27" s="19" t="n">
        <v>1</v>
      </c>
      <c r="E27" s="19" t="n">
        <v>38</v>
      </c>
      <c r="F27" s="23" t="n">
        <v>175</v>
      </c>
      <c r="G27" s="24" t="n">
        <v>0.568</v>
      </c>
      <c r="H27" s="19" t="n">
        <v>2.6</v>
      </c>
      <c r="I27" s="19" t="n">
        <v>300</v>
      </c>
      <c r="J27" s="21" t="s">
        <v>572</v>
      </c>
    </row>
    <row r="28" customFormat="false" ht="15" hidden="false" customHeight="false" outlineLevel="0" collapsed="false">
      <c r="A28" s="19" t="s">
        <v>589</v>
      </c>
      <c r="B28" s="19" t="s">
        <v>590</v>
      </c>
      <c r="C28" s="19" t="s">
        <v>77</v>
      </c>
      <c r="D28" s="19" t="n">
        <v>1</v>
      </c>
      <c r="E28" s="19" t="n">
        <v>18</v>
      </c>
      <c r="F28" s="23" t="n">
        <v>35</v>
      </c>
      <c r="G28" s="24" t="n">
        <v>8.137</v>
      </c>
      <c r="H28" s="19" t="n">
        <v>0.5</v>
      </c>
      <c r="I28" s="19" t="n">
        <v>600</v>
      </c>
      <c r="J28" s="21" t="s">
        <v>591</v>
      </c>
    </row>
    <row r="29" customFormat="false" ht="15" hidden="false" customHeight="false" outlineLevel="0" collapsed="false">
      <c r="A29" s="19" t="s">
        <v>592</v>
      </c>
      <c r="B29" s="19" t="s">
        <v>593</v>
      </c>
      <c r="C29" s="19" t="s">
        <v>77</v>
      </c>
      <c r="D29" s="19" t="n">
        <v>1</v>
      </c>
      <c r="E29" s="19" t="n">
        <v>22</v>
      </c>
      <c r="F29" s="23" t="n">
        <v>65</v>
      </c>
      <c r="G29" s="24" t="n">
        <v>3.222</v>
      </c>
      <c r="H29" s="19" t="n">
        <v>0.8</v>
      </c>
      <c r="I29" s="19" t="n">
        <v>600</v>
      </c>
      <c r="J29" s="21" t="s">
        <v>591</v>
      </c>
    </row>
    <row r="30" customFormat="false" ht="15" hidden="false" customHeight="false" outlineLevel="0" collapsed="false">
      <c r="A30" s="19" t="s">
        <v>594</v>
      </c>
      <c r="B30" s="19" t="s">
        <v>595</v>
      </c>
      <c r="C30" s="19" t="s">
        <v>77</v>
      </c>
      <c r="D30" s="19" t="n">
        <v>1</v>
      </c>
      <c r="E30" s="19" t="n">
        <v>28</v>
      </c>
      <c r="F30" s="23" t="n">
        <v>115</v>
      </c>
      <c r="G30" s="24" t="n">
        <v>1.273</v>
      </c>
      <c r="H30" s="19" t="n">
        <v>1.4</v>
      </c>
      <c r="I30" s="19" t="n">
        <v>600</v>
      </c>
      <c r="J30" s="21" t="s">
        <v>591</v>
      </c>
    </row>
    <row r="31" customFormat="false" ht="15" hidden="false" customHeight="false" outlineLevel="0" collapsed="false">
      <c r="A31" s="19" t="s">
        <v>596</v>
      </c>
      <c r="B31" s="19" t="s">
        <v>597</v>
      </c>
      <c r="C31" s="19" t="s">
        <v>77</v>
      </c>
      <c r="D31" s="19" t="n">
        <v>2</v>
      </c>
      <c r="E31" s="19" t="n">
        <v>34</v>
      </c>
      <c r="F31" s="23" t="n">
        <v>465</v>
      </c>
      <c r="G31" s="24" t="n">
        <v>0.169</v>
      </c>
      <c r="H31" s="19" t="n">
        <v>3.3</v>
      </c>
      <c r="I31" s="19" t="n">
        <v>300</v>
      </c>
      <c r="J31" s="21" t="s">
        <v>591</v>
      </c>
    </row>
    <row r="32" customFormat="false" ht="15" hidden="false" customHeight="false" outlineLevel="0" collapsed="false">
      <c r="A32" s="19" t="s">
        <v>598</v>
      </c>
      <c r="B32" s="19" t="s">
        <v>599</v>
      </c>
      <c r="C32" s="19" t="s">
        <v>80</v>
      </c>
      <c r="D32" s="19" t="n">
        <v>1</v>
      </c>
      <c r="E32" s="19" t="n">
        <v>19</v>
      </c>
      <c r="F32" s="19"/>
      <c r="G32" s="24"/>
      <c r="H32" s="19" t="n">
        <v>0.6</v>
      </c>
      <c r="I32" s="19" t="n">
        <v>600</v>
      </c>
      <c r="J32" s="21" t="s">
        <v>600</v>
      </c>
    </row>
    <row r="33" customFormat="false" ht="15" hidden="false" customHeight="false" outlineLevel="0" collapsed="false">
      <c r="A33" s="19" t="s">
        <v>601</v>
      </c>
      <c r="B33" s="19" t="s">
        <v>602</v>
      </c>
      <c r="C33" s="19" t="s">
        <v>80</v>
      </c>
      <c r="D33" s="19" t="n">
        <v>1</v>
      </c>
      <c r="E33" s="19" t="n">
        <v>21</v>
      </c>
      <c r="F33" s="19"/>
      <c r="G33" s="24"/>
      <c r="H33" s="19" t="n">
        <v>0.7</v>
      </c>
      <c r="I33" s="19" t="n">
        <v>600</v>
      </c>
      <c r="J33" s="21" t="s">
        <v>600</v>
      </c>
    </row>
    <row r="34" customFormat="false" ht="15" hidden="false" customHeight="false" outlineLevel="0" collapsed="false">
      <c r="A34" s="19" t="s">
        <v>603</v>
      </c>
      <c r="B34" s="19" t="s">
        <v>604</v>
      </c>
      <c r="C34" s="19" t="s">
        <v>80</v>
      </c>
      <c r="D34" s="19" t="n">
        <v>1</v>
      </c>
      <c r="E34" s="19" t="n">
        <v>27</v>
      </c>
      <c r="F34" s="19"/>
      <c r="G34" s="24"/>
      <c r="H34" s="19" t="n">
        <v>1.1</v>
      </c>
      <c r="I34" s="19" t="n">
        <v>600</v>
      </c>
      <c r="J34" s="21" t="s">
        <v>600</v>
      </c>
    </row>
    <row r="35" customFormat="false" ht="15" hidden="false" customHeight="false" outlineLevel="0" collapsed="false">
      <c r="A35" s="19" t="s">
        <v>605</v>
      </c>
      <c r="B35" s="19" t="s">
        <v>606</v>
      </c>
      <c r="C35" s="19" t="s">
        <v>80</v>
      </c>
      <c r="D35" s="19" t="n">
        <v>1</v>
      </c>
      <c r="E35" s="19" t="n">
        <v>27</v>
      </c>
      <c r="F35" s="19"/>
      <c r="G35" s="24"/>
      <c r="H35" s="19" t="n">
        <v>1.2</v>
      </c>
      <c r="I35" s="19" t="n">
        <v>600</v>
      </c>
      <c r="J35" s="21" t="s">
        <v>600</v>
      </c>
    </row>
    <row r="36" customFormat="false" ht="15" hidden="false" customHeight="false" outlineLevel="0" collapsed="false">
      <c r="A36" s="19" t="s">
        <v>607</v>
      </c>
      <c r="B36" s="19" t="s">
        <v>608</v>
      </c>
      <c r="C36" s="19" t="s">
        <v>83</v>
      </c>
      <c r="D36" s="19" t="n">
        <v>1</v>
      </c>
      <c r="E36" s="19" t="n">
        <v>13</v>
      </c>
      <c r="F36" s="19"/>
      <c r="G36" s="24"/>
      <c r="H36" s="19" t="n">
        <v>0.25</v>
      </c>
      <c r="I36" s="19" t="n">
        <v>600</v>
      </c>
      <c r="J36" s="21" t="s">
        <v>600</v>
      </c>
    </row>
    <row r="37" customFormat="false" ht="15" hidden="false" customHeight="false" outlineLevel="0" collapsed="false">
      <c r="A37" s="19" t="s">
        <v>609</v>
      </c>
      <c r="B37" s="19" t="s">
        <v>610</v>
      </c>
      <c r="C37" s="19" t="s">
        <v>83</v>
      </c>
      <c r="D37" s="19" t="n">
        <v>1</v>
      </c>
      <c r="E37" s="19" t="n">
        <v>16</v>
      </c>
      <c r="F37" s="19"/>
      <c r="G37" s="24"/>
      <c r="H37" s="19" t="n">
        <v>0.35</v>
      </c>
      <c r="I37" s="19" t="n">
        <v>600</v>
      </c>
      <c r="J37" s="21" t="s">
        <v>600</v>
      </c>
    </row>
    <row r="38" customFormat="false" ht="15" hidden="false" customHeight="false" outlineLevel="0" collapsed="false">
      <c r="A38" s="19" t="s">
        <v>611</v>
      </c>
      <c r="B38" s="19" t="s">
        <v>612</v>
      </c>
      <c r="C38" s="19" t="s">
        <v>83</v>
      </c>
      <c r="D38" s="19" t="n">
        <v>1</v>
      </c>
      <c r="E38" s="19" t="n">
        <v>30</v>
      </c>
      <c r="F38" s="19"/>
      <c r="G38" s="24"/>
      <c r="H38" s="19" t="n">
        <v>0.9</v>
      </c>
      <c r="I38" s="19" t="n">
        <v>600</v>
      </c>
      <c r="J38" s="21" t="s">
        <v>600</v>
      </c>
    </row>
    <row r="39" customFormat="false" ht="15" hidden="false" customHeight="false" outlineLevel="0" collapsed="false">
      <c r="A39" s="19" t="s">
        <v>613</v>
      </c>
      <c r="B39" s="19" t="s">
        <v>614</v>
      </c>
      <c r="C39" s="19" t="s">
        <v>83</v>
      </c>
      <c r="D39" s="19" t="n">
        <v>1</v>
      </c>
      <c r="E39" s="19" t="n">
        <v>38</v>
      </c>
      <c r="F39" s="19"/>
      <c r="G39" s="24"/>
      <c r="H39" s="19" t="n">
        <v>1.4</v>
      </c>
      <c r="I39" s="19" t="n">
        <v>600</v>
      </c>
      <c r="J39" s="21" t="s">
        <v>600</v>
      </c>
    </row>
    <row r="40" customFormat="false" ht="15" hidden="false" customHeight="false" outlineLevel="0" collapsed="false">
      <c r="A40" s="19" t="s">
        <v>615</v>
      </c>
      <c r="B40" s="19" t="s">
        <v>616</v>
      </c>
      <c r="C40" s="19" t="s">
        <v>83</v>
      </c>
      <c r="D40" s="19" t="n">
        <v>1</v>
      </c>
      <c r="E40" s="19" t="n">
        <v>30</v>
      </c>
      <c r="F40" s="19"/>
      <c r="G40" s="24"/>
      <c r="H40" s="19" t="n">
        <v>0.8</v>
      </c>
      <c r="I40" s="19" t="n">
        <v>600</v>
      </c>
      <c r="J40" s="21" t="s">
        <v>600</v>
      </c>
    </row>
    <row r="41" customFormat="false" ht="15" hidden="false" customHeight="false" outlineLevel="0" collapsed="false">
      <c r="A41" s="19" t="s">
        <v>617</v>
      </c>
      <c r="B41" s="19" t="s">
        <v>618</v>
      </c>
      <c r="C41" s="19" t="s">
        <v>83</v>
      </c>
      <c r="D41" s="19" t="n">
        <v>1</v>
      </c>
      <c r="E41" s="19" t="n">
        <v>12</v>
      </c>
      <c r="F41" s="19"/>
      <c r="G41" s="24"/>
      <c r="H41" s="19" t="n">
        <v>0.2</v>
      </c>
      <c r="I41" s="19" t="n">
        <v>600</v>
      </c>
      <c r="J41" s="21" t="s">
        <v>600</v>
      </c>
    </row>
    <row r="42" customFormat="false" ht="15" hidden="false" customHeight="false" outlineLevel="0" collapsed="false">
      <c r="A42" s="19" t="s">
        <v>619</v>
      </c>
      <c r="B42" s="19" t="s">
        <v>620</v>
      </c>
      <c r="C42" s="19" t="s">
        <v>86</v>
      </c>
      <c r="D42" s="19" t="n">
        <v>1</v>
      </c>
      <c r="E42" s="19" t="n">
        <v>19</v>
      </c>
      <c r="F42" s="19"/>
      <c r="G42" s="24"/>
      <c r="H42" s="19" t="n">
        <v>0.3</v>
      </c>
      <c r="I42" s="19" t="n">
        <v>2000</v>
      </c>
      <c r="J42" s="21" t="s">
        <v>87</v>
      </c>
    </row>
    <row r="43" customFormat="false" ht="15" hidden="false" customHeight="false" outlineLevel="0" collapsed="false">
      <c r="A43" s="19" t="s">
        <v>621</v>
      </c>
      <c r="B43" s="19" t="s">
        <v>622</v>
      </c>
      <c r="C43" s="19" t="s">
        <v>86</v>
      </c>
      <c r="D43" s="19" t="n">
        <v>1</v>
      </c>
      <c r="E43" s="19" t="n">
        <v>21</v>
      </c>
      <c r="F43" s="19"/>
      <c r="G43" s="24"/>
      <c r="H43" s="19" t="n">
        <v>0.36</v>
      </c>
      <c r="I43" s="19" t="n">
        <v>2000</v>
      </c>
      <c r="J43" s="21" t="s">
        <v>87</v>
      </c>
    </row>
    <row r="44" customFormat="false" ht="15" hidden="false" customHeight="false" outlineLevel="0" collapsed="false">
      <c r="A44" s="19" t="s">
        <v>623</v>
      </c>
      <c r="B44" s="19" t="s">
        <v>624</v>
      </c>
      <c r="C44" s="19" t="s">
        <v>88</v>
      </c>
      <c r="D44" s="19" t="n">
        <v>1</v>
      </c>
      <c r="E44" s="19" t="n">
        <v>13.3</v>
      </c>
      <c r="F44" s="19"/>
      <c r="G44" s="24"/>
      <c r="H44" s="19" t="n">
        <v>0.97</v>
      </c>
      <c r="I44" s="19" t="n">
        <v>300</v>
      </c>
      <c r="J44" s="21" t="s">
        <v>625</v>
      </c>
    </row>
    <row r="45" customFormat="false" ht="15" hidden="false" customHeight="false" outlineLevel="0" collapsed="false">
      <c r="A45" s="19" t="s">
        <v>626</v>
      </c>
      <c r="B45" s="19" t="s">
        <v>627</v>
      </c>
      <c r="C45" s="19" t="s">
        <v>88</v>
      </c>
      <c r="D45" s="19" t="n">
        <v>1</v>
      </c>
      <c r="E45" s="19" t="n">
        <v>15</v>
      </c>
      <c r="F45" s="19"/>
      <c r="G45" s="24"/>
      <c r="H45" s="19" t="n">
        <v>0.62</v>
      </c>
      <c r="I45" s="19" t="n">
        <v>300</v>
      </c>
      <c r="J45" s="21" t="s">
        <v>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20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4" min="4" style="0" width="38"/>
    <col collapsed="false" customWidth="true" hidden="false" outlineLevel="0" max="5" min="5" style="0" width="11"/>
    <col collapsed="false" customWidth="true" hidden="false" outlineLevel="0" max="6" min="6" style="0" width="34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15"/>
    <col collapsed="false" customWidth="true" hidden="false" outlineLevel="0" max="10" min="10" style="0" width="44"/>
    <col collapsed="false" customWidth="true" hidden="false" outlineLevel="0" max="11" min="11" style="0" width="7"/>
    <col collapsed="false" customWidth="true" hidden="false" outlineLevel="0" max="12" min="12" style="0" width="8"/>
    <col collapsed="false" customWidth="true" hidden="false" outlineLevel="0" max="13" min="13" style="0" width="7"/>
    <col collapsed="false" customWidth="true" hidden="false" outlineLevel="0" max="16" min="14" style="0" width="9"/>
    <col collapsed="false" customWidth="true" hidden="false" outlineLevel="0" max="18" min="17" style="0" width="10"/>
    <col collapsed="false" customWidth="true" hidden="false" outlineLevel="0" max="19" min="19" style="0" width="9"/>
    <col collapsed="false" customWidth="true" hidden="false" outlineLevel="0" max="20" min="20" style="0" width="6"/>
    <col collapsed="false" customWidth="true" hidden="false" outlineLevel="0" max="21" min="21" style="0" width="9"/>
    <col collapsed="false" customWidth="true" hidden="false" outlineLevel="0" max="22" min="22" style="0" width="7"/>
    <col collapsed="false" customWidth="true" hidden="false" outlineLevel="0" max="23" min="23" style="0" width="9"/>
    <col collapsed="false" customWidth="true" hidden="false" outlineLevel="0" max="24" min="24" style="0" width="7"/>
    <col collapsed="false" customWidth="true" hidden="false" outlineLevel="0" max="25" min="25" style="0" width="9"/>
    <col collapsed="false" customWidth="true" hidden="false" outlineLevel="0" max="26" min="26" style="0" width="10"/>
    <col collapsed="false" customWidth="true" hidden="false" outlineLevel="0" max="27" min="27" style="0" width="9"/>
    <col collapsed="false" customWidth="true" hidden="false" outlineLevel="0" max="29" min="28" style="0" width="8"/>
    <col collapsed="false" customWidth="true" hidden="false" outlineLevel="0" max="30" min="30" style="0" width="7"/>
    <col collapsed="false" customWidth="true" hidden="false" outlineLevel="0" max="31" min="31" style="0" width="8"/>
    <col collapsed="false" customWidth="true" hidden="false" outlineLevel="0" max="32" min="32" style="0" width="9"/>
    <col collapsed="false" customWidth="true" hidden="false" outlineLevel="0" max="33" min="33" style="0" width="44"/>
    <col collapsed="false" customWidth="true" hidden="false" outlineLevel="0" max="34" min="34" style="0" width="2"/>
    <col collapsed="false" customWidth="true" hidden="false" outlineLevel="0" max="44" min="35" style="0" width="7"/>
    <col collapsed="false" customWidth="true" hidden="false" outlineLevel="0" max="45" min="45" style="0" width="8"/>
    <col collapsed="false" customWidth="true" hidden="false" outlineLevel="0" max="46" min="46" style="0" width="7"/>
  </cols>
  <sheetData>
    <row r="1" customFormat="false" ht="15" hidden="false" customHeight="false" outlineLevel="0" collapsed="false">
      <c r="A1" s="8" t="s">
        <v>628</v>
      </c>
      <c r="AI1" s="3" t="s">
        <v>629</v>
      </c>
    </row>
    <row r="2" customFormat="false" ht="42" hidden="false" customHeight="true" outlineLevel="0" collapsed="false">
      <c r="A2" s="18" t="s">
        <v>630</v>
      </c>
      <c r="B2" s="18" t="s">
        <v>101</v>
      </c>
      <c r="C2" s="18" t="s">
        <v>62</v>
      </c>
      <c r="D2" s="18" t="s">
        <v>631</v>
      </c>
      <c r="E2" s="18" t="s">
        <v>632</v>
      </c>
      <c r="F2" s="18" t="s">
        <v>633</v>
      </c>
      <c r="G2" s="18" t="s">
        <v>634</v>
      </c>
      <c r="H2" s="18" t="s">
        <v>635</v>
      </c>
      <c r="I2" s="18" t="s">
        <v>636</v>
      </c>
      <c r="J2" s="18" t="s">
        <v>637</v>
      </c>
      <c r="K2" s="18" t="s">
        <v>638</v>
      </c>
      <c r="L2" s="18" t="s">
        <v>639</v>
      </c>
      <c r="M2" s="18" t="s">
        <v>640</v>
      </c>
      <c r="N2" s="18" t="s">
        <v>641</v>
      </c>
      <c r="O2" s="18" t="s">
        <v>642</v>
      </c>
      <c r="P2" s="18" t="s">
        <v>643</v>
      </c>
      <c r="Q2" s="18" t="s">
        <v>644</v>
      </c>
      <c r="R2" s="18" t="s">
        <v>645</v>
      </c>
      <c r="S2" s="18" t="s">
        <v>646</v>
      </c>
      <c r="T2" s="18" t="s">
        <v>647</v>
      </c>
      <c r="U2" s="18" t="s">
        <v>648</v>
      </c>
      <c r="V2" s="18" t="s">
        <v>649</v>
      </c>
      <c r="W2" s="18" t="s">
        <v>650</v>
      </c>
      <c r="X2" s="18" t="s">
        <v>651</v>
      </c>
      <c r="Y2" s="18" t="s">
        <v>652</v>
      </c>
      <c r="Z2" s="18" t="s">
        <v>653</v>
      </c>
      <c r="AA2" s="18" t="s">
        <v>654</v>
      </c>
      <c r="AB2" s="18" t="s">
        <v>655</v>
      </c>
      <c r="AC2" s="18" t="s">
        <v>656</v>
      </c>
      <c r="AD2" s="18" t="s">
        <v>657</v>
      </c>
      <c r="AE2" s="18" t="s">
        <v>658</v>
      </c>
      <c r="AF2" s="18" t="s">
        <v>659</v>
      </c>
      <c r="AG2" s="18" t="s">
        <v>660</v>
      </c>
      <c r="AI2" s="25" t="s">
        <v>661</v>
      </c>
      <c r="AJ2" s="25" t="s">
        <v>662</v>
      </c>
      <c r="AK2" s="25" t="s">
        <v>663</v>
      </c>
      <c r="AL2" s="25" t="s">
        <v>664</v>
      </c>
      <c r="AM2" s="25" t="s">
        <v>665</v>
      </c>
      <c r="AN2" s="25" t="s">
        <v>666</v>
      </c>
      <c r="AO2" s="25" t="s">
        <v>667</v>
      </c>
      <c r="AP2" s="25" t="s">
        <v>668</v>
      </c>
      <c r="AQ2" s="25" t="s">
        <v>669</v>
      </c>
      <c r="AR2" s="25" t="s">
        <v>527</v>
      </c>
      <c r="AS2" s="25" t="s">
        <v>670</v>
      </c>
      <c r="AT2" s="25" t="s">
        <v>671</v>
      </c>
    </row>
    <row r="3" customFormat="false" ht="15" hidden="false" customHeight="false" outlineLevel="0" collapsed="false">
      <c r="A3" s="26" t="s">
        <v>672</v>
      </c>
      <c r="B3" s="26" t="s">
        <v>108</v>
      </c>
      <c r="C3" s="26" t="s">
        <v>65</v>
      </c>
      <c r="D3" s="26" t="s">
        <v>673</v>
      </c>
      <c r="E3" s="26" t="s">
        <v>144</v>
      </c>
      <c r="F3" s="27" t="str">
        <f aca="false">INDEX(Equipment!$B$2:$B$153,MATCH(E3,Equipment!$A$2:$A$153,0))</f>
        <v>GT step-up transformer 19/230 kV 290 MVA - HV bushings</v>
      </c>
      <c r="G3" s="26" t="s">
        <v>113</v>
      </c>
      <c r="H3" s="27" t="str">
        <f aca="false">INDEX(Equipment!$B$2:$B$153,MATCH(G3,Equipment!$A$2:$A$153,0))</f>
        <v>230 kV bay 3 - GT generator bay (gantry dead-end)</v>
      </c>
      <c r="I3" s="26" t="s">
        <v>533</v>
      </c>
      <c r="J3" s="27" t="str">
        <f aca="false">INDEX('Cable Types'!$B$2:$B$45,MATCH(I3,'Cable Types'!$A$2:$A$45,0))</f>
        <v>ACSR 795 kcmil 'Drake' 26/7, 1 per phase</v>
      </c>
      <c r="K3" s="26" t="n">
        <v>1</v>
      </c>
      <c r="L3" s="26" t="s">
        <v>674</v>
      </c>
      <c r="M3" s="26" t="s">
        <v>675</v>
      </c>
      <c r="N3" s="26"/>
      <c r="O3" s="28" t="n">
        <f aca="false">IF(N3&lt;&gt;"",N3,IF(M3="D",ROUNDUP(SQRT((AL3-AI3)^2+(AM3-AJ3)^2+(AN3-AK3)^2)*(1+'Design Basis'!$C$6),0),ROUNDUP((ABS(AL3-AI3)+ABS(AM3-AJ3)+ABS(AO3-AK3)+ABS(AO3-AN3))*(1+'Design Basis'!$C$4)+2*'Design Basis'!$C$5,0)))</f>
        <v>75</v>
      </c>
      <c r="P3" s="28" t="n">
        <f aca="false">ROUND(O3*'Design Basis'!$C$10,0)</f>
        <v>246</v>
      </c>
      <c r="Q3" s="28" t="n">
        <f aca="false">O3*K3*AQ3</f>
        <v>225</v>
      </c>
      <c r="R3" s="28" t="n">
        <f aca="false">ROUND(Q3*'Design Basis'!$C$10,0)</f>
        <v>738</v>
      </c>
      <c r="S3" s="29" t="n">
        <v>230000</v>
      </c>
      <c r="T3" s="26" t="n">
        <v>3</v>
      </c>
      <c r="U3" s="29" t="n">
        <v>290000</v>
      </c>
      <c r="V3" s="30" t="n">
        <v>1</v>
      </c>
      <c r="W3" s="28" t="n">
        <f aca="false">IF(OR(U3="",S3=""),"",IF(T3=3,U3*1000/(SQRT(3)*S3*V3),U3*1000/(S3*V3)))</f>
        <v>727.963382891267</v>
      </c>
      <c r="X3" s="30" t="n">
        <v>1</v>
      </c>
      <c r="Y3" s="28" t="n">
        <f aca="false">IF(W3="","",W3*IF(X3="",1,X3))</f>
        <v>727.963382891267</v>
      </c>
      <c r="Z3" s="28" t="n">
        <f aca="false">IF(OR(AS3="",AP3=""),"",AS3*AP3)</f>
        <v>900</v>
      </c>
      <c r="AA3" s="28" t="n">
        <f aca="false">IF(Z3="","",Z3*K3)</f>
        <v>900</v>
      </c>
      <c r="AB3" s="31" t="n">
        <f aca="false">IF(OR(Y3="",AA3=""),"",Y3/AA3)</f>
        <v>0.808848203212519</v>
      </c>
      <c r="AC3" s="31" t="str">
        <f aca="false">IF(OR(W3="",AT3=""),"",AT3*(W3/K3)*O3/1000/S3)</f>
        <v/>
      </c>
      <c r="AD3" s="31" t="str">
        <f aca="false">IF(W3="","",IFERROR(IF(INDEX('Design Basis'!$C$13:$C$21,MATCH(C3,'Design Basis'!$A$13:$A$21,0))="","",INDEX('Design Basis'!$C$13:$C$21,MATCH(C3,'Design Basis'!$A$13:$A$21,0))),""))</f>
        <v/>
      </c>
      <c r="AE3" s="32" t="str">
        <f aca="false">IF(W3="","n/a",IF(AA3="","CHECK",IF(AND(AB3&lt;=1,OR(AC3="",AD3="",AC3&lt;=AD3)),"OK","CHECK")))</f>
        <v>OK</v>
      </c>
      <c r="AF3" s="28" t="n">
        <f aca="false">IF(AR3="","",K3*AQ3*PI()/4*AR3^2)</f>
        <v>1860.47473140078</v>
      </c>
      <c r="AG3" s="32" t="s">
        <v>676</v>
      </c>
      <c r="AI3" s="33" t="n">
        <f aca="false">INDEX(Equipment!$D$2:$D$153,MATCH(E3,Equipment!$A$2:$A$153,0))</f>
        <v>54</v>
      </c>
      <c r="AJ3" s="33" t="n">
        <f aca="false">INDEX(Equipment!$E$2:$E$153,MATCH(E3,Equipment!$A$2:$A$153,0))</f>
        <v>65.5</v>
      </c>
      <c r="AK3" s="33" t="n">
        <f aca="false">INDEX(Equipment!$F$2:$F$153,MATCH(E3,Equipment!$A$2:$A$153,0))</f>
        <v>10</v>
      </c>
      <c r="AL3" s="33" t="n">
        <f aca="false">INDEX(Equipment!$D$2:$D$153,MATCH(G3,Equipment!$A$2:$A$153,0))</f>
        <v>60</v>
      </c>
      <c r="AM3" s="33" t="n">
        <f aca="false">INDEX(Equipment!$E$2:$E$153,MATCH(G3,Equipment!$A$2:$A$153,0))</f>
        <v>137.5</v>
      </c>
      <c r="AN3" s="33" t="n">
        <f aca="false">INDEX(Equipment!$F$2:$F$153,MATCH(G3,Equipment!$A$2:$A$153,0))</f>
        <v>12.5</v>
      </c>
      <c r="AO3" s="33" t="n">
        <f aca="false">IF(INDEX(Raceways!$D$2:$D$18,MATCH(L3,Raceways!$A$2:$A$18,0))="",0,INDEX(Raceways!$D$2:$D$18,MATCH(L3,Raceways!$A$2:$A$18,0)))</f>
        <v>0</v>
      </c>
      <c r="AP3" s="34" t="n">
        <f aca="false">IF(INDEX(Raceways!$I$2:$I$18,MATCH(L3,Raceways!$A$2:$A$18,0))="","",INDEX(Raceways!$I$2:$I$18,MATCH(L3,Raceways!$A$2:$A$18,0)))</f>
        <v>1</v>
      </c>
      <c r="AQ3" s="27" t="n">
        <f aca="false">INDEX('Cable Types'!$D$2:$D$45,MATCH(I3,'Cable Types'!$A$2:$A$45,0))</f>
        <v>3</v>
      </c>
      <c r="AR3" s="27" t="n">
        <f aca="false">IF(INDEX('Cable Types'!$E$2:$E$45,MATCH(I3,'Cable Types'!$A$2:$A$45,0))="","",INDEX('Cable Types'!$E$2:$E$45,MATCH(I3,'Cable Types'!$A$2:$A$45,0)))</f>
        <v>28.1</v>
      </c>
      <c r="AS3" s="27" t="n">
        <f aca="false">IF(INDEX('Cable Types'!$F$2:$F$45,MATCH(I3,'Cable Types'!$A$2:$A$45,0))="","",INDEX('Cable Types'!$F$2:$F$45,MATCH(I3,'Cable Types'!$A$2:$A$45,0)))</f>
        <v>900</v>
      </c>
      <c r="AT3" s="35" t="str">
        <f aca="false">IF(INDEX('Cable Types'!$G$2:$G$45,MATCH(I3,'Cable Types'!$A$2:$A$45,0))="","",INDEX('Cable Types'!$G$2:$G$45,MATCH(I3,'Cable Types'!$A$2:$A$45,0)))</f>
        <v/>
      </c>
    </row>
    <row r="4" customFormat="false" ht="15" hidden="false" customHeight="false" outlineLevel="0" collapsed="false">
      <c r="A4" s="26" t="s">
        <v>677</v>
      </c>
      <c r="B4" s="26" t="s">
        <v>108</v>
      </c>
      <c r="C4" s="26" t="s">
        <v>65</v>
      </c>
      <c r="D4" s="26" t="s">
        <v>678</v>
      </c>
      <c r="E4" s="26" t="s">
        <v>149</v>
      </c>
      <c r="F4" s="27" t="str">
        <f aca="false">INDEX(Equipment!$B$2:$B$153,MATCH(E4,Equipment!$A$2:$A$153,0))</f>
        <v>ST step-up transformer 18/230 kV 175 MVA - HV bushings</v>
      </c>
      <c r="G4" s="26" t="s">
        <v>116</v>
      </c>
      <c r="H4" s="27" t="str">
        <f aca="false">INDEX(Equipment!$B$2:$B$153,MATCH(G4,Equipment!$A$2:$A$153,0))</f>
        <v>230 kV bay 4 - ST generator bay / line exit (gantry dead-end)</v>
      </c>
      <c r="I4" s="26" t="s">
        <v>533</v>
      </c>
      <c r="J4" s="27" t="str">
        <f aca="false">INDEX('Cable Types'!$B$2:$B$45,MATCH(I4,'Cable Types'!$A$2:$A$45,0))</f>
        <v>ACSR 795 kcmil 'Drake' 26/7, 1 per phase</v>
      </c>
      <c r="K4" s="26" t="n">
        <v>1</v>
      </c>
      <c r="L4" s="26" t="s">
        <v>674</v>
      </c>
      <c r="M4" s="26" t="s">
        <v>675</v>
      </c>
      <c r="N4" s="26"/>
      <c r="O4" s="28" t="n">
        <f aca="false">IF(N4&lt;&gt;"",N4,IF(M4="D",ROUNDUP(SQRT((AL4-AI4)^2+(AM4-AJ4)^2+(AN4-AK4)^2)*(1+'Design Basis'!$C$6),0),ROUNDUP((ABS(AL4-AI4)+ABS(AM4-AJ4)+ABS(AO4-AK4)+ABS(AO4-AN4))*(1+'Design Basis'!$C$4)+2*'Design Basis'!$C$5,0)))</f>
        <v>75</v>
      </c>
      <c r="P4" s="28" t="n">
        <f aca="false">ROUND(O4*'Design Basis'!$C$10,0)</f>
        <v>246</v>
      </c>
      <c r="Q4" s="28" t="n">
        <f aca="false">O4*K4*AQ4</f>
        <v>225</v>
      </c>
      <c r="R4" s="28" t="n">
        <f aca="false">ROUND(Q4*'Design Basis'!$C$10,0)</f>
        <v>738</v>
      </c>
      <c r="S4" s="29" t="n">
        <v>230000</v>
      </c>
      <c r="T4" s="26" t="n">
        <v>3</v>
      </c>
      <c r="U4" s="29" t="n">
        <v>175000</v>
      </c>
      <c r="V4" s="30" t="n">
        <v>1</v>
      </c>
      <c r="W4" s="28" t="n">
        <f aca="false">IF(OR(U4="",S4=""),"",IF(T4=3,U4*1000/(SQRT(3)*S4*V4),U4*1000/(S4*V4)))</f>
        <v>439.288248296454</v>
      </c>
      <c r="X4" s="30" t="n">
        <v>1</v>
      </c>
      <c r="Y4" s="28" t="n">
        <f aca="false">IF(W4="","",W4*IF(X4="",1,X4))</f>
        <v>439.288248296454</v>
      </c>
      <c r="Z4" s="28" t="n">
        <f aca="false">IF(OR(AS4="",AP4=""),"",AS4*AP4)</f>
        <v>900</v>
      </c>
      <c r="AA4" s="28" t="n">
        <f aca="false">IF(Z4="","",Z4*K4)</f>
        <v>900</v>
      </c>
      <c r="AB4" s="31" t="n">
        <f aca="false">IF(OR(Y4="",AA4=""),"",Y4/AA4)</f>
        <v>0.488098053662727</v>
      </c>
      <c r="AC4" s="31" t="str">
        <f aca="false">IF(OR(W4="",AT4=""),"",AT4*(W4/K4)*O4/1000/S4)</f>
        <v/>
      </c>
      <c r="AD4" s="31" t="str">
        <f aca="false">IF(W4="","",IFERROR(IF(INDEX('Design Basis'!$C$13:$C$21,MATCH(C4,'Design Basis'!$A$13:$A$21,0))="","",INDEX('Design Basis'!$C$13:$C$21,MATCH(C4,'Design Basis'!$A$13:$A$21,0))),""))</f>
        <v/>
      </c>
      <c r="AE4" s="32" t="str">
        <f aca="false">IF(W4="","n/a",IF(AA4="","CHECK",IF(AND(AB4&lt;=1,OR(AC4="",AD4="",AC4&lt;=AD4)),"OK","CHECK")))</f>
        <v>OK</v>
      </c>
      <c r="AF4" s="28" t="n">
        <f aca="false">IF(AR4="","",K4*AQ4*PI()/4*AR4^2)</f>
        <v>1860.47473140078</v>
      </c>
      <c r="AG4" s="32" t="s">
        <v>676</v>
      </c>
      <c r="AI4" s="33" t="n">
        <f aca="false">INDEX(Equipment!$D$2:$D$153,MATCH(E4,Equipment!$A$2:$A$153,0))</f>
        <v>74</v>
      </c>
      <c r="AJ4" s="33" t="n">
        <f aca="false">INDEX(Equipment!$E$2:$E$153,MATCH(E4,Equipment!$A$2:$A$153,0))</f>
        <v>65.5</v>
      </c>
      <c r="AK4" s="33" t="n">
        <f aca="false">INDEX(Equipment!$F$2:$F$153,MATCH(E4,Equipment!$A$2:$A$153,0))</f>
        <v>10</v>
      </c>
      <c r="AL4" s="33" t="n">
        <f aca="false">INDEX(Equipment!$D$2:$D$153,MATCH(G4,Equipment!$A$2:$A$153,0))</f>
        <v>80</v>
      </c>
      <c r="AM4" s="33" t="n">
        <f aca="false">INDEX(Equipment!$E$2:$E$153,MATCH(G4,Equipment!$A$2:$A$153,0))</f>
        <v>137.5</v>
      </c>
      <c r="AN4" s="33" t="n">
        <f aca="false">INDEX(Equipment!$F$2:$F$153,MATCH(G4,Equipment!$A$2:$A$153,0))</f>
        <v>12.5</v>
      </c>
      <c r="AO4" s="33" t="n">
        <f aca="false">IF(INDEX(Raceways!$D$2:$D$18,MATCH(L4,Raceways!$A$2:$A$18,0))="",0,INDEX(Raceways!$D$2:$D$18,MATCH(L4,Raceways!$A$2:$A$18,0)))</f>
        <v>0</v>
      </c>
      <c r="AP4" s="34" t="n">
        <f aca="false">IF(INDEX(Raceways!$I$2:$I$18,MATCH(L4,Raceways!$A$2:$A$18,0))="","",INDEX(Raceways!$I$2:$I$18,MATCH(L4,Raceways!$A$2:$A$18,0)))</f>
        <v>1</v>
      </c>
      <c r="AQ4" s="27" t="n">
        <f aca="false">INDEX('Cable Types'!$D$2:$D$45,MATCH(I4,'Cable Types'!$A$2:$A$45,0))</f>
        <v>3</v>
      </c>
      <c r="AR4" s="27" t="n">
        <f aca="false">IF(INDEX('Cable Types'!$E$2:$E$45,MATCH(I4,'Cable Types'!$A$2:$A$45,0))="","",INDEX('Cable Types'!$E$2:$E$45,MATCH(I4,'Cable Types'!$A$2:$A$45,0)))</f>
        <v>28.1</v>
      </c>
      <c r="AS4" s="27" t="n">
        <f aca="false">IF(INDEX('Cable Types'!$F$2:$F$45,MATCH(I4,'Cable Types'!$A$2:$A$45,0))="","",INDEX('Cable Types'!$F$2:$F$45,MATCH(I4,'Cable Types'!$A$2:$A$45,0)))</f>
        <v>900</v>
      </c>
      <c r="AT4" s="35" t="str">
        <f aca="false">IF(INDEX('Cable Types'!$G$2:$G$45,MATCH(I4,'Cable Types'!$A$2:$A$45,0))="","",INDEX('Cable Types'!$G$2:$G$45,MATCH(I4,'Cable Types'!$A$2:$A$45,0)))</f>
        <v/>
      </c>
    </row>
    <row r="5" customFormat="false" ht="15" hidden="false" customHeight="false" outlineLevel="0" collapsed="false">
      <c r="A5" s="26" t="s">
        <v>679</v>
      </c>
      <c r="B5" s="26" t="s">
        <v>108</v>
      </c>
      <c r="C5" s="26" t="s">
        <v>65</v>
      </c>
      <c r="D5" s="26" t="s">
        <v>680</v>
      </c>
      <c r="E5" s="26" t="s">
        <v>131</v>
      </c>
      <c r="F5" s="27" t="str">
        <f aca="false">INDEX(Equipment!$B$2:$B$153,MATCH(E5,Equipment!$A$2:$A$153,0))</f>
        <v>RICE step-up transformer 13.8/230 kV 22 MVA - HV bushings</v>
      </c>
      <c r="G5" s="26" t="s">
        <v>106</v>
      </c>
      <c r="H5" s="27" t="str">
        <f aca="false">INDEX(Equipment!$B$2:$B$153,MATCH(G5,Equipment!$A$2:$A$153,0))</f>
        <v>230 kV bay 1 - RICE transformer bay (gantry dead-end)</v>
      </c>
      <c r="I5" s="26" t="s">
        <v>533</v>
      </c>
      <c r="J5" s="27" t="str">
        <f aca="false">INDEX('Cable Types'!$B$2:$B$45,MATCH(I5,'Cable Types'!$A$2:$A$45,0))</f>
        <v>ACSR 795 kcmil 'Drake' 26/7, 1 per phase</v>
      </c>
      <c r="K5" s="26" t="n">
        <v>1</v>
      </c>
      <c r="L5" s="26" t="s">
        <v>674</v>
      </c>
      <c r="M5" s="26" t="s">
        <v>675</v>
      </c>
      <c r="N5" s="26"/>
      <c r="O5" s="28" t="n">
        <f aca="false">IF(N5&lt;&gt;"",N5,IF(M5="D",ROUNDUP(SQRT((AL5-AI5)^2+(AM5-AJ5)^2+(AN5-AK5)^2)*(1+'Design Basis'!$C$6),0),ROUNDUP((ABS(AL5-AI5)+ABS(AM5-AJ5)+ABS(AO5-AK5)+ABS(AO5-AN5))*(1+'Design Basis'!$C$4)+2*'Design Basis'!$C$5,0)))</f>
        <v>32</v>
      </c>
      <c r="P5" s="28" t="n">
        <f aca="false">ROUND(O5*'Design Basis'!$C$10,0)</f>
        <v>105</v>
      </c>
      <c r="Q5" s="28" t="n">
        <f aca="false">O5*K5*AQ5</f>
        <v>96</v>
      </c>
      <c r="R5" s="28" t="n">
        <f aca="false">ROUND(Q5*'Design Basis'!$C$10,0)</f>
        <v>315</v>
      </c>
      <c r="S5" s="29" t="n">
        <v>230000</v>
      </c>
      <c r="T5" s="26" t="n">
        <v>3</v>
      </c>
      <c r="U5" s="29" t="n">
        <v>22000</v>
      </c>
      <c r="V5" s="30" t="n">
        <v>1</v>
      </c>
      <c r="W5" s="28" t="n">
        <f aca="false">IF(OR(U5="",S5=""),"",IF(T5=3,U5*1000/(SQRT(3)*S5*V5),U5*1000/(S5*V5)))</f>
        <v>55.2248083572686</v>
      </c>
      <c r="X5" s="30" t="n">
        <v>1</v>
      </c>
      <c r="Y5" s="28" t="n">
        <f aca="false">IF(W5="","",W5*IF(X5="",1,X5))</f>
        <v>55.2248083572686</v>
      </c>
      <c r="Z5" s="28" t="n">
        <f aca="false">IF(OR(AS5="",AP5=""),"",AS5*AP5)</f>
        <v>900</v>
      </c>
      <c r="AA5" s="28" t="n">
        <f aca="false">IF(Z5="","",Z5*K5)</f>
        <v>900</v>
      </c>
      <c r="AB5" s="31" t="n">
        <f aca="false">IF(OR(Y5="",AA5=""),"",Y5/AA5)</f>
        <v>0.0613608981747428</v>
      </c>
      <c r="AC5" s="31" t="str">
        <f aca="false">IF(OR(W5="",AT5=""),"",AT5*(W5/K5)*O5/1000/S5)</f>
        <v/>
      </c>
      <c r="AD5" s="31" t="str">
        <f aca="false">IF(W5="","",IFERROR(IF(INDEX('Design Basis'!$C$13:$C$21,MATCH(C5,'Design Basis'!$A$13:$A$21,0))="","",INDEX('Design Basis'!$C$13:$C$21,MATCH(C5,'Design Basis'!$A$13:$A$21,0))),""))</f>
        <v/>
      </c>
      <c r="AE5" s="32" t="str">
        <f aca="false">IF(W5="","n/a",IF(AA5="","CHECK",IF(AND(AB5&lt;=1,OR(AC5="",AD5="",AC5&lt;=AD5)),"OK","CHECK")))</f>
        <v>OK</v>
      </c>
      <c r="AF5" s="28" t="n">
        <f aca="false">IF(AR5="","",K5*AQ5*PI()/4*AR5^2)</f>
        <v>1860.47473140078</v>
      </c>
      <c r="AG5" s="32" t="s">
        <v>676</v>
      </c>
      <c r="AI5" s="33" t="n">
        <f aca="false">INDEX(Equipment!$D$2:$D$153,MATCH(E5,Equipment!$A$2:$A$153,0))</f>
        <v>19</v>
      </c>
      <c r="AJ5" s="33" t="n">
        <f aca="false">INDEX(Equipment!$E$2:$E$153,MATCH(E5,Equipment!$A$2:$A$153,0))</f>
        <v>107.5</v>
      </c>
      <c r="AK5" s="33" t="n">
        <f aca="false">INDEX(Equipment!$F$2:$F$153,MATCH(E5,Equipment!$A$2:$A$153,0))</f>
        <v>8</v>
      </c>
      <c r="AL5" s="33" t="n">
        <f aca="false">INDEX(Equipment!$D$2:$D$153,MATCH(G5,Equipment!$A$2:$A$153,0))</f>
        <v>20</v>
      </c>
      <c r="AM5" s="33" t="n">
        <f aca="false">INDEX(Equipment!$E$2:$E$153,MATCH(G5,Equipment!$A$2:$A$153,0))</f>
        <v>137.5</v>
      </c>
      <c r="AN5" s="33" t="n">
        <f aca="false">INDEX(Equipment!$F$2:$F$153,MATCH(G5,Equipment!$A$2:$A$153,0))</f>
        <v>12.5</v>
      </c>
      <c r="AO5" s="33" t="n">
        <f aca="false">IF(INDEX(Raceways!$D$2:$D$18,MATCH(L5,Raceways!$A$2:$A$18,0))="",0,INDEX(Raceways!$D$2:$D$18,MATCH(L5,Raceways!$A$2:$A$18,0)))</f>
        <v>0</v>
      </c>
      <c r="AP5" s="34" t="n">
        <f aca="false">IF(INDEX(Raceways!$I$2:$I$18,MATCH(L5,Raceways!$A$2:$A$18,0))="","",INDEX(Raceways!$I$2:$I$18,MATCH(L5,Raceways!$A$2:$A$18,0)))</f>
        <v>1</v>
      </c>
      <c r="AQ5" s="27" t="n">
        <f aca="false">INDEX('Cable Types'!$D$2:$D$45,MATCH(I5,'Cable Types'!$A$2:$A$45,0))</f>
        <v>3</v>
      </c>
      <c r="AR5" s="27" t="n">
        <f aca="false">IF(INDEX('Cable Types'!$E$2:$E$45,MATCH(I5,'Cable Types'!$A$2:$A$45,0))="","",INDEX('Cable Types'!$E$2:$E$45,MATCH(I5,'Cable Types'!$A$2:$A$45,0)))</f>
        <v>28.1</v>
      </c>
      <c r="AS5" s="27" t="n">
        <f aca="false">IF(INDEX('Cable Types'!$F$2:$F$45,MATCH(I5,'Cable Types'!$A$2:$A$45,0))="","",INDEX('Cable Types'!$F$2:$F$45,MATCH(I5,'Cable Types'!$A$2:$A$45,0)))</f>
        <v>900</v>
      </c>
      <c r="AT5" s="35" t="str">
        <f aca="false">IF(INDEX('Cable Types'!$G$2:$G$45,MATCH(I5,'Cable Types'!$A$2:$A$45,0))="","",INDEX('Cable Types'!$G$2:$G$45,MATCH(I5,'Cable Types'!$A$2:$A$45,0)))</f>
        <v/>
      </c>
    </row>
    <row r="6" customFormat="false" ht="15" hidden="false" customHeight="false" outlineLevel="0" collapsed="false">
      <c r="A6" s="26" t="s">
        <v>681</v>
      </c>
      <c r="B6" s="26" t="s">
        <v>108</v>
      </c>
      <c r="C6" s="26" t="s">
        <v>65</v>
      </c>
      <c r="D6" s="26" t="s">
        <v>682</v>
      </c>
      <c r="E6" s="26" t="s">
        <v>106</v>
      </c>
      <c r="F6" s="27" t="str">
        <f aca="false">INDEX(Equipment!$B$2:$B$153,MATCH(E6,Equipment!$A$2:$A$153,0))</f>
        <v>230 kV bay 1 - RICE transformer bay (gantry dead-end)</v>
      </c>
      <c r="G6" s="26" t="s">
        <v>110</v>
      </c>
      <c r="H6" s="27" t="str">
        <f aca="false">INDEX(Equipment!$B$2:$B$153,MATCH(G6,Equipment!$A$2:$A$153,0))</f>
        <v>230 kV bay 2 - bus coupler (gantry dead-end)</v>
      </c>
      <c r="I6" s="26" t="s">
        <v>536</v>
      </c>
      <c r="J6" s="27" t="str">
        <f aca="false">INDEX('Cable Types'!$B$2:$B$45,MATCH(I6,'Cable Types'!$A$2:$A$45,0))</f>
        <v>ACSR 795 kcmil 'Drake' 26/7, twin bundle per phase</v>
      </c>
      <c r="K6" s="26" t="n">
        <v>1</v>
      </c>
      <c r="L6" s="26" t="s">
        <v>674</v>
      </c>
      <c r="M6" s="26" t="s">
        <v>675</v>
      </c>
      <c r="N6" s="26"/>
      <c r="O6" s="28" t="n">
        <f aca="false">IF(N6&lt;&gt;"",N6,IF(M6="D",ROUNDUP(SQRT((AL6-AI6)^2+(AM6-AJ6)^2+(AN6-AK6)^2)*(1+'Design Basis'!$C$6),0),ROUNDUP((ABS(AL6-AI6)+ABS(AM6-AJ6)+ABS(AO6-AK6)+ABS(AO6-AN6))*(1+'Design Basis'!$C$4)+2*'Design Basis'!$C$5,0)))</f>
        <v>21</v>
      </c>
      <c r="P6" s="28" t="n">
        <f aca="false">ROUND(O6*'Design Basis'!$C$10,0)</f>
        <v>69</v>
      </c>
      <c r="Q6" s="28" t="n">
        <f aca="false">O6*K6*AQ6</f>
        <v>126</v>
      </c>
      <c r="R6" s="28" t="n">
        <f aca="false">ROUND(Q6*'Design Basis'!$C$10,0)</f>
        <v>413</v>
      </c>
      <c r="S6" s="29" t="n">
        <v>230000</v>
      </c>
      <c r="T6" s="26" t="n">
        <v>3</v>
      </c>
      <c r="U6" s="29" t="n">
        <v>487000</v>
      </c>
      <c r="V6" s="30" t="n">
        <v>1</v>
      </c>
      <c r="W6" s="28" t="n">
        <f aca="false">IF(OR(U6="",S6=""),"",IF(T6=3,U6*1000/(SQRT(3)*S6*V6),U6*1000/(S6*V6)))</f>
        <v>1222.47643954499</v>
      </c>
      <c r="X6" s="30" t="n">
        <v>1</v>
      </c>
      <c r="Y6" s="28" t="n">
        <f aca="false">IF(W6="","",W6*IF(X6="",1,X6))</f>
        <v>1222.47643954499</v>
      </c>
      <c r="Z6" s="28" t="n">
        <f aca="false">IF(OR(AS6="",AP6=""),"",AS6*AP6)</f>
        <v>1800</v>
      </c>
      <c r="AA6" s="28" t="n">
        <f aca="false">IF(Z6="","",Z6*K6)</f>
        <v>1800</v>
      </c>
      <c r="AB6" s="31" t="n">
        <f aca="false">IF(OR(Y6="",AA6=""),"",Y6/AA6)</f>
        <v>0.679153577524995</v>
      </c>
      <c r="AC6" s="31" t="str">
        <f aca="false">IF(OR(W6="",AT6=""),"",AT6*(W6/K6)*O6/1000/S6)</f>
        <v/>
      </c>
      <c r="AD6" s="31" t="str">
        <f aca="false">IF(W6="","",IFERROR(IF(INDEX('Design Basis'!$C$13:$C$21,MATCH(C6,'Design Basis'!$A$13:$A$21,0))="","",INDEX('Design Basis'!$C$13:$C$21,MATCH(C6,'Design Basis'!$A$13:$A$21,0))),""))</f>
        <v/>
      </c>
      <c r="AE6" s="32" t="str">
        <f aca="false">IF(W6="","n/a",IF(AA6="","CHECK",IF(AND(AB6&lt;=1,OR(AC6="",AD6="",AC6&lt;=AD6)),"OK","CHECK")))</f>
        <v>OK</v>
      </c>
      <c r="AF6" s="28" t="n">
        <f aca="false">IF(AR6="","",K6*AQ6*PI()/4*AR6^2)</f>
        <v>3720.94946280156</v>
      </c>
      <c r="AG6" s="32" t="s">
        <v>683</v>
      </c>
      <c r="AI6" s="33" t="n">
        <f aca="false">INDEX(Equipment!$D$2:$D$153,MATCH(E6,Equipment!$A$2:$A$153,0))</f>
        <v>20</v>
      </c>
      <c r="AJ6" s="33" t="n">
        <f aca="false">INDEX(Equipment!$E$2:$E$153,MATCH(E6,Equipment!$A$2:$A$153,0))</f>
        <v>137.5</v>
      </c>
      <c r="AK6" s="33" t="n">
        <f aca="false">INDEX(Equipment!$F$2:$F$153,MATCH(E6,Equipment!$A$2:$A$153,0))</f>
        <v>12.5</v>
      </c>
      <c r="AL6" s="33" t="n">
        <f aca="false">INDEX(Equipment!$D$2:$D$153,MATCH(G6,Equipment!$A$2:$A$153,0))</f>
        <v>40</v>
      </c>
      <c r="AM6" s="33" t="n">
        <f aca="false">INDEX(Equipment!$E$2:$E$153,MATCH(G6,Equipment!$A$2:$A$153,0))</f>
        <v>137.5</v>
      </c>
      <c r="AN6" s="33" t="n">
        <f aca="false">INDEX(Equipment!$F$2:$F$153,MATCH(G6,Equipment!$A$2:$A$153,0))</f>
        <v>12.5</v>
      </c>
      <c r="AO6" s="33" t="n">
        <f aca="false">IF(INDEX(Raceways!$D$2:$D$18,MATCH(L6,Raceways!$A$2:$A$18,0))="",0,INDEX(Raceways!$D$2:$D$18,MATCH(L6,Raceways!$A$2:$A$18,0)))</f>
        <v>0</v>
      </c>
      <c r="AP6" s="34" t="n">
        <f aca="false">IF(INDEX(Raceways!$I$2:$I$18,MATCH(L6,Raceways!$A$2:$A$18,0))="","",INDEX(Raceways!$I$2:$I$18,MATCH(L6,Raceways!$A$2:$A$18,0)))</f>
        <v>1</v>
      </c>
      <c r="AQ6" s="27" t="n">
        <f aca="false">INDEX('Cable Types'!$D$2:$D$45,MATCH(I6,'Cable Types'!$A$2:$A$45,0))</f>
        <v>6</v>
      </c>
      <c r="AR6" s="27" t="n">
        <f aca="false">IF(INDEX('Cable Types'!$E$2:$E$45,MATCH(I6,'Cable Types'!$A$2:$A$45,0))="","",INDEX('Cable Types'!$E$2:$E$45,MATCH(I6,'Cable Types'!$A$2:$A$45,0)))</f>
        <v>28.1</v>
      </c>
      <c r="AS6" s="27" t="n">
        <f aca="false">IF(INDEX('Cable Types'!$F$2:$F$45,MATCH(I6,'Cable Types'!$A$2:$A$45,0))="","",INDEX('Cable Types'!$F$2:$F$45,MATCH(I6,'Cable Types'!$A$2:$A$45,0)))</f>
        <v>1800</v>
      </c>
      <c r="AT6" s="35" t="str">
        <f aca="false">IF(INDEX('Cable Types'!$G$2:$G$45,MATCH(I6,'Cable Types'!$A$2:$A$45,0))="","",INDEX('Cable Types'!$G$2:$G$45,MATCH(I6,'Cable Types'!$A$2:$A$45,0)))</f>
        <v/>
      </c>
    </row>
    <row r="7" customFormat="false" ht="15" hidden="false" customHeight="false" outlineLevel="0" collapsed="false">
      <c r="A7" s="26" t="s">
        <v>684</v>
      </c>
      <c r="B7" s="26" t="s">
        <v>108</v>
      </c>
      <c r="C7" s="26" t="s">
        <v>65</v>
      </c>
      <c r="D7" s="26" t="s">
        <v>685</v>
      </c>
      <c r="E7" s="26" t="s">
        <v>110</v>
      </c>
      <c r="F7" s="27" t="str">
        <f aca="false">INDEX(Equipment!$B$2:$B$153,MATCH(E7,Equipment!$A$2:$A$153,0))</f>
        <v>230 kV bay 2 - bus coupler (gantry dead-end)</v>
      </c>
      <c r="G7" s="26" t="s">
        <v>113</v>
      </c>
      <c r="H7" s="27" t="str">
        <f aca="false">INDEX(Equipment!$B$2:$B$153,MATCH(G7,Equipment!$A$2:$A$153,0))</f>
        <v>230 kV bay 3 - GT generator bay (gantry dead-end)</v>
      </c>
      <c r="I7" s="26" t="s">
        <v>536</v>
      </c>
      <c r="J7" s="27" t="str">
        <f aca="false">INDEX('Cable Types'!$B$2:$B$45,MATCH(I7,'Cable Types'!$A$2:$A$45,0))</f>
        <v>ACSR 795 kcmil 'Drake' 26/7, twin bundle per phase</v>
      </c>
      <c r="K7" s="26" t="n">
        <v>1</v>
      </c>
      <c r="L7" s="26" t="s">
        <v>674</v>
      </c>
      <c r="M7" s="26" t="s">
        <v>675</v>
      </c>
      <c r="N7" s="26"/>
      <c r="O7" s="28" t="n">
        <f aca="false">IF(N7&lt;&gt;"",N7,IF(M7="D",ROUNDUP(SQRT((AL7-AI7)^2+(AM7-AJ7)^2+(AN7-AK7)^2)*(1+'Design Basis'!$C$6),0),ROUNDUP((ABS(AL7-AI7)+ABS(AM7-AJ7)+ABS(AO7-AK7)+ABS(AO7-AN7))*(1+'Design Basis'!$C$4)+2*'Design Basis'!$C$5,0)))</f>
        <v>21</v>
      </c>
      <c r="P7" s="28" t="n">
        <f aca="false">ROUND(O7*'Design Basis'!$C$10,0)</f>
        <v>69</v>
      </c>
      <c r="Q7" s="28" t="n">
        <f aca="false">O7*K7*AQ7</f>
        <v>126</v>
      </c>
      <c r="R7" s="28" t="n">
        <f aca="false">ROUND(Q7*'Design Basis'!$C$10,0)</f>
        <v>413</v>
      </c>
      <c r="S7" s="29" t="n">
        <v>230000</v>
      </c>
      <c r="T7" s="26" t="n">
        <v>3</v>
      </c>
      <c r="U7" s="29" t="n">
        <v>487000</v>
      </c>
      <c r="V7" s="30" t="n">
        <v>1</v>
      </c>
      <c r="W7" s="28" t="n">
        <f aca="false">IF(OR(U7="",S7=""),"",IF(T7=3,U7*1000/(SQRT(3)*S7*V7),U7*1000/(S7*V7)))</f>
        <v>1222.47643954499</v>
      </c>
      <c r="X7" s="30" t="n">
        <v>1</v>
      </c>
      <c r="Y7" s="28" t="n">
        <f aca="false">IF(W7="","",W7*IF(X7="",1,X7))</f>
        <v>1222.47643954499</v>
      </c>
      <c r="Z7" s="28" t="n">
        <f aca="false">IF(OR(AS7="",AP7=""),"",AS7*AP7)</f>
        <v>1800</v>
      </c>
      <c r="AA7" s="28" t="n">
        <f aca="false">IF(Z7="","",Z7*K7)</f>
        <v>1800</v>
      </c>
      <c r="AB7" s="31" t="n">
        <f aca="false">IF(OR(Y7="",AA7=""),"",Y7/AA7)</f>
        <v>0.679153577524995</v>
      </c>
      <c r="AC7" s="31" t="str">
        <f aca="false">IF(OR(W7="",AT7=""),"",AT7*(W7/K7)*O7/1000/S7)</f>
        <v/>
      </c>
      <c r="AD7" s="31" t="str">
        <f aca="false">IF(W7="","",IFERROR(IF(INDEX('Design Basis'!$C$13:$C$21,MATCH(C7,'Design Basis'!$A$13:$A$21,0))="","",INDEX('Design Basis'!$C$13:$C$21,MATCH(C7,'Design Basis'!$A$13:$A$21,0))),""))</f>
        <v/>
      </c>
      <c r="AE7" s="32" t="str">
        <f aca="false">IF(W7="","n/a",IF(AA7="","CHECK",IF(AND(AB7&lt;=1,OR(AC7="",AD7="",AC7&lt;=AD7)),"OK","CHECK")))</f>
        <v>OK</v>
      </c>
      <c r="AF7" s="28" t="n">
        <f aca="false">IF(AR7="","",K7*AQ7*PI()/4*AR7^2)</f>
        <v>3720.94946280156</v>
      </c>
      <c r="AG7" s="32"/>
      <c r="AI7" s="33" t="n">
        <f aca="false">INDEX(Equipment!$D$2:$D$153,MATCH(E7,Equipment!$A$2:$A$153,0))</f>
        <v>40</v>
      </c>
      <c r="AJ7" s="33" t="n">
        <f aca="false">INDEX(Equipment!$E$2:$E$153,MATCH(E7,Equipment!$A$2:$A$153,0))</f>
        <v>137.5</v>
      </c>
      <c r="AK7" s="33" t="n">
        <f aca="false">INDEX(Equipment!$F$2:$F$153,MATCH(E7,Equipment!$A$2:$A$153,0))</f>
        <v>12.5</v>
      </c>
      <c r="AL7" s="33" t="n">
        <f aca="false">INDEX(Equipment!$D$2:$D$153,MATCH(G7,Equipment!$A$2:$A$153,0))</f>
        <v>60</v>
      </c>
      <c r="AM7" s="33" t="n">
        <f aca="false">INDEX(Equipment!$E$2:$E$153,MATCH(G7,Equipment!$A$2:$A$153,0))</f>
        <v>137.5</v>
      </c>
      <c r="AN7" s="33" t="n">
        <f aca="false">INDEX(Equipment!$F$2:$F$153,MATCH(G7,Equipment!$A$2:$A$153,0))</f>
        <v>12.5</v>
      </c>
      <c r="AO7" s="33" t="n">
        <f aca="false">IF(INDEX(Raceways!$D$2:$D$18,MATCH(L7,Raceways!$A$2:$A$18,0))="",0,INDEX(Raceways!$D$2:$D$18,MATCH(L7,Raceways!$A$2:$A$18,0)))</f>
        <v>0</v>
      </c>
      <c r="AP7" s="34" t="n">
        <f aca="false">IF(INDEX(Raceways!$I$2:$I$18,MATCH(L7,Raceways!$A$2:$A$18,0))="","",INDEX(Raceways!$I$2:$I$18,MATCH(L7,Raceways!$A$2:$A$18,0)))</f>
        <v>1</v>
      </c>
      <c r="AQ7" s="27" t="n">
        <f aca="false">INDEX('Cable Types'!$D$2:$D$45,MATCH(I7,'Cable Types'!$A$2:$A$45,0))</f>
        <v>6</v>
      </c>
      <c r="AR7" s="27" t="n">
        <f aca="false">IF(INDEX('Cable Types'!$E$2:$E$45,MATCH(I7,'Cable Types'!$A$2:$A$45,0))="","",INDEX('Cable Types'!$E$2:$E$45,MATCH(I7,'Cable Types'!$A$2:$A$45,0)))</f>
        <v>28.1</v>
      </c>
      <c r="AS7" s="27" t="n">
        <f aca="false">IF(INDEX('Cable Types'!$F$2:$F$45,MATCH(I7,'Cable Types'!$A$2:$A$45,0))="","",INDEX('Cable Types'!$F$2:$F$45,MATCH(I7,'Cable Types'!$A$2:$A$45,0)))</f>
        <v>1800</v>
      </c>
      <c r="AT7" s="35" t="str">
        <f aca="false">IF(INDEX('Cable Types'!$G$2:$G$45,MATCH(I7,'Cable Types'!$A$2:$A$45,0))="","",INDEX('Cable Types'!$G$2:$G$45,MATCH(I7,'Cable Types'!$A$2:$A$45,0)))</f>
        <v/>
      </c>
    </row>
    <row r="8" customFormat="false" ht="15" hidden="false" customHeight="false" outlineLevel="0" collapsed="false">
      <c r="A8" s="26" t="s">
        <v>686</v>
      </c>
      <c r="B8" s="26" t="s">
        <v>108</v>
      </c>
      <c r="C8" s="26" t="s">
        <v>65</v>
      </c>
      <c r="D8" s="26" t="s">
        <v>687</v>
      </c>
      <c r="E8" s="26" t="s">
        <v>113</v>
      </c>
      <c r="F8" s="27" t="str">
        <f aca="false">INDEX(Equipment!$B$2:$B$153,MATCH(E8,Equipment!$A$2:$A$153,0))</f>
        <v>230 kV bay 3 - GT generator bay (gantry dead-end)</v>
      </c>
      <c r="G8" s="26" t="s">
        <v>116</v>
      </c>
      <c r="H8" s="27" t="str">
        <f aca="false">INDEX(Equipment!$B$2:$B$153,MATCH(G8,Equipment!$A$2:$A$153,0))</f>
        <v>230 kV bay 4 - ST generator bay / line exit (gantry dead-end)</v>
      </c>
      <c r="I8" s="26" t="s">
        <v>536</v>
      </c>
      <c r="J8" s="27" t="str">
        <f aca="false">INDEX('Cable Types'!$B$2:$B$45,MATCH(I8,'Cable Types'!$A$2:$A$45,0))</f>
        <v>ACSR 795 kcmil 'Drake' 26/7, twin bundle per phase</v>
      </c>
      <c r="K8" s="26" t="n">
        <v>1</v>
      </c>
      <c r="L8" s="26" t="s">
        <v>674</v>
      </c>
      <c r="M8" s="26" t="s">
        <v>675</v>
      </c>
      <c r="N8" s="26"/>
      <c r="O8" s="28" t="n">
        <f aca="false">IF(N8&lt;&gt;"",N8,IF(M8="D",ROUNDUP(SQRT((AL8-AI8)^2+(AM8-AJ8)^2+(AN8-AK8)^2)*(1+'Design Basis'!$C$6),0),ROUNDUP((ABS(AL8-AI8)+ABS(AM8-AJ8)+ABS(AO8-AK8)+ABS(AO8-AN8))*(1+'Design Basis'!$C$4)+2*'Design Basis'!$C$5,0)))</f>
        <v>21</v>
      </c>
      <c r="P8" s="28" t="n">
        <f aca="false">ROUND(O8*'Design Basis'!$C$10,0)</f>
        <v>69</v>
      </c>
      <c r="Q8" s="28" t="n">
        <f aca="false">O8*K8*AQ8</f>
        <v>126</v>
      </c>
      <c r="R8" s="28" t="n">
        <f aca="false">ROUND(Q8*'Design Basis'!$C$10,0)</f>
        <v>413</v>
      </c>
      <c r="S8" s="29" t="n">
        <v>230000</v>
      </c>
      <c r="T8" s="26" t="n">
        <v>3</v>
      </c>
      <c r="U8" s="29" t="n">
        <v>487000</v>
      </c>
      <c r="V8" s="30" t="n">
        <v>1</v>
      </c>
      <c r="W8" s="28" t="n">
        <f aca="false">IF(OR(U8="",S8=""),"",IF(T8=3,U8*1000/(SQRT(3)*S8*V8),U8*1000/(S8*V8)))</f>
        <v>1222.47643954499</v>
      </c>
      <c r="X8" s="30" t="n">
        <v>1</v>
      </c>
      <c r="Y8" s="28" t="n">
        <f aca="false">IF(W8="","",W8*IF(X8="",1,X8))</f>
        <v>1222.47643954499</v>
      </c>
      <c r="Z8" s="28" t="n">
        <f aca="false">IF(OR(AS8="",AP8=""),"",AS8*AP8)</f>
        <v>1800</v>
      </c>
      <c r="AA8" s="28" t="n">
        <f aca="false">IF(Z8="","",Z8*K8)</f>
        <v>1800</v>
      </c>
      <c r="AB8" s="31" t="n">
        <f aca="false">IF(OR(Y8="",AA8=""),"",Y8/AA8)</f>
        <v>0.679153577524995</v>
      </c>
      <c r="AC8" s="31" t="str">
        <f aca="false">IF(OR(W8="",AT8=""),"",AT8*(W8/K8)*O8/1000/S8)</f>
        <v/>
      </c>
      <c r="AD8" s="31" t="str">
        <f aca="false">IF(W8="","",IFERROR(IF(INDEX('Design Basis'!$C$13:$C$21,MATCH(C8,'Design Basis'!$A$13:$A$21,0))="","",INDEX('Design Basis'!$C$13:$C$21,MATCH(C8,'Design Basis'!$A$13:$A$21,0))),""))</f>
        <v/>
      </c>
      <c r="AE8" s="32" t="str">
        <f aca="false">IF(W8="","n/a",IF(AA8="","CHECK",IF(AND(AB8&lt;=1,OR(AC8="",AD8="",AC8&lt;=AD8)),"OK","CHECK")))</f>
        <v>OK</v>
      </c>
      <c r="AF8" s="28" t="n">
        <f aca="false">IF(AR8="","",K8*AQ8*PI()/4*AR8^2)</f>
        <v>3720.94946280156</v>
      </c>
      <c r="AG8" s="32"/>
      <c r="AI8" s="33" t="n">
        <f aca="false">INDEX(Equipment!$D$2:$D$153,MATCH(E8,Equipment!$A$2:$A$153,0))</f>
        <v>60</v>
      </c>
      <c r="AJ8" s="33" t="n">
        <f aca="false">INDEX(Equipment!$E$2:$E$153,MATCH(E8,Equipment!$A$2:$A$153,0))</f>
        <v>137.5</v>
      </c>
      <c r="AK8" s="33" t="n">
        <f aca="false">INDEX(Equipment!$F$2:$F$153,MATCH(E8,Equipment!$A$2:$A$153,0))</f>
        <v>12.5</v>
      </c>
      <c r="AL8" s="33" t="n">
        <f aca="false">INDEX(Equipment!$D$2:$D$153,MATCH(G8,Equipment!$A$2:$A$153,0))</f>
        <v>80</v>
      </c>
      <c r="AM8" s="33" t="n">
        <f aca="false">INDEX(Equipment!$E$2:$E$153,MATCH(G8,Equipment!$A$2:$A$153,0))</f>
        <v>137.5</v>
      </c>
      <c r="AN8" s="33" t="n">
        <f aca="false">INDEX(Equipment!$F$2:$F$153,MATCH(G8,Equipment!$A$2:$A$153,0))</f>
        <v>12.5</v>
      </c>
      <c r="AO8" s="33" t="n">
        <f aca="false">IF(INDEX(Raceways!$D$2:$D$18,MATCH(L8,Raceways!$A$2:$A$18,0))="",0,INDEX(Raceways!$D$2:$D$18,MATCH(L8,Raceways!$A$2:$A$18,0)))</f>
        <v>0</v>
      </c>
      <c r="AP8" s="34" t="n">
        <f aca="false">IF(INDEX(Raceways!$I$2:$I$18,MATCH(L8,Raceways!$A$2:$A$18,0))="","",INDEX(Raceways!$I$2:$I$18,MATCH(L8,Raceways!$A$2:$A$18,0)))</f>
        <v>1</v>
      </c>
      <c r="AQ8" s="27" t="n">
        <f aca="false">INDEX('Cable Types'!$D$2:$D$45,MATCH(I8,'Cable Types'!$A$2:$A$45,0))</f>
        <v>6</v>
      </c>
      <c r="AR8" s="27" t="n">
        <f aca="false">IF(INDEX('Cable Types'!$E$2:$E$45,MATCH(I8,'Cable Types'!$A$2:$A$45,0))="","",INDEX('Cable Types'!$E$2:$E$45,MATCH(I8,'Cable Types'!$A$2:$A$45,0)))</f>
        <v>28.1</v>
      </c>
      <c r="AS8" s="27" t="n">
        <f aca="false">IF(INDEX('Cable Types'!$F$2:$F$45,MATCH(I8,'Cable Types'!$A$2:$A$45,0))="","",INDEX('Cable Types'!$F$2:$F$45,MATCH(I8,'Cable Types'!$A$2:$A$45,0)))</f>
        <v>1800</v>
      </c>
      <c r="AT8" s="35" t="str">
        <f aca="false">IF(INDEX('Cable Types'!$G$2:$G$45,MATCH(I8,'Cable Types'!$A$2:$A$45,0))="","",INDEX('Cable Types'!$G$2:$G$45,MATCH(I8,'Cable Types'!$A$2:$A$45,0)))</f>
        <v/>
      </c>
    </row>
    <row r="9" customFormat="false" ht="15" hidden="false" customHeight="false" outlineLevel="0" collapsed="false">
      <c r="A9" s="26" t="s">
        <v>688</v>
      </c>
      <c r="B9" s="26" t="s">
        <v>108</v>
      </c>
      <c r="C9" s="26" t="s">
        <v>65</v>
      </c>
      <c r="D9" s="26" t="s">
        <v>689</v>
      </c>
      <c r="E9" s="26" t="s">
        <v>116</v>
      </c>
      <c r="F9" s="27" t="str">
        <f aca="false">INDEX(Equipment!$B$2:$B$153,MATCH(E9,Equipment!$A$2:$A$153,0))</f>
        <v>230 kV bay 4 - ST generator bay / line exit (gantry dead-end)</v>
      </c>
      <c r="G9" s="26" t="s">
        <v>119</v>
      </c>
      <c r="H9" s="27" t="str">
        <f aca="false">INDEX(Equipment!$B$2:$B$153,MATCH(G9,Equipment!$A$2:$A$153,0))</f>
        <v>230 kV transmission tower 1 (terminal)</v>
      </c>
      <c r="I9" s="26" t="s">
        <v>536</v>
      </c>
      <c r="J9" s="27" t="str">
        <f aca="false">INDEX('Cable Types'!$B$2:$B$45,MATCH(I9,'Cable Types'!$A$2:$A$45,0))</f>
        <v>ACSR 795 kcmil 'Drake' 26/7, twin bundle per phase</v>
      </c>
      <c r="K9" s="26" t="n">
        <v>1</v>
      </c>
      <c r="L9" s="26" t="s">
        <v>674</v>
      </c>
      <c r="M9" s="26" t="s">
        <v>675</v>
      </c>
      <c r="N9" s="26"/>
      <c r="O9" s="28" t="n">
        <f aca="false">IF(N9&lt;&gt;"",N9,IF(M9="D",ROUNDUP(SQRT((AL9-AI9)^2+(AM9-AJ9)^2+(AN9-AK9)^2)*(1+'Design Basis'!$C$6),0),ROUNDUP((ABS(AL9-AI9)+ABS(AM9-AJ9)+ABS(AO9-AK9)+ABS(AO9-AN9))*(1+'Design Basis'!$C$4)+2*'Design Basis'!$C$5,0)))</f>
        <v>56</v>
      </c>
      <c r="P9" s="28" t="n">
        <f aca="false">ROUND(O9*'Design Basis'!$C$10,0)</f>
        <v>184</v>
      </c>
      <c r="Q9" s="28" t="n">
        <f aca="false">O9*K9*AQ9</f>
        <v>336</v>
      </c>
      <c r="R9" s="28" t="n">
        <f aca="false">ROUND(Q9*'Design Basis'!$C$10,0)</f>
        <v>1102</v>
      </c>
      <c r="S9" s="29" t="n">
        <v>230000</v>
      </c>
      <c r="T9" s="26" t="n">
        <v>3</v>
      </c>
      <c r="U9" s="29" t="n">
        <v>487000</v>
      </c>
      <c r="V9" s="30" t="n">
        <v>1</v>
      </c>
      <c r="W9" s="28" t="n">
        <f aca="false">IF(OR(U9="",S9=""),"",IF(T9=3,U9*1000/(SQRT(3)*S9*V9),U9*1000/(S9*V9)))</f>
        <v>1222.47643954499</v>
      </c>
      <c r="X9" s="30" t="n">
        <v>1</v>
      </c>
      <c r="Y9" s="28" t="n">
        <f aca="false">IF(W9="","",W9*IF(X9="",1,X9))</f>
        <v>1222.47643954499</v>
      </c>
      <c r="Z9" s="28" t="n">
        <f aca="false">IF(OR(AS9="",AP9=""),"",AS9*AP9)</f>
        <v>1800</v>
      </c>
      <c r="AA9" s="28" t="n">
        <f aca="false">IF(Z9="","",Z9*K9)</f>
        <v>1800</v>
      </c>
      <c r="AB9" s="31" t="n">
        <f aca="false">IF(OR(Y9="",AA9=""),"",Y9/AA9)</f>
        <v>0.679153577524995</v>
      </c>
      <c r="AC9" s="31" t="str">
        <f aca="false">IF(OR(W9="",AT9=""),"",AT9*(W9/K9)*O9/1000/S9)</f>
        <v/>
      </c>
      <c r="AD9" s="31" t="str">
        <f aca="false">IF(W9="","",IFERROR(IF(INDEX('Design Basis'!$C$13:$C$21,MATCH(C9,'Design Basis'!$A$13:$A$21,0))="","",INDEX('Design Basis'!$C$13:$C$21,MATCH(C9,'Design Basis'!$A$13:$A$21,0))),""))</f>
        <v/>
      </c>
      <c r="AE9" s="32" t="str">
        <f aca="false">IF(W9="","n/a",IF(AA9="","CHECK",IF(AND(AB9&lt;=1,OR(AC9="",AD9="",AC9&lt;=AD9)),"OK","CHECK")))</f>
        <v>OK</v>
      </c>
      <c r="AF9" s="28" t="n">
        <f aca="false">IF(AR9="","",K9*AQ9*PI()/4*AR9^2)</f>
        <v>3720.94946280156</v>
      </c>
      <c r="AG9" s="32"/>
      <c r="AI9" s="33" t="n">
        <f aca="false">INDEX(Equipment!$D$2:$D$153,MATCH(E9,Equipment!$A$2:$A$153,0))</f>
        <v>80</v>
      </c>
      <c r="AJ9" s="33" t="n">
        <f aca="false">INDEX(Equipment!$E$2:$E$153,MATCH(E9,Equipment!$A$2:$A$153,0))</f>
        <v>137.5</v>
      </c>
      <c r="AK9" s="33" t="n">
        <f aca="false">INDEX(Equipment!$F$2:$F$153,MATCH(E9,Equipment!$A$2:$A$153,0))</f>
        <v>12.5</v>
      </c>
      <c r="AL9" s="33" t="n">
        <f aca="false">INDEX(Equipment!$D$2:$D$153,MATCH(G9,Equipment!$A$2:$A$153,0))</f>
        <v>130</v>
      </c>
      <c r="AM9" s="33" t="n">
        <f aca="false">INDEX(Equipment!$E$2:$E$153,MATCH(G9,Equipment!$A$2:$A$153,0))</f>
        <v>137.5</v>
      </c>
      <c r="AN9" s="33" t="n">
        <f aca="false">INDEX(Equipment!$F$2:$F$153,MATCH(G9,Equipment!$A$2:$A$153,0))</f>
        <v>31.5</v>
      </c>
      <c r="AO9" s="33" t="n">
        <f aca="false">IF(INDEX(Raceways!$D$2:$D$18,MATCH(L9,Raceways!$A$2:$A$18,0))="",0,INDEX(Raceways!$D$2:$D$18,MATCH(L9,Raceways!$A$2:$A$18,0)))</f>
        <v>0</v>
      </c>
      <c r="AP9" s="34" t="n">
        <f aca="false">IF(INDEX(Raceways!$I$2:$I$18,MATCH(L9,Raceways!$A$2:$A$18,0))="","",INDEX(Raceways!$I$2:$I$18,MATCH(L9,Raceways!$A$2:$A$18,0)))</f>
        <v>1</v>
      </c>
      <c r="AQ9" s="27" t="n">
        <f aca="false">INDEX('Cable Types'!$D$2:$D$45,MATCH(I9,'Cable Types'!$A$2:$A$45,0))</f>
        <v>6</v>
      </c>
      <c r="AR9" s="27" t="n">
        <f aca="false">IF(INDEX('Cable Types'!$E$2:$E$45,MATCH(I9,'Cable Types'!$A$2:$A$45,0))="","",INDEX('Cable Types'!$E$2:$E$45,MATCH(I9,'Cable Types'!$A$2:$A$45,0)))</f>
        <v>28.1</v>
      </c>
      <c r="AS9" s="27" t="n">
        <f aca="false">IF(INDEX('Cable Types'!$F$2:$F$45,MATCH(I9,'Cable Types'!$A$2:$A$45,0))="","",INDEX('Cable Types'!$F$2:$F$45,MATCH(I9,'Cable Types'!$A$2:$A$45,0)))</f>
        <v>1800</v>
      </c>
      <c r="AT9" s="35" t="str">
        <f aca="false">IF(INDEX('Cable Types'!$G$2:$G$45,MATCH(I9,'Cable Types'!$A$2:$A$45,0))="","",INDEX('Cable Types'!$G$2:$G$45,MATCH(I9,'Cable Types'!$A$2:$A$45,0)))</f>
        <v/>
      </c>
    </row>
    <row r="10" customFormat="false" ht="15" hidden="false" customHeight="false" outlineLevel="0" collapsed="false">
      <c r="A10" s="26" t="s">
        <v>690</v>
      </c>
      <c r="B10" s="26" t="s">
        <v>108</v>
      </c>
      <c r="C10" s="26" t="s">
        <v>65</v>
      </c>
      <c r="D10" s="26" t="s">
        <v>691</v>
      </c>
      <c r="E10" s="26" t="s">
        <v>119</v>
      </c>
      <c r="F10" s="27" t="str">
        <f aca="false">INDEX(Equipment!$B$2:$B$153,MATCH(E10,Equipment!$A$2:$A$153,0))</f>
        <v>230 kV transmission tower 1 (terminal)</v>
      </c>
      <c r="G10" s="26" t="s">
        <v>122</v>
      </c>
      <c r="H10" s="27" t="str">
        <f aca="false">INDEX(Equipment!$B$2:$B$153,MATCH(G10,Equipment!$A$2:$A$153,0))</f>
        <v>230 kV transmission tower 2 (suspension)</v>
      </c>
      <c r="I10" s="26" t="s">
        <v>536</v>
      </c>
      <c r="J10" s="27" t="str">
        <f aca="false">INDEX('Cable Types'!$B$2:$B$45,MATCH(I10,'Cable Types'!$A$2:$A$45,0))</f>
        <v>ACSR 795 kcmil 'Drake' 26/7, twin bundle per phase</v>
      </c>
      <c r="K10" s="26" t="n">
        <v>1</v>
      </c>
      <c r="L10" s="26" t="s">
        <v>674</v>
      </c>
      <c r="M10" s="26" t="s">
        <v>675</v>
      </c>
      <c r="N10" s="26"/>
      <c r="O10" s="28" t="n">
        <f aca="false">IF(N10&lt;&gt;"",N10,IF(M10="D",ROUNDUP(SQRT((AL10-AI10)^2+(AM10-AJ10)^2+(AN10-AK10)^2)*(1+'Design Basis'!$C$6),0),ROUNDUP((ABS(AL10-AI10)+ABS(AM10-AJ10)+ABS(AO10-AK10)+ABS(AO10-AN10))*(1+'Design Basis'!$C$4)+2*'Design Basis'!$C$5,0)))</f>
        <v>74</v>
      </c>
      <c r="P10" s="28" t="n">
        <f aca="false">ROUND(O10*'Design Basis'!$C$10,0)</f>
        <v>243</v>
      </c>
      <c r="Q10" s="28" t="n">
        <f aca="false">O10*K10*AQ10</f>
        <v>444</v>
      </c>
      <c r="R10" s="28" t="n">
        <f aca="false">ROUND(Q10*'Design Basis'!$C$10,0)</f>
        <v>1457</v>
      </c>
      <c r="S10" s="29" t="n">
        <v>230000</v>
      </c>
      <c r="T10" s="26" t="n">
        <v>3</v>
      </c>
      <c r="U10" s="29" t="n">
        <v>487000</v>
      </c>
      <c r="V10" s="30" t="n">
        <v>1</v>
      </c>
      <c r="W10" s="28" t="n">
        <f aca="false">IF(OR(U10="",S10=""),"",IF(T10=3,U10*1000/(SQRT(3)*S10*V10),U10*1000/(S10*V10)))</f>
        <v>1222.47643954499</v>
      </c>
      <c r="X10" s="30" t="n">
        <v>1</v>
      </c>
      <c r="Y10" s="28" t="n">
        <f aca="false">IF(W10="","",W10*IF(X10="",1,X10))</f>
        <v>1222.47643954499</v>
      </c>
      <c r="Z10" s="28" t="n">
        <f aca="false">IF(OR(AS10="",AP10=""),"",AS10*AP10)</f>
        <v>1800</v>
      </c>
      <c r="AA10" s="28" t="n">
        <f aca="false">IF(Z10="","",Z10*K10)</f>
        <v>1800</v>
      </c>
      <c r="AB10" s="31" t="n">
        <f aca="false">IF(OR(Y10="",AA10=""),"",Y10/AA10)</f>
        <v>0.679153577524995</v>
      </c>
      <c r="AC10" s="31" t="str">
        <f aca="false">IF(OR(W10="",AT10=""),"",AT10*(W10/K10)*O10/1000/S10)</f>
        <v/>
      </c>
      <c r="AD10" s="31" t="str">
        <f aca="false">IF(W10="","",IFERROR(IF(INDEX('Design Basis'!$C$13:$C$21,MATCH(C10,'Design Basis'!$A$13:$A$21,0))="","",INDEX('Design Basis'!$C$13:$C$21,MATCH(C10,'Design Basis'!$A$13:$A$21,0))),""))</f>
        <v/>
      </c>
      <c r="AE10" s="32" t="str">
        <f aca="false">IF(W10="","n/a",IF(AA10="","CHECK",IF(AND(AB10&lt;=1,OR(AC10="",AD10="",AC10&lt;=AD10)),"OK","CHECK")))</f>
        <v>OK</v>
      </c>
      <c r="AF10" s="28" t="n">
        <f aca="false">IF(AR10="","",K10*AQ10*PI()/4*AR10^2)</f>
        <v>3720.94946280156</v>
      </c>
      <c r="AG10" s="32"/>
      <c r="AI10" s="33" t="n">
        <f aca="false">INDEX(Equipment!$D$2:$D$153,MATCH(E10,Equipment!$A$2:$A$153,0))</f>
        <v>130</v>
      </c>
      <c r="AJ10" s="33" t="n">
        <f aca="false">INDEX(Equipment!$E$2:$E$153,MATCH(E10,Equipment!$A$2:$A$153,0))</f>
        <v>137.5</v>
      </c>
      <c r="AK10" s="33" t="n">
        <f aca="false">INDEX(Equipment!$F$2:$F$153,MATCH(E10,Equipment!$A$2:$A$153,0))</f>
        <v>31.5</v>
      </c>
      <c r="AL10" s="33" t="n">
        <f aca="false">INDEX(Equipment!$D$2:$D$153,MATCH(G10,Equipment!$A$2:$A$153,0))</f>
        <v>200</v>
      </c>
      <c r="AM10" s="33" t="n">
        <f aca="false">INDEX(Equipment!$E$2:$E$153,MATCH(G10,Equipment!$A$2:$A$153,0))</f>
        <v>152.5</v>
      </c>
      <c r="AN10" s="33" t="n">
        <f aca="false">INDEX(Equipment!$F$2:$F$153,MATCH(G10,Equipment!$A$2:$A$153,0))</f>
        <v>31.5</v>
      </c>
      <c r="AO10" s="33" t="n">
        <f aca="false">IF(INDEX(Raceways!$D$2:$D$18,MATCH(L10,Raceways!$A$2:$A$18,0))="",0,INDEX(Raceways!$D$2:$D$18,MATCH(L10,Raceways!$A$2:$A$18,0)))</f>
        <v>0</v>
      </c>
      <c r="AP10" s="34" t="n">
        <f aca="false">IF(INDEX(Raceways!$I$2:$I$18,MATCH(L10,Raceways!$A$2:$A$18,0))="","",INDEX(Raceways!$I$2:$I$18,MATCH(L10,Raceways!$A$2:$A$18,0)))</f>
        <v>1</v>
      </c>
      <c r="AQ10" s="27" t="n">
        <f aca="false">INDEX('Cable Types'!$D$2:$D$45,MATCH(I10,'Cable Types'!$A$2:$A$45,0))</f>
        <v>6</v>
      </c>
      <c r="AR10" s="27" t="n">
        <f aca="false">IF(INDEX('Cable Types'!$E$2:$E$45,MATCH(I10,'Cable Types'!$A$2:$A$45,0))="","",INDEX('Cable Types'!$E$2:$E$45,MATCH(I10,'Cable Types'!$A$2:$A$45,0)))</f>
        <v>28.1</v>
      </c>
      <c r="AS10" s="27" t="n">
        <f aca="false">IF(INDEX('Cable Types'!$F$2:$F$45,MATCH(I10,'Cable Types'!$A$2:$A$45,0))="","",INDEX('Cable Types'!$F$2:$F$45,MATCH(I10,'Cable Types'!$A$2:$A$45,0)))</f>
        <v>1800</v>
      </c>
      <c r="AT10" s="35" t="str">
        <f aca="false">IF(INDEX('Cable Types'!$G$2:$G$45,MATCH(I10,'Cable Types'!$A$2:$A$45,0))="","",INDEX('Cable Types'!$G$2:$G$45,MATCH(I10,'Cable Types'!$A$2:$A$45,0)))</f>
        <v/>
      </c>
    </row>
    <row r="11" customFormat="false" ht="15" hidden="false" customHeight="false" outlineLevel="0" collapsed="false">
      <c r="A11" s="26" t="s">
        <v>692</v>
      </c>
      <c r="B11" s="26" t="s">
        <v>108</v>
      </c>
      <c r="C11" s="26" t="s">
        <v>65</v>
      </c>
      <c r="D11" s="26" t="s">
        <v>693</v>
      </c>
      <c r="E11" s="26" t="s">
        <v>122</v>
      </c>
      <c r="F11" s="27" t="str">
        <f aca="false">INDEX(Equipment!$B$2:$B$153,MATCH(E11,Equipment!$A$2:$A$153,0))</f>
        <v>230 kV transmission tower 2 (suspension)</v>
      </c>
      <c r="G11" s="26" t="s">
        <v>125</v>
      </c>
      <c r="H11" s="27" t="str">
        <f aca="false">INDEX(Equipment!$B$2:$B$153,MATCH(G11,Equipment!$A$2:$A$153,0))</f>
        <v>230 kV transmission tower 3 (suspension)</v>
      </c>
      <c r="I11" s="26" t="s">
        <v>536</v>
      </c>
      <c r="J11" s="27" t="str">
        <f aca="false">INDEX('Cable Types'!$B$2:$B$45,MATCH(I11,'Cable Types'!$A$2:$A$45,0))</f>
        <v>ACSR 795 kcmil 'Drake' 26/7, twin bundle per phase</v>
      </c>
      <c r="K11" s="26" t="n">
        <v>1</v>
      </c>
      <c r="L11" s="26" t="s">
        <v>674</v>
      </c>
      <c r="M11" s="26" t="s">
        <v>675</v>
      </c>
      <c r="N11" s="26"/>
      <c r="O11" s="28" t="n">
        <f aca="false">IF(N11&lt;&gt;"",N11,IF(M11="D",ROUNDUP(SQRT((AL11-AI11)^2+(AM11-AJ11)^2+(AN11-AK11)^2)*(1+'Design Basis'!$C$6),0),ROUNDUP((ABS(AL11-AI11)+ABS(AM11-AJ11)+ABS(AO11-AK11)+ABS(AO11-AN11))*(1+'Design Basis'!$C$4)+2*'Design Basis'!$C$5,0)))</f>
        <v>74</v>
      </c>
      <c r="P11" s="28" t="n">
        <f aca="false">ROUND(O11*'Design Basis'!$C$10,0)</f>
        <v>243</v>
      </c>
      <c r="Q11" s="28" t="n">
        <f aca="false">O11*K11*AQ11</f>
        <v>444</v>
      </c>
      <c r="R11" s="28" t="n">
        <f aca="false">ROUND(Q11*'Design Basis'!$C$10,0)</f>
        <v>1457</v>
      </c>
      <c r="S11" s="29" t="n">
        <v>230000</v>
      </c>
      <c r="T11" s="26" t="n">
        <v>3</v>
      </c>
      <c r="U11" s="29" t="n">
        <v>487000</v>
      </c>
      <c r="V11" s="30" t="n">
        <v>1</v>
      </c>
      <c r="W11" s="28" t="n">
        <f aca="false">IF(OR(U11="",S11=""),"",IF(T11=3,U11*1000/(SQRT(3)*S11*V11),U11*1000/(S11*V11)))</f>
        <v>1222.47643954499</v>
      </c>
      <c r="X11" s="30" t="n">
        <v>1</v>
      </c>
      <c r="Y11" s="28" t="n">
        <f aca="false">IF(W11="","",W11*IF(X11="",1,X11))</f>
        <v>1222.47643954499</v>
      </c>
      <c r="Z11" s="28" t="n">
        <f aca="false">IF(OR(AS11="",AP11=""),"",AS11*AP11)</f>
        <v>1800</v>
      </c>
      <c r="AA11" s="28" t="n">
        <f aca="false">IF(Z11="","",Z11*K11)</f>
        <v>1800</v>
      </c>
      <c r="AB11" s="31" t="n">
        <f aca="false">IF(OR(Y11="",AA11=""),"",Y11/AA11)</f>
        <v>0.679153577524995</v>
      </c>
      <c r="AC11" s="31" t="str">
        <f aca="false">IF(OR(W11="",AT11=""),"",AT11*(W11/K11)*O11/1000/S11)</f>
        <v/>
      </c>
      <c r="AD11" s="31" t="str">
        <f aca="false">IF(W11="","",IFERROR(IF(INDEX('Design Basis'!$C$13:$C$21,MATCH(C11,'Design Basis'!$A$13:$A$21,0))="","",INDEX('Design Basis'!$C$13:$C$21,MATCH(C11,'Design Basis'!$A$13:$A$21,0))),""))</f>
        <v/>
      </c>
      <c r="AE11" s="32" t="str">
        <f aca="false">IF(W11="","n/a",IF(AA11="","CHECK",IF(AND(AB11&lt;=1,OR(AC11="",AD11="",AC11&lt;=AD11)),"OK","CHECK")))</f>
        <v>OK</v>
      </c>
      <c r="AF11" s="28" t="n">
        <f aca="false">IF(AR11="","",K11*AQ11*PI()/4*AR11^2)</f>
        <v>3720.94946280156</v>
      </c>
      <c r="AG11" s="32"/>
      <c r="AI11" s="33" t="n">
        <f aca="false">INDEX(Equipment!$D$2:$D$153,MATCH(E11,Equipment!$A$2:$A$153,0))</f>
        <v>200</v>
      </c>
      <c r="AJ11" s="33" t="n">
        <f aca="false">INDEX(Equipment!$E$2:$E$153,MATCH(E11,Equipment!$A$2:$A$153,0))</f>
        <v>152.5</v>
      </c>
      <c r="AK11" s="33" t="n">
        <f aca="false">INDEX(Equipment!$F$2:$F$153,MATCH(E11,Equipment!$A$2:$A$153,0))</f>
        <v>31.5</v>
      </c>
      <c r="AL11" s="33" t="n">
        <f aca="false">INDEX(Equipment!$D$2:$D$153,MATCH(G11,Equipment!$A$2:$A$153,0))</f>
        <v>270</v>
      </c>
      <c r="AM11" s="33" t="n">
        <f aca="false">INDEX(Equipment!$E$2:$E$153,MATCH(G11,Equipment!$A$2:$A$153,0))</f>
        <v>167.5</v>
      </c>
      <c r="AN11" s="33" t="n">
        <f aca="false">INDEX(Equipment!$F$2:$F$153,MATCH(G11,Equipment!$A$2:$A$153,0))</f>
        <v>31.5</v>
      </c>
      <c r="AO11" s="33" t="n">
        <f aca="false">IF(INDEX(Raceways!$D$2:$D$18,MATCH(L11,Raceways!$A$2:$A$18,0))="",0,INDEX(Raceways!$D$2:$D$18,MATCH(L11,Raceways!$A$2:$A$18,0)))</f>
        <v>0</v>
      </c>
      <c r="AP11" s="34" t="n">
        <f aca="false">IF(INDEX(Raceways!$I$2:$I$18,MATCH(L11,Raceways!$A$2:$A$18,0))="","",INDEX(Raceways!$I$2:$I$18,MATCH(L11,Raceways!$A$2:$A$18,0)))</f>
        <v>1</v>
      </c>
      <c r="AQ11" s="27" t="n">
        <f aca="false">INDEX('Cable Types'!$D$2:$D$45,MATCH(I11,'Cable Types'!$A$2:$A$45,0))</f>
        <v>6</v>
      </c>
      <c r="AR11" s="27" t="n">
        <f aca="false">IF(INDEX('Cable Types'!$E$2:$E$45,MATCH(I11,'Cable Types'!$A$2:$A$45,0))="","",INDEX('Cable Types'!$E$2:$E$45,MATCH(I11,'Cable Types'!$A$2:$A$45,0)))</f>
        <v>28.1</v>
      </c>
      <c r="AS11" s="27" t="n">
        <f aca="false">IF(INDEX('Cable Types'!$F$2:$F$45,MATCH(I11,'Cable Types'!$A$2:$A$45,0))="","",INDEX('Cable Types'!$F$2:$F$45,MATCH(I11,'Cable Types'!$A$2:$A$45,0)))</f>
        <v>1800</v>
      </c>
      <c r="AT11" s="35" t="str">
        <f aca="false">IF(INDEX('Cable Types'!$G$2:$G$45,MATCH(I11,'Cable Types'!$A$2:$A$45,0))="","",INDEX('Cable Types'!$G$2:$G$45,MATCH(I11,'Cable Types'!$A$2:$A$45,0)))</f>
        <v/>
      </c>
    </row>
    <row r="12" customFormat="false" ht="15" hidden="false" customHeight="false" outlineLevel="0" collapsed="false">
      <c r="A12" s="26" t="s">
        <v>694</v>
      </c>
      <c r="B12" s="26" t="s">
        <v>108</v>
      </c>
      <c r="C12" s="26" t="s">
        <v>65</v>
      </c>
      <c r="D12" s="26" t="s">
        <v>695</v>
      </c>
      <c r="E12" s="26" t="s">
        <v>106</v>
      </c>
      <c r="F12" s="27" t="str">
        <f aca="false">INDEX(Equipment!$B$2:$B$153,MATCH(E12,Equipment!$A$2:$A$153,0))</f>
        <v>230 kV bay 1 - RICE transformer bay (gantry dead-end)</v>
      </c>
      <c r="G12" s="26" t="s">
        <v>116</v>
      </c>
      <c r="H12" s="27" t="str">
        <f aca="false">INDEX(Equipment!$B$2:$B$153,MATCH(G12,Equipment!$A$2:$A$153,0))</f>
        <v>230 kV bay 4 - ST generator bay / line exit (gantry dead-end)</v>
      </c>
      <c r="I12" s="26" t="s">
        <v>538</v>
      </c>
      <c r="J12" s="27" t="str">
        <f aca="false">INDEX('Cable Types'!$B$2:$B$45,MATCH(I12,'Cable Types'!$A$2:$A$45,0))</f>
        <v>Shield wire 7/16" EHS galvanized steel</v>
      </c>
      <c r="K12" s="26" t="n">
        <v>2</v>
      </c>
      <c r="L12" s="26" t="s">
        <v>674</v>
      </c>
      <c r="M12" s="26" t="s">
        <v>675</v>
      </c>
      <c r="N12" s="26"/>
      <c r="O12" s="28" t="n">
        <f aca="false">IF(N12&lt;&gt;"",N12,IF(M12="D",ROUNDUP(SQRT((AL12-AI12)^2+(AM12-AJ12)^2+(AN12-AK12)^2)*(1+'Design Basis'!$C$6),0),ROUNDUP((ABS(AL12-AI12)+ABS(AM12-AJ12)+ABS(AO12-AK12)+ABS(AO12-AN12))*(1+'Design Basis'!$C$4)+2*'Design Basis'!$C$5,0)))</f>
        <v>62</v>
      </c>
      <c r="P12" s="28" t="n">
        <f aca="false">ROUND(O12*'Design Basis'!$C$10,0)</f>
        <v>203</v>
      </c>
      <c r="Q12" s="28" t="n">
        <f aca="false">O12*K12*AQ12</f>
        <v>124</v>
      </c>
      <c r="R12" s="28" t="n">
        <f aca="false">ROUND(Q12*'Design Basis'!$C$10,0)</f>
        <v>407</v>
      </c>
      <c r="S12" s="29"/>
      <c r="T12" s="26"/>
      <c r="U12" s="29"/>
      <c r="V12" s="30"/>
      <c r="W12" s="28" t="str">
        <f aca="false">IF(OR(U12="",S12=""),"",IF(T12=3,U12*1000/(SQRT(3)*S12*V12),U12*1000/(S12*V12)))</f>
        <v/>
      </c>
      <c r="X12" s="30"/>
      <c r="Y12" s="28" t="str">
        <f aca="false">IF(W12="","",W12*IF(X12="",1,X12))</f>
        <v/>
      </c>
      <c r="Z12" s="28" t="str">
        <f aca="false">IF(OR(AS12="",AP12=""),"",AS12*AP12)</f>
        <v/>
      </c>
      <c r="AA12" s="28" t="str">
        <f aca="false">IF(Z12="","",Z12*K12)</f>
        <v/>
      </c>
      <c r="AB12" s="31" t="str">
        <f aca="false">IF(OR(Y12="",AA12=""),"",Y12/AA12)</f>
        <v/>
      </c>
      <c r="AC12" s="31" t="str">
        <f aca="false">IF(OR(W12="",AT12=""),"",AT12*(W12/K12)*O12/1000/S12)</f>
        <v/>
      </c>
      <c r="AD12" s="31" t="str">
        <f aca="false">IF(W12="","",IFERROR(IF(INDEX('Design Basis'!$C$13:$C$21,MATCH(C12,'Design Basis'!$A$13:$A$21,0))="","",INDEX('Design Basis'!$C$13:$C$21,MATCH(C12,'Design Basis'!$A$13:$A$21,0))),""))</f>
        <v/>
      </c>
      <c r="AE12" s="32" t="str">
        <f aca="false">IF(W12="","n/a",IF(AA12="","CHECK",IF(AND(AB12&lt;=1,OR(AC12="",AD12="",AC12&lt;=AD12)),"OK","CHECK")))</f>
        <v>n/a</v>
      </c>
      <c r="AF12" s="28" t="n">
        <f aca="false">IF(AR12="","",K12*AQ12*PI()/4*AR12^2)</f>
        <v>193.537815424399</v>
      </c>
      <c r="AG12" s="32" t="s">
        <v>696</v>
      </c>
      <c r="AI12" s="33" t="n">
        <f aca="false">INDEX(Equipment!$D$2:$D$153,MATCH(E12,Equipment!$A$2:$A$153,0))</f>
        <v>20</v>
      </c>
      <c r="AJ12" s="33" t="n">
        <f aca="false">INDEX(Equipment!$E$2:$E$153,MATCH(E12,Equipment!$A$2:$A$153,0))</f>
        <v>137.5</v>
      </c>
      <c r="AK12" s="33" t="n">
        <f aca="false">INDEX(Equipment!$F$2:$F$153,MATCH(E12,Equipment!$A$2:$A$153,0))</f>
        <v>12.5</v>
      </c>
      <c r="AL12" s="33" t="n">
        <f aca="false">INDEX(Equipment!$D$2:$D$153,MATCH(G12,Equipment!$A$2:$A$153,0))</f>
        <v>80</v>
      </c>
      <c r="AM12" s="33" t="n">
        <f aca="false">INDEX(Equipment!$E$2:$E$153,MATCH(G12,Equipment!$A$2:$A$153,0))</f>
        <v>137.5</v>
      </c>
      <c r="AN12" s="33" t="n">
        <f aca="false">INDEX(Equipment!$F$2:$F$153,MATCH(G12,Equipment!$A$2:$A$153,0))</f>
        <v>12.5</v>
      </c>
      <c r="AO12" s="33" t="n">
        <f aca="false">IF(INDEX(Raceways!$D$2:$D$18,MATCH(L12,Raceways!$A$2:$A$18,0))="",0,INDEX(Raceways!$D$2:$D$18,MATCH(L12,Raceways!$A$2:$A$18,0)))</f>
        <v>0</v>
      </c>
      <c r="AP12" s="34" t="n">
        <f aca="false">IF(INDEX(Raceways!$I$2:$I$18,MATCH(L12,Raceways!$A$2:$A$18,0))="","",INDEX(Raceways!$I$2:$I$18,MATCH(L12,Raceways!$A$2:$A$18,0)))</f>
        <v>1</v>
      </c>
      <c r="AQ12" s="27" t="n">
        <f aca="false">INDEX('Cable Types'!$D$2:$D$45,MATCH(I12,'Cable Types'!$A$2:$A$45,0))</f>
        <v>1</v>
      </c>
      <c r="AR12" s="27" t="n">
        <f aca="false">IF(INDEX('Cable Types'!$E$2:$E$45,MATCH(I12,'Cable Types'!$A$2:$A$45,0))="","",INDEX('Cable Types'!$E$2:$E$45,MATCH(I12,'Cable Types'!$A$2:$A$45,0)))</f>
        <v>11.1</v>
      </c>
      <c r="AS12" s="27" t="str">
        <f aca="false">IF(INDEX('Cable Types'!$F$2:$F$45,MATCH(I12,'Cable Types'!$A$2:$A$45,0))="","",INDEX('Cable Types'!$F$2:$F$45,MATCH(I12,'Cable Types'!$A$2:$A$45,0)))</f>
        <v/>
      </c>
      <c r="AT12" s="35" t="str">
        <f aca="false">IF(INDEX('Cable Types'!$G$2:$G$45,MATCH(I12,'Cable Types'!$A$2:$A$45,0))="","",INDEX('Cable Types'!$G$2:$G$45,MATCH(I12,'Cable Types'!$A$2:$A$45,0)))</f>
        <v/>
      </c>
    </row>
    <row r="13" customFormat="false" ht="15" hidden="false" customHeight="false" outlineLevel="0" collapsed="false">
      <c r="A13" s="26" t="s">
        <v>697</v>
      </c>
      <c r="B13" s="26" t="s">
        <v>108</v>
      </c>
      <c r="C13" s="26" t="s">
        <v>65</v>
      </c>
      <c r="D13" s="26" t="s">
        <v>698</v>
      </c>
      <c r="E13" s="26" t="s">
        <v>116</v>
      </c>
      <c r="F13" s="27" t="str">
        <f aca="false">INDEX(Equipment!$B$2:$B$153,MATCH(E13,Equipment!$A$2:$A$153,0))</f>
        <v>230 kV bay 4 - ST generator bay / line exit (gantry dead-end)</v>
      </c>
      <c r="G13" s="26" t="s">
        <v>125</v>
      </c>
      <c r="H13" s="27" t="str">
        <f aca="false">INDEX(Equipment!$B$2:$B$153,MATCH(G13,Equipment!$A$2:$A$153,0))</f>
        <v>230 kV transmission tower 3 (suspension)</v>
      </c>
      <c r="I13" s="26" t="s">
        <v>540</v>
      </c>
      <c r="J13" s="27" t="str">
        <f aca="false">INDEX('Cable Types'!$B$2:$B$45,MATCH(I13,'Cable Types'!$A$2:$A$45,0))</f>
        <v>OPGW 24-fiber shield wire</v>
      </c>
      <c r="K13" s="26" t="n">
        <v>1</v>
      </c>
      <c r="L13" s="26" t="s">
        <v>674</v>
      </c>
      <c r="M13" s="26" t="s">
        <v>675</v>
      </c>
      <c r="N13" s="26"/>
      <c r="O13" s="28" t="n">
        <f aca="false">IF(N13&lt;&gt;"",N13,IF(M13="D",ROUNDUP(SQRT((AL13-AI13)^2+(AM13-AJ13)^2+(AN13-AK13)^2)*(1+'Design Basis'!$C$6),0),ROUNDUP((ABS(AL13-AI13)+ABS(AM13-AJ13)+ABS(AO13-AK13)+ABS(AO13-AN13))*(1+'Design Basis'!$C$4)+2*'Design Basis'!$C$5,0)))</f>
        <v>200</v>
      </c>
      <c r="P13" s="28" t="n">
        <f aca="false">ROUND(O13*'Design Basis'!$C$10,0)</f>
        <v>656</v>
      </c>
      <c r="Q13" s="28" t="n">
        <f aca="false">O13*K13*AQ13</f>
        <v>200</v>
      </c>
      <c r="R13" s="28" t="n">
        <f aca="false">ROUND(Q13*'Design Basis'!$C$10,0)</f>
        <v>656</v>
      </c>
      <c r="S13" s="29"/>
      <c r="T13" s="26"/>
      <c r="U13" s="29"/>
      <c r="V13" s="30"/>
      <c r="W13" s="28" t="str">
        <f aca="false">IF(OR(U13="",S13=""),"",IF(T13=3,U13*1000/(SQRT(3)*S13*V13),U13*1000/(S13*V13)))</f>
        <v/>
      </c>
      <c r="X13" s="30"/>
      <c r="Y13" s="28" t="str">
        <f aca="false">IF(W13="","",W13*IF(X13="",1,X13))</f>
        <v/>
      </c>
      <c r="Z13" s="28" t="str">
        <f aca="false">IF(OR(AS13="",AP13=""),"",AS13*AP13)</f>
        <v/>
      </c>
      <c r="AA13" s="28" t="str">
        <f aca="false">IF(Z13="","",Z13*K13)</f>
        <v/>
      </c>
      <c r="AB13" s="31" t="str">
        <f aca="false">IF(OR(Y13="",AA13=""),"",Y13/AA13)</f>
        <v/>
      </c>
      <c r="AC13" s="31" t="str">
        <f aca="false">IF(OR(W13="",AT13=""),"",AT13*(W13/K13)*O13/1000/S13)</f>
        <v/>
      </c>
      <c r="AD13" s="31" t="str">
        <f aca="false">IF(W13="","",IFERROR(IF(INDEX('Design Basis'!$C$13:$C$21,MATCH(C13,'Design Basis'!$A$13:$A$21,0))="","",INDEX('Design Basis'!$C$13:$C$21,MATCH(C13,'Design Basis'!$A$13:$A$21,0))),""))</f>
        <v/>
      </c>
      <c r="AE13" s="32" t="str">
        <f aca="false">IF(W13="","n/a",IF(AA13="","CHECK",IF(AND(AB13&lt;=1,OR(AC13="",AD13="",AC13&lt;=AD13)),"OK","CHECK")))</f>
        <v>n/a</v>
      </c>
      <c r="AF13" s="28" t="n">
        <f aca="false">IF(AR13="","",K13*AQ13*PI()/4*AR13^2)</f>
        <v>153.9380400259</v>
      </c>
      <c r="AG13" s="32" t="s">
        <v>699</v>
      </c>
      <c r="AI13" s="33" t="n">
        <f aca="false">INDEX(Equipment!$D$2:$D$153,MATCH(E13,Equipment!$A$2:$A$153,0))</f>
        <v>80</v>
      </c>
      <c r="AJ13" s="33" t="n">
        <f aca="false">INDEX(Equipment!$E$2:$E$153,MATCH(E13,Equipment!$A$2:$A$153,0))</f>
        <v>137.5</v>
      </c>
      <c r="AK13" s="33" t="n">
        <f aca="false">INDEX(Equipment!$F$2:$F$153,MATCH(E13,Equipment!$A$2:$A$153,0))</f>
        <v>12.5</v>
      </c>
      <c r="AL13" s="33" t="n">
        <f aca="false">INDEX(Equipment!$D$2:$D$153,MATCH(G13,Equipment!$A$2:$A$153,0))</f>
        <v>270</v>
      </c>
      <c r="AM13" s="33" t="n">
        <f aca="false">INDEX(Equipment!$E$2:$E$153,MATCH(G13,Equipment!$A$2:$A$153,0))</f>
        <v>167.5</v>
      </c>
      <c r="AN13" s="33" t="n">
        <f aca="false">INDEX(Equipment!$F$2:$F$153,MATCH(G13,Equipment!$A$2:$A$153,0))</f>
        <v>31.5</v>
      </c>
      <c r="AO13" s="33" t="n">
        <f aca="false">IF(INDEX(Raceways!$D$2:$D$18,MATCH(L13,Raceways!$A$2:$A$18,0))="",0,INDEX(Raceways!$D$2:$D$18,MATCH(L13,Raceways!$A$2:$A$18,0)))</f>
        <v>0</v>
      </c>
      <c r="AP13" s="34" t="n">
        <f aca="false">IF(INDEX(Raceways!$I$2:$I$18,MATCH(L13,Raceways!$A$2:$A$18,0))="","",INDEX(Raceways!$I$2:$I$18,MATCH(L13,Raceways!$A$2:$A$18,0)))</f>
        <v>1</v>
      </c>
      <c r="AQ13" s="27" t="n">
        <f aca="false">INDEX('Cable Types'!$D$2:$D$45,MATCH(I13,'Cable Types'!$A$2:$A$45,0))</f>
        <v>1</v>
      </c>
      <c r="AR13" s="27" t="n">
        <f aca="false">IF(INDEX('Cable Types'!$E$2:$E$45,MATCH(I13,'Cable Types'!$A$2:$A$45,0))="","",INDEX('Cable Types'!$E$2:$E$45,MATCH(I13,'Cable Types'!$A$2:$A$45,0)))</f>
        <v>14</v>
      </c>
      <c r="AS13" s="27" t="str">
        <f aca="false">IF(INDEX('Cable Types'!$F$2:$F$45,MATCH(I13,'Cable Types'!$A$2:$A$45,0))="","",INDEX('Cable Types'!$F$2:$F$45,MATCH(I13,'Cable Types'!$A$2:$A$45,0)))</f>
        <v/>
      </c>
      <c r="AT13" s="35" t="str">
        <f aca="false">IF(INDEX('Cable Types'!$G$2:$G$45,MATCH(I13,'Cable Types'!$A$2:$A$45,0))="","",INDEX('Cable Types'!$G$2:$G$45,MATCH(I13,'Cable Types'!$A$2:$A$45,0)))</f>
        <v/>
      </c>
    </row>
    <row r="14" customFormat="false" ht="15" hidden="false" customHeight="false" outlineLevel="0" collapsed="false">
      <c r="A14" s="26" t="s">
        <v>700</v>
      </c>
      <c r="B14" s="26" t="s">
        <v>139</v>
      </c>
      <c r="C14" s="26" t="s">
        <v>68</v>
      </c>
      <c r="D14" s="26" t="s">
        <v>701</v>
      </c>
      <c r="E14" s="26" t="s">
        <v>137</v>
      </c>
      <c r="F14" s="27" t="str">
        <f aca="false">INDEX(Equipment!$B$2:$B$153,MATCH(E14,Equipment!$A$2:$A$153,0))</f>
        <v>Gas turbine generator ~290 MVA, 19 kV - line terminals</v>
      </c>
      <c r="G14" s="26" t="s">
        <v>147</v>
      </c>
      <c r="H14" s="27" t="str">
        <f aca="false">INDEX(Equipment!$B$2:$B$153,MATCH(G14,Equipment!$A$2:$A$153,0))</f>
        <v>GT step-up transformer - LV bushings / marshalling box</v>
      </c>
      <c r="I14" s="26" t="s">
        <v>542</v>
      </c>
      <c r="J14" s="27" t="str">
        <f aca="false">INDEX('Cable Types'!$B$2:$B$45,MATCH(I14,'Cable Types'!$A$2:$A$45,0))</f>
        <v>Isolated phase bus 24 kV, 10 kA (per phase metre)</v>
      </c>
      <c r="K14" s="26" t="n">
        <v>1</v>
      </c>
      <c r="L14" s="26" t="s">
        <v>702</v>
      </c>
      <c r="M14" s="26" t="s">
        <v>703</v>
      </c>
      <c r="N14" s="26"/>
      <c r="O14" s="28" t="n">
        <f aca="false">IF(N14&lt;&gt;"",N14,IF(M14="D",ROUNDUP(SQRT((AL14-AI14)^2+(AM14-AJ14)^2+(AN14-AK14)^2)*(1+'Design Basis'!$C$6),0),ROUNDUP((ABS(AL14-AI14)+ABS(AM14-AJ14)+ABS(AO14-AK14)+ABS(AO14-AN14))*(1+'Design Basis'!$C$4)+2*'Design Basis'!$C$5,0)))</f>
        <v>58</v>
      </c>
      <c r="P14" s="28" t="n">
        <f aca="false">ROUND(O14*'Design Basis'!$C$10,0)</f>
        <v>190</v>
      </c>
      <c r="Q14" s="28" t="n">
        <f aca="false">O14*K14*AQ14</f>
        <v>174</v>
      </c>
      <c r="R14" s="28" t="n">
        <f aca="false">ROUND(Q14*'Design Basis'!$C$10,0)</f>
        <v>571</v>
      </c>
      <c r="S14" s="29" t="n">
        <v>19000</v>
      </c>
      <c r="T14" s="26" t="n">
        <v>3</v>
      </c>
      <c r="U14" s="29" t="n">
        <v>290000</v>
      </c>
      <c r="V14" s="30" t="n">
        <v>1</v>
      </c>
      <c r="W14" s="28" t="n">
        <f aca="false">IF(OR(U14="",S14=""),"",IF(T14=3,U14*1000/(SQRT(3)*S14*V14),U14*1000/(S14*V14)))</f>
        <v>8812.18831921008</v>
      </c>
      <c r="X14" s="30" t="n">
        <v>1</v>
      </c>
      <c r="Y14" s="28" t="n">
        <f aca="false">IF(W14="","",W14*IF(X14="",1,X14))</f>
        <v>8812.18831921008</v>
      </c>
      <c r="Z14" s="28" t="n">
        <f aca="false">IF(OR(AS14="",AP14=""),"",AS14*AP14)</f>
        <v>10000</v>
      </c>
      <c r="AA14" s="28" t="n">
        <f aca="false">IF(Z14="","",Z14*K14)</f>
        <v>10000</v>
      </c>
      <c r="AB14" s="31" t="n">
        <f aca="false">IF(OR(Y14="",AA14=""),"",Y14/AA14)</f>
        <v>0.881218831921008</v>
      </c>
      <c r="AC14" s="31" t="str">
        <f aca="false">IF(OR(W14="",AT14=""),"",AT14*(W14/K14)*O14/1000/S14)</f>
        <v/>
      </c>
      <c r="AD14" s="31" t="str">
        <f aca="false">IF(W14="","",IFERROR(IF(INDEX('Design Basis'!$C$13:$C$21,MATCH(C14,'Design Basis'!$A$13:$A$21,0))="","",INDEX('Design Basis'!$C$13:$C$21,MATCH(C14,'Design Basis'!$A$13:$A$21,0))),""))</f>
        <v/>
      </c>
      <c r="AE14" s="32" t="str">
        <f aca="false">IF(W14="","n/a",IF(AA14="","CHECK",IF(AND(AB14&lt;=1,OR(AC14="",AD14="",AC14&lt;=AD14)),"OK","CHECK")))</f>
        <v>OK</v>
      </c>
      <c r="AF14" s="28" t="str">
        <f aca="false">IF(AR14="","",K14*AQ14*PI()/4*AR14^2)</f>
        <v/>
      </c>
      <c r="AG14" s="32" t="s">
        <v>704</v>
      </c>
      <c r="AI14" s="33" t="n">
        <f aca="false">INDEX(Equipment!$D$2:$D$153,MATCH(E14,Equipment!$A$2:$A$153,0))</f>
        <v>58</v>
      </c>
      <c r="AJ14" s="33" t="n">
        <f aca="false">INDEX(Equipment!$E$2:$E$153,MATCH(E14,Equipment!$A$2:$A$153,0))</f>
        <v>18</v>
      </c>
      <c r="AK14" s="33" t="n">
        <f aca="false">INDEX(Equipment!$F$2:$F$153,MATCH(E14,Equipment!$A$2:$A$153,0))</f>
        <v>4</v>
      </c>
      <c r="AL14" s="33" t="n">
        <f aca="false">INDEX(Equipment!$D$2:$D$153,MATCH(G14,Equipment!$A$2:$A$153,0))</f>
        <v>54</v>
      </c>
      <c r="AM14" s="33" t="n">
        <f aca="false">INDEX(Equipment!$E$2:$E$153,MATCH(G14,Equipment!$A$2:$A$153,0))</f>
        <v>60</v>
      </c>
      <c r="AN14" s="33" t="n">
        <f aca="false">INDEX(Equipment!$F$2:$F$153,MATCH(G14,Equipment!$A$2:$A$153,0))</f>
        <v>4.5</v>
      </c>
      <c r="AO14" s="33" t="n">
        <f aca="false">IF(INDEX(Raceways!$D$2:$D$18,MATCH(L14,Raceways!$A$2:$A$18,0))="",0,INDEX(Raceways!$D$2:$D$18,MATCH(L14,Raceways!$A$2:$A$18,0)))</f>
        <v>4</v>
      </c>
      <c r="AP14" s="34" t="n">
        <f aca="false">IF(INDEX(Raceways!$I$2:$I$18,MATCH(L14,Raceways!$A$2:$A$18,0))="","",INDEX(Raceways!$I$2:$I$18,MATCH(L14,Raceways!$A$2:$A$18,0)))</f>
        <v>1</v>
      </c>
      <c r="AQ14" s="27" t="n">
        <f aca="false">INDEX('Cable Types'!$D$2:$D$45,MATCH(I14,'Cable Types'!$A$2:$A$45,0))</f>
        <v>3</v>
      </c>
      <c r="AR14" s="27" t="str">
        <f aca="false">IF(INDEX('Cable Types'!$E$2:$E$45,MATCH(I14,'Cable Types'!$A$2:$A$45,0))="","",INDEX('Cable Types'!$E$2:$E$45,MATCH(I14,'Cable Types'!$A$2:$A$45,0)))</f>
        <v/>
      </c>
      <c r="AS14" s="27" t="n">
        <f aca="false">IF(INDEX('Cable Types'!$F$2:$F$45,MATCH(I14,'Cable Types'!$A$2:$A$45,0))="","",INDEX('Cable Types'!$F$2:$F$45,MATCH(I14,'Cable Types'!$A$2:$A$45,0)))</f>
        <v>10000</v>
      </c>
      <c r="AT14" s="35" t="str">
        <f aca="false">IF(INDEX('Cable Types'!$G$2:$G$45,MATCH(I14,'Cable Types'!$A$2:$A$45,0))="","",INDEX('Cable Types'!$G$2:$G$45,MATCH(I14,'Cable Types'!$A$2:$A$45,0)))</f>
        <v/>
      </c>
    </row>
    <row r="15" customFormat="false" ht="15" hidden="false" customHeight="false" outlineLevel="0" collapsed="false">
      <c r="A15" s="26" t="s">
        <v>705</v>
      </c>
      <c r="B15" s="26" t="s">
        <v>139</v>
      </c>
      <c r="C15" s="26" t="s">
        <v>68</v>
      </c>
      <c r="D15" s="26" t="s">
        <v>706</v>
      </c>
      <c r="E15" s="26" t="s">
        <v>137</v>
      </c>
      <c r="F15" s="27" t="str">
        <f aca="false">INDEX(Equipment!$B$2:$B$153,MATCH(E15,Equipment!$A$2:$A$153,0))</f>
        <v>Gas turbine generator ~290 MVA, 19 kV - line terminals</v>
      </c>
      <c r="G15" s="26" t="s">
        <v>154</v>
      </c>
      <c r="H15" s="27" t="str">
        <f aca="false">INDEX(Equipment!$B$2:$B$153,MATCH(G15,Equipment!$A$2:$A$153,0))</f>
        <v>Unit auxiliary transformer 1, 19/13.8 kV 45 MVA</v>
      </c>
      <c r="I15" s="26" t="s">
        <v>547</v>
      </c>
      <c r="J15" s="27" t="str">
        <f aca="false">INDEX('Cable Types'!$B$2:$B$45,MATCH(I15,'Cable Types'!$A$2:$A$45,0))</f>
        <v>Isolated phase tap bus 24 kV, 3 kA (per phase metre)</v>
      </c>
      <c r="K15" s="26" t="n">
        <v>1</v>
      </c>
      <c r="L15" s="26" t="s">
        <v>702</v>
      </c>
      <c r="M15" s="26" t="s">
        <v>703</v>
      </c>
      <c r="N15" s="26"/>
      <c r="O15" s="28" t="n">
        <f aca="false">IF(N15&lt;&gt;"",N15,IF(M15="D",ROUNDUP(SQRT((AL15-AI15)^2+(AM15-AJ15)^2+(AN15-AK15)^2)*(1+'Design Basis'!$C$6),0),ROUNDUP((ABS(AL15-AI15)+ABS(AM15-AJ15)+ABS(AO15-AK15)+ABS(AO15-AN15))*(1+'Design Basis'!$C$4)+2*'Design Basis'!$C$5,0)))</f>
        <v>74</v>
      </c>
      <c r="P15" s="28" t="n">
        <f aca="false">ROUND(O15*'Design Basis'!$C$10,0)</f>
        <v>243</v>
      </c>
      <c r="Q15" s="28" t="n">
        <f aca="false">O15*K15*AQ15</f>
        <v>222</v>
      </c>
      <c r="R15" s="28" t="n">
        <f aca="false">ROUND(Q15*'Design Basis'!$C$10,0)</f>
        <v>728</v>
      </c>
      <c r="S15" s="29" t="n">
        <v>19000</v>
      </c>
      <c r="T15" s="26" t="n">
        <v>3</v>
      </c>
      <c r="U15" s="29" t="n">
        <v>45000</v>
      </c>
      <c r="V15" s="30" t="n">
        <v>1</v>
      </c>
      <c r="W15" s="28" t="n">
        <f aca="false">IF(OR(U15="",S15=""),"",IF(T15=3,U15*1000/(SQRT(3)*S15*V15),U15*1000/(S15*V15)))</f>
        <v>1367.40853229122</v>
      </c>
      <c r="X15" s="30" t="n">
        <v>1</v>
      </c>
      <c r="Y15" s="28" t="n">
        <f aca="false">IF(W15="","",W15*IF(X15="",1,X15))</f>
        <v>1367.40853229122</v>
      </c>
      <c r="Z15" s="28" t="n">
        <f aca="false">IF(OR(AS15="",AP15=""),"",AS15*AP15)</f>
        <v>3000</v>
      </c>
      <c r="AA15" s="28" t="n">
        <f aca="false">IF(Z15="","",Z15*K15)</f>
        <v>3000</v>
      </c>
      <c r="AB15" s="31" t="n">
        <f aca="false">IF(OR(Y15="",AA15=""),"",Y15/AA15)</f>
        <v>0.455802844097073</v>
      </c>
      <c r="AC15" s="31" t="str">
        <f aca="false">IF(OR(W15="",AT15=""),"",AT15*(W15/K15)*O15/1000/S15)</f>
        <v/>
      </c>
      <c r="AD15" s="31" t="str">
        <f aca="false">IF(W15="","",IFERROR(IF(INDEX('Design Basis'!$C$13:$C$21,MATCH(C15,'Design Basis'!$A$13:$A$21,0))="","",INDEX('Design Basis'!$C$13:$C$21,MATCH(C15,'Design Basis'!$A$13:$A$21,0))),""))</f>
        <v/>
      </c>
      <c r="AE15" s="32" t="str">
        <f aca="false">IF(W15="","n/a",IF(AA15="","CHECK",IF(AND(AB15&lt;=1,OR(AC15="",AD15="",AC15&lt;=AD15)),"OK","CHECK")))</f>
        <v>OK</v>
      </c>
      <c r="AF15" s="28" t="str">
        <f aca="false">IF(AR15="","",K15*AQ15*PI()/4*AR15^2)</f>
        <v/>
      </c>
      <c r="AG15" s="32"/>
      <c r="AI15" s="33" t="n">
        <f aca="false">INDEX(Equipment!$D$2:$D$153,MATCH(E15,Equipment!$A$2:$A$153,0))</f>
        <v>58</v>
      </c>
      <c r="AJ15" s="33" t="n">
        <f aca="false">INDEX(Equipment!$E$2:$E$153,MATCH(E15,Equipment!$A$2:$A$153,0))</f>
        <v>18</v>
      </c>
      <c r="AK15" s="33" t="n">
        <f aca="false">INDEX(Equipment!$F$2:$F$153,MATCH(E15,Equipment!$A$2:$A$153,0))</f>
        <v>4</v>
      </c>
      <c r="AL15" s="33" t="n">
        <f aca="false">INDEX(Equipment!$D$2:$D$153,MATCH(G15,Equipment!$A$2:$A$153,0))</f>
        <v>44</v>
      </c>
      <c r="AM15" s="33" t="n">
        <f aca="false">INDEX(Equipment!$E$2:$E$153,MATCH(G15,Equipment!$A$2:$A$153,0))</f>
        <v>64</v>
      </c>
      <c r="AN15" s="33" t="n">
        <f aca="false">INDEX(Equipment!$F$2:$F$153,MATCH(G15,Equipment!$A$2:$A$153,0))</f>
        <v>3</v>
      </c>
      <c r="AO15" s="33" t="n">
        <f aca="false">IF(INDEX(Raceways!$D$2:$D$18,MATCH(L15,Raceways!$A$2:$A$18,0))="",0,INDEX(Raceways!$D$2:$D$18,MATCH(L15,Raceways!$A$2:$A$18,0)))</f>
        <v>4</v>
      </c>
      <c r="AP15" s="34" t="n">
        <f aca="false">IF(INDEX(Raceways!$I$2:$I$18,MATCH(L15,Raceways!$A$2:$A$18,0))="","",INDEX(Raceways!$I$2:$I$18,MATCH(L15,Raceways!$A$2:$A$18,0)))</f>
        <v>1</v>
      </c>
      <c r="AQ15" s="27" t="n">
        <f aca="false">INDEX('Cable Types'!$D$2:$D$45,MATCH(I15,'Cable Types'!$A$2:$A$45,0))</f>
        <v>3</v>
      </c>
      <c r="AR15" s="27" t="str">
        <f aca="false">IF(INDEX('Cable Types'!$E$2:$E$45,MATCH(I15,'Cable Types'!$A$2:$A$45,0))="","",INDEX('Cable Types'!$E$2:$E$45,MATCH(I15,'Cable Types'!$A$2:$A$45,0)))</f>
        <v/>
      </c>
      <c r="AS15" s="27" t="n">
        <f aca="false">IF(INDEX('Cable Types'!$F$2:$F$45,MATCH(I15,'Cable Types'!$A$2:$A$45,0))="","",INDEX('Cable Types'!$F$2:$F$45,MATCH(I15,'Cable Types'!$A$2:$A$45,0)))</f>
        <v>3000</v>
      </c>
      <c r="AT15" s="35" t="str">
        <f aca="false">IF(INDEX('Cable Types'!$G$2:$G$45,MATCH(I15,'Cable Types'!$A$2:$A$45,0))="","",INDEX('Cable Types'!$G$2:$G$45,MATCH(I15,'Cable Types'!$A$2:$A$45,0)))</f>
        <v/>
      </c>
    </row>
    <row r="16" customFormat="false" ht="15" hidden="false" customHeight="false" outlineLevel="0" collapsed="false">
      <c r="A16" s="26" t="s">
        <v>707</v>
      </c>
      <c r="B16" s="26" t="s">
        <v>139</v>
      </c>
      <c r="C16" s="26" t="s">
        <v>68</v>
      </c>
      <c r="D16" s="26" t="s">
        <v>708</v>
      </c>
      <c r="E16" s="26" t="s">
        <v>141</v>
      </c>
      <c r="F16" s="27" t="str">
        <f aca="false">INDEX(Equipment!$B$2:$B$153,MATCH(E16,Equipment!$A$2:$A$153,0))</f>
        <v>Steam turbine generator ~175 MVA, 18 kV - line terminals</v>
      </c>
      <c r="G16" s="26" t="s">
        <v>152</v>
      </c>
      <c r="H16" s="27" t="str">
        <f aca="false">INDEX(Equipment!$B$2:$B$153,MATCH(G16,Equipment!$A$2:$A$153,0))</f>
        <v>ST step-up transformer - LV bushings / marshalling box</v>
      </c>
      <c r="I16" s="26" t="s">
        <v>545</v>
      </c>
      <c r="J16" s="27" t="str">
        <f aca="false">INDEX('Cable Types'!$B$2:$B$45,MATCH(I16,'Cable Types'!$A$2:$A$45,0))</f>
        <v>Isolated phase bus 24 kV, 7 kA (per phase metre)</v>
      </c>
      <c r="K16" s="26" t="n">
        <v>1</v>
      </c>
      <c r="L16" s="26" t="s">
        <v>709</v>
      </c>
      <c r="M16" s="26" t="s">
        <v>703</v>
      </c>
      <c r="N16" s="26"/>
      <c r="O16" s="28" t="n">
        <f aca="false">IF(N16&lt;&gt;"",N16,IF(M16="D",ROUNDUP(SQRT((AL16-AI16)^2+(AM16-AJ16)^2+(AN16-AK16)^2)*(1+'Design Basis'!$C$6),0),ROUNDUP((ABS(AL16-AI16)+ABS(AM16-AJ16)+ABS(AO16-AK16)+ABS(AO16-AN16))*(1+'Design Basis'!$C$4)+2*'Design Basis'!$C$5,0)))</f>
        <v>40</v>
      </c>
      <c r="P16" s="28" t="n">
        <f aca="false">ROUND(O16*'Design Basis'!$C$10,0)</f>
        <v>131</v>
      </c>
      <c r="Q16" s="28" t="n">
        <f aca="false">O16*K16*AQ16</f>
        <v>120</v>
      </c>
      <c r="R16" s="28" t="n">
        <f aca="false">ROUND(Q16*'Design Basis'!$C$10,0)</f>
        <v>394</v>
      </c>
      <c r="S16" s="29" t="n">
        <v>18000</v>
      </c>
      <c r="T16" s="26" t="n">
        <v>3</v>
      </c>
      <c r="U16" s="29" t="n">
        <v>175000</v>
      </c>
      <c r="V16" s="30" t="n">
        <v>1</v>
      </c>
      <c r="W16" s="28" t="n">
        <f aca="false">IF(OR(U16="",S16=""),"",IF(T16=3,U16*1000/(SQRT(3)*S16*V16),U16*1000/(S16*V16)))</f>
        <v>5613.12761712136</v>
      </c>
      <c r="X16" s="30" t="n">
        <v>1</v>
      </c>
      <c r="Y16" s="28" t="n">
        <f aca="false">IF(W16="","",W16*IF(X16="",1,X16))</f>
        <v>5613.12761712136</v>
      </c>
      <c r="Z16" s="28" t="n">
        <f aca="false">IF(OR(AS16="",AP16=""),"",AS16*AP16)</f>
        <v>7000</v>
      </c>
      <c r="AA16" s="28" t="n">
        <f aca="false">IF(Z16="","",Z16*K16)</f>
        <v>7000</v>
      </c>
      <c r="AB16" s="31" t="n">
        <f aca="false">IF(OR(Y16="",AA16=""),"",Y16/AA16)</f>
        <v>0.80187537387448</v>
      </c>
      <c r="AC16" s="31" t="str">
        <f aca="false">IF(OR(W16="",AT16=""),"",AT16*(W16/K16)*O16/1000/S16)</f>
        <v/>
      </c>
      <c r="AD16" s="31" t="str">
        <f aca="false">IF(W16="","",IFERROR(IF(INDEX('Design Basis'!$C$13:$C$21,MATCH(C16,'Design Basis'!$A$13:$A$21,0))="","",INDEX('Design Basis'!$C$13:$C$21,MATCH(C16,'Design Basis'!$A$13:$A$21,0))),""))</f>
        <v/>
      </c>
      <c r="AE16" s="32" t="str">
        <f aca="false">IF(W16="","n/a",IF(AA16="","CHECK",IF(AND(AB16&lt;=1,OR(AC16="",AD16="",AC16&lt;=AD16)),"OK","CHECK")))</f>
        <v>OK</v>
      </c>
      <c r="AF16" s="28" t="str">
        <f aca="false">IF(AR16="","",K16*AQ16*PI()/4*AR16^2)</f>
        <v/>
      </c>
      <c r="AG16" s="32"/>
      <c r="AI16" s="33" t="n">
        <f aca="false">INDEX(Equipment!$D$2:$D$153,MATCH(E16,Equipment!$A$2:$A$153,0))</f>
        <v>60</v>
      </c>
      <c r="AJ16" s="33" t="n">
        <f aca="false">INDEX(Equipment!$E$2:$E$153,MATCH(E16,Equipment!$A$2:$A$153,0))</f>
        <v>46</v>
      </c>
      <c r="AK16" s="33" t="n">
        <f aca="false">INDEX(Equipment!$F$2:$F$153,MATCH(E16,Equipment!$A$2:$A$153,0))</f>
        <v>6</v>
      </c>
      <c r="AL16" s="33" t="n">
        <f aca="false">INDEX(Equipment!$D$2:$D$153,MATCH(G16,Equipment!$A$2:$A$153,0))</f>
        <v>74</v>
      </c>
      <c r="AM16" s="33" t="n">
        <f aca="false">INDEX(Equipment!$E$2:$E$153,MATCH(G16,Equipment!$A$2:$A$153,0))</f>
        <v>60</v>
      </c>
      <c r="AN16" s="33" t="n">
        <f aca="false">INDEX(Equipment!$F$2:$F$153,MATCH(G16,Equipment!$A$2:$A$153,0))</f>
        <v>4.5</v>
      </c>
      <c r="AO16" s="33" t="n">
        <f aca="false">IF(INDEX(Raceways!$D$2:$D$18,MATCH(L16,Raceways!$A$2:$A$18,0))="",0,INDEX(Raceways!$D$2:$D$18,MATCH(L16,Raceways!$A$2:$A$18,0)))</f>
        <v>4</v>
      </c>
      <c r="AP16" s="34" t="n">
        <f aca="false">IF(INDEX(Raceways!$I$2:$I$18,MATCH(L16,Raceways!$A$2:$A$18,0))="","",INDEX(Raceways!$I$2:$I$18,MATCH(L16,Raceways!$A$2:$A$18,0)))</f>
        <v>1</v>
      </c>
      <c r="AQ16" s="27" t="n">
        <f aca="false">INDEX('Cable Types'!$D$2:$D$45,MATCH(I16,'Cable Types'!$A$2:$A$45,0))</f>
        <v>3</v>
      </c>
      <c r="AR16" s="27" t="str">
        <f aca="false">IF(INDEX('Cable Types'!$E$2:$E$45,MATCH(I16,'Cable Types'!$A$2:$A$45,0))="","",INDEX('Cable Types'!$E$2:$E$45,MATCH(I16,'Cable Types'!$A$2:$A$45,0)))</f>
        <v/>
      </c>
      <c r="AS16" s="27" t="n">
        <f aca="false">IF(INDEX('Cable Types'!$F$2:$F$45,MATCH(I16,'Cable Types'!$A$2:$A$45,0))="","",INDEX('Cable Types'!$F$2:$F$45,MATCH(I16,'Cable Types'!$A$2:$A$45,0)))</f>
        <v>7000</v>
      </c>
      <c r="AT16" s="35" t="str">
        <f aca="false">IF(INDEX('Cable Types'!$G$2:$G$45,MATCH(I16,'Cable Types'!$A$2:$A$45,0))="","",INDEX('Cable Types'!$G$2:$G$45,MATCH(I16,'Cable Types'!$A$2:$A$45,0)))</f>
        <v/>
      </c>
    </row>
    <row r="17" customFormat="false" ht="15" hidden="false" customHeight="false" outlineLevel="0" collapsed="false">
      <c r="A17" s="26" t="s">
        <v>710</v>
      </c>
      <c r="B17" s="26" t="s">
        <v>139</v>
      </c>
      <c r="C17" s="26" t="s">
        <v>68</v>
      </c>
      <c r="D17" s="26" t="s">
        <v>711</v>
      </c>
      <c r="E17" s="26" t="s">
        <v>141</v>
      </c>
      <c r="F17" s="27" t="str">
        <f aca="false">INDEX(Equipment!$B$2:$B$153,MATCH(E17,Equipment!$A$2:$A$153,0))</f>
        <v>Steam turbine generator ~175 MVA, 18 kV - line terminals</v>
      </c>
      <c r="G17" s="26" t="s">
        <v>157</v>
      </c>
      <c r="H17" s="27" t="str">
        <f aca="false">INDEX(Equipment!$B$2:$B$153,MATCH(G17,Equipment!$A$2:$A$153,0))</f>
        <v>Unit auxiliary transformer 2, 18/13.8 kV 30 MVA (feeds CCS)</v>
      </c>
      <c r="I17" s="26" t="s">
        <v>547</v>
      </c>
      <c r="J17" s="27" t="str">
        <f aca="false">INDEX('Cable Types'!$B$2:$B$45,MATCH(I17,'Cable Types'!$A$2:$A$45,0))</f>
        <v>Isolated phase tap bus 24 kV, 3 kA (per phase metre)</v>
      </c>
      <c r="K17" s="26" t="n">
        <v>1</v>
      </c>
      <c r="L17" s="26" t="s">
        <v>709</v>
      </c>
      <c r="M17" s="26" t="s">
        <v>703</v>
      </c>
      <c r="N17" s="26"/>
      <c r="O17" s="28" t="n">
        <f aca="false">IF(N17&lt;&gt;"",N17,IF(M17="D",ROUNDUP(SQRT((AL17-AI17)^2+(AM17-AJ17)^2+(AN17-AK17)^2)*(1+'Design Basis'!$C$6),0),ROUNDUP((ABS(AL17-AI17)+ABS(AM17-AJ17)+ABS(AO17-AK17)+ABS(AO17-AN17))*(1+'Design Basis'!$C$4)+2*'Design Basis'!$C$5,0)))</f>
        <v>58</v>
      </c>
      <c r="P17" s="28" t="n">
        <f aca="false">ROUND(O17*'Design Basis'!$C$10,0)</f>
        <v>190</v>
      </c>
      <c r="Q17" s="28" t="n">
        <f aca="false">O17*K17*AQ17</f>
        <v>174</v>
      </c>
      <c r="R17" s="28" t="n">
        <f aca="false">ROUND(Q17*'Design Basis'!$C$10,0)</f>
        <v>571</v>
      </c>
      <c r="S17" s="29" t="n">
        <v>18000</v>
      </c>
      <c r="T17" s="26" t="n">
        <v>3</v>
      </c>
      <c r="U17" s="29" t="n">
        <v>30000</v>
      </c>
      <c r="V17" s="30" t="n">
        <v>1</v>
      </c>
      <c r="W17" s="28" t="n">
        <f aca="false">IF(OR(U17="",S17=""),"",IF(T17=3,U17*1000/(SQRT(3)*S17*V17),U17*1000/(S17*V17)))</f>
        <v>962.250448649376</v>
      </c>
      <c r="X17" s="30" t="n">
        <v>1</v>
      </c>
      <c r="Y17" s="28" t="n">
        <f aca="false">IF(W17="","",W17*IF(X17="",1,X17))</f>
        <v>962.250448649376</v>
      </c>
      <c r="Z17" s="28" t="n">
        <f aca="false">IF(OR(AS17="",AP17=""),"",AS17*AP17)</f>
        <v>3000</v>
      </c>
      <c r="AA17" s="28" t="n">
        <f aca="false">IF(Z17="","",Z17*K17)</f>
        <v>3000</v>
      </c>
      <c r="AB17" s="31" t="n">
        <f aca="false">IF(OR(Y17="",AA17=""),"",Y17/AA17)</f>
        <v>0.320750149549792</v>
      </c>
      <c r="AC17" s="31" t="str">
        <f aca="false">IF(OR(W17="",AT17=""),"",AT17*(W17/K17)*O17/1000/S17)</f>
        <v/>
      </c>
      <c r="AD17" s="31" t="str">
        <f aca="false">IF(W17="","",IFERROR(IF(INDEX('Design Basis'!$C$13:$C$21,MATCH(C17,'Design Basis'!$A$13:$A$21,0))="","",INDEX('Design Basis'!$C$13:$C$21,MATCH(C17,'Design Basis'!$A$13:$A$21,0))),""))</f>
        <v/>
      </c>
      <c r="AE17" s="32" t="str">
        <f aca="false">IF(W17="","n/a",IF(AA17="","CHECK",IF(AND(AB17&lt;=1,OR(AC17="",AD17="",AC17&lt;=AD17)),"OK","CHECK")))</f>
        <v>OK</v>
      </c>
      <c r="AF17" s="28" t="str">
        <f aca="false">IF(AR17="","",K17*AQ17*PI()/4*AR17^2)</f>
        <v/>
      </c>
      <c r="AG17" s="32"/>
      <c r="AI17" s="33" t="n">
        <f aca="false">INDEX(Equipment!$D$2:$D$153,MATCH(E17,Equipment!$A$2:$A$153,0))</f>
        <v>60</v>
      </c>
      <c r="AJ17" s="33" t="n">
        <f aca="false">INDEX(Equipment!$E$2:$E$153,MATCH(E17,Equipment!$A$2:$A$153,0))</f>
        <v>46</v>
      </c>
      <c r="AK17" s="33" t="n">
        <f aca="false">INDEX(Equipment!$F$2:$F$153,MATCH(E17,Equipment!$A$2:$A$153,0))</f>
        <v>6</v>
      </c>
      <c r="AL17" s="33" t="n">
        <f aca="false">INDEX(Equipment!$D$2:$D$153,MATCH(G17,Equipment!$A$2:$A$153,0))</f>
        <v>86</v>
      </c>
      <c r="AM17" s="33" t="n">
        <f aca="false">INDEX(Equipment!$E$2:$E$153,MATCH(G17,Equipment!$A$2:$A$153,0))</f>
        <v>64</v>
      </c>
      <c r="AN17" s="33" t="n">
        <f aca="false">INDEX(Equipment!$F$2:$F$153,MATCH(G17,Equipment!$A$2:$A$153,0))</f>
        <v>3</v>
      </c>
      <c r="AO17" s="33" t="n">
        <f aca="false">IF(INDEX(Raceways!$D$2:$D$18,MATCH(L17,Raceways!$A$2:$A$18,0))="",0,INDEX(Raceways!$D$2:$D$18,MATCH(L17,Raceways!$A$2:$A$18,0)))</f>
        <v>4</v>
      </c>
      <c r="AP17" s="34" t="n">
        <f aca="false">IF(INDEX(Raceways!$I$2:$I$18,MATCH(L17,Raceways!$A$2:$A$18,0))="","",INDEX(Raceways!$I$2:$I$18,MATCH(L17,Raceways!$A$2:$A$18,0)))</f>
        <v>1</v>
      </c>
      <c r="AQ17" s="27" t="n">
        <f aca="false">INDEX('Cable Types'!$D$2:$D$45,MATCH(I17,'Cable Types'!$A$2:$A$45,0))</f>
        <v>3</v>
      </c>
      <c r="AR17" s="27" t="str">
        <f aca="false">IF(INDEX('Cable Types'!$E$2:$E$45,MATCH(I17,'Cable Types'!$A$2:$A$45,0))="","",INDEX('Cable Types'!$E$2:$E$45,MATCH(I17,'Cable Types'!$A$2:$A$45,0)))</f>
        <v/>
      </c>
      <c r="AS17" s="27" t="n">
        <f aca="false">IF(INDEX('Cable Types'!$F$2:$F$45,MATCH(I17,'Cable Types'!$A$2:$A$45,0))="","",INDEX('Cable Types'!$F$2:$F$45,MATCH(I17,'Cable Types'!$A$2:$A$45,0)))</f>
        <v>3000</v>
      </c>
      <c r="AT17" s="35" t="str">
        <f aca="false">IF(INDEX('Cable Types'!$G$2:$G$45,MATCH(I17,'Cable Types'!$A$2:$A$45,0))="","",INDEX('Cable Types'!$G$2:$G$45,MATCH(I17,'Cable Types'!$A$2:$A$45,0)))</f>
        <v/>
      </c>
    </row>
    <row r="18" customFormat="false" ht="15" hidden="false" customHeight="false" outlineLevel="0" collapsed="false">
      <c r="A18" s="26" t="s">
        <v>712</v>
      </c>
      <c r="B18" s="26" t="s">
        <v>139</v>
      </c>
      <c r="C18" s="26" t="s">
        <v>71</v>
      </c>
      <c r="D18" s="26" t="s">
        <v>713</v>
      </c>
      <c r="E18" s="26" t="s">
        <v>137</v>
      </c>
      <c r="F18" s="27" t="str">
        <f aca="false">INDEX(Equipment!$B$2:$B$153,MATCH(E18,Equipment!$A$2:$A$153,0))</f>
        <v>Gas turbine generator ~290 MVA, 19 kV - line terminals</v>
      </c>
      <c r="G18" s="26" t="s">
        <v>160</v>
      </c>
      <c r="H18" s="27" t="str">
        <f aca="false">INDEX(Equipment!$B$2:$B$153,MATCH(G18,Equipment!$A$2:$A$153,0))</f>
        <v>GT generator neutral grounding transformer cubicle</v>
      </c>
      <c r="I18" s="26" t="s">
        <v>553</v>
      </c>
      <c r="J18" s="27" t="str">
        <f aca="false">INDEX('Cable Types'!$B$2:$B$45,MATCH(I18,'Cable Types'!$A$2:$A$45,0))</f>
        <v>15 kV MV-105 1/C #2 AWG Cu EPR 133% shielded, Type MC-HL, CCW Al armor (Armor-X type), PVC jkt</v>
      </c>
      <c r="K18" s="26" t="n">
        <v>1</v>
      </c>
      <c r="L18" s="26" t="s">
        <v>714</v>
      </c>
      <c r="M18" s="26" t="s">
        <v>703</v>
      </c>
      <c r="N18" s="26"/>
      <c r="O18" s="28" t="n">
        <f aca="false">IF(N18&lt;&gt;"",N18,IF(M18="D",ROUNDUP(SQRT((AL18-AI18)^2+(AM18-AJ18)^2+(AN18-AK18)^2)*(1+'Design Basis'!$C$6),0),ROUNDUP((ABS(AL18-AI18)+ABS(AM18-AJ18)+ABS(AO18-AK18)+ABS(AO18-AN18))*(1+'Design Basis'!$C$4)+2*'Design Basis'!$C$5,0)))</f>
        <v>14</v>
      </c>
      <c r="P18" s="28" t="n">
        <f aca="false">ROUND(O18*'Design Basis'!$C$10,0)</f>
        <v>46</v>
      </c>
      <c r="Q18" s="28" t="n">
        <f aca="false">O18*K18*AQ18</f>
        <v>14</v>
      </c>
      <c r="R18" s="28" t="n">
        <f aca="false">ROUND(Q18*'Design Basis'!$C$10,0)</f>
        <v>46</v>
      </c>
      <c r="S18" s="29"/>
      <c r="T18" s="26"/>
      <c r="U18" s="29"/>
      <c r="V18" s="30"/>
      <c r="W18" s="28" t="str">
        <f aca="false">IF(OR(U18="",S18=""),"",IF(T18=3,U18*1000/(SQRT(3)*S18*V18),U18*1000/(S18*V18)))</f>
        <v/>
      </c>
      <c r="X18" s="30"/>
      <c r="Y18" s="28" t="str">
        <f aca="false">IF(W18="","",W18*IF(X18="",1,X18))</f>
        <v/>
      </c>
      <c r="Z18" s="28" t="n">
        <f aca="false">IF(OR(AS18="",AP18=""),"",AS18*AP18)</f>
        <v>171.6</v>
      </c>
      <c r="AA18" s="28" t="n">
        <f aca="false">IF(Z18="","",Z18*K18)</f>
        <v>171.6</v>
      </c>
      <c r="AB18" s="31" t="str">
        <f aca="false">IF(OR(Y18="",AA18=""),"",Y18/AA18)</f>
        <v/>
      </c>
      <c r="AC18" s="31" t="str">
        <f aca="false">IF(OR(W18="",AT18=""),"",AT18*(W18/K18)*O18/1000/S18)</f>
        <v/>
      </c>
      <c r="AD18" s="31" t="str">
        <f aca="false">IF(W18="","",IFERROR(IF(INDEX('Design Basis'!$C$13:$C$21,MATCH(C18,'Design Basis'!$A$13:$A$21,0))="","",INDEX('Design Basis'!$C$13:$C$21,MATCH(C18,'Design Basis'!$A$13:$A$21,0))),""))</f>
        <v/>
      </c>
      <c r="AE18" s="32" t="str">
        <f aca="false">IF(W18="","n/a",IF(AA18="","CHECK",IF(AND(AB18&lt;=1,OR(AC18="",AD18="",AC18&lt;=AD18)),"OK","CHECK")))</f>
        <v>n/a</v>
      </c>
      <c r="AF18" s="28" t="n">
        <f aca="false">IF(AR18="","",K18*AQ18*PI()/4*AR18^2)</f>
        <v>855.298599939821</v>
      </c>
      <c r="AG18" s="32" t="s">
        <v>715</v>
      </c>
      <c r="AI18" s="33" t="n">
        <f aca="false">INDEX(Equipment!$D$2:$D$153,MATCH(E18,Equipment!$A$2:$A$153,0))</f>
        <v>58</v>
      </c>
      <c r="AJ18" s="33" t="n">
        <f aca="false">INDEX(Equipment!$E$2:$E$153,MATCH(E18,Equipment!$A$2:$A$153,0))</f>
        <v>18</v>
      </c>
      <c r="AK18" s="33" t="n">
        <f aca="false">INDEX(Equipment!$F$2:$F$153,MATCH(E18,Equipment!$A$2:$A$153,0))</f>
        <v>4</v>
      </c>
      <c r="AL18" s="33" t="n">
        <f aca="false">INDEX(Equipment!$D$2:$D$153,MATCH(G18,Equipment!$A$2:$A$153,0))</f>
        <v>62</v>
      </c>
      <c r="AM18" s="33" t="n">
        <f aca="false">INDEX(Equipment!$E$2:$E$153,MATCH(G18,Equipment!$A$2:$A$153,0))</f>
        <v>18</v>
      </c>
      <c r="AN18" s="33" t="n">
        <f aca="false">INDEX(Equipment!$F$2:$F$153,MATCH(G18,Equipment!$A$2:$A$153,0))</f>
        <v>1</v>
      </c>
      <c r="AO18" s="33" t="n">
        <f aca="false">IF(INDEX(Raceways!$D$2:$D$18,MATCH(L18,Raceways!$A$2:$A$18,0))="",0,INDEX(Raceways!$D$2:$D$18,MATCH(L18,Raceways!$A$2:$A$18,0)))</f>
        <v>1</v>
      </c>
      <c r="AP18" s="34" t="n">
        <f aca="false">IF(INDEX(Raceways!$I$2:$I$18,MATCH(L18,Raceways!$A$2:$A$18,0))="","",INDEX(Raceways!$I$2:$I$18,MATCH(L18,Raceways!$A$2:$A$18,0)))</f>
        <v>0.88</v>
      </c>
      <c r="AQ18" s="27" t="n">
        <f aca="false">INDEX('Cable Types'!$D$2:$D$45,MATCH(I18,'Cable Types'!$A$2:$A$45,0))</f>
        <v>1</v>
      </c>
      <c r="AR18" s="27" t="n">
        <f aca="false">IF(INDEX('Cable Types'!$E$2:$E$45,MATCH(I18,'Cable Types'!$A$2:$A$45,0))="","",INDEX('Cable Types'!$E$2:$E$45,MATCH(I18,'Cable Types'!$A$2:$A$45,0)))</f>
        <v>33</v>
      </c>
      <c r="AS18" s="27" t="n">
        <f aca="false">IF(INDEX('Cable Types'!$F$2:$F$45,MATCH(I18,'Cable Types'!$A$2:$A$45,0))="","",INDEX('Cable Types'!$F$2:$F$45,MATCH(I18,'Cable Types'!$A$2:$A$45,0)))</f>
        <v>195</v>
      </c>
      <c r="AT18" s="35" t="str">
        <f aca="false">IF(INDEX('Cable Types'!$G$2:$G$45,MATCH(I18,'Cable Types'!$A$2:$A$45,0))="","",INDEX('Cable Types'!$G$2:$G$45,MATCH(I18,'Cable Types'!$A$2:$A$45,0)))</f>
        <v/>
      </c>
    </row>
    <row r="19" customFormat="false" ht="15" hidden="false" customHeight="false" outlineLevel="0" collapsed="false">
      <c r="A19" s="26" t="s">
        <v>716</v>
      </c>
      <c r="B19" s="26" t="s">
        <v>139</v>
      </c>
      <c r="C19" s="26" t="s">
        <v>71</v>
      </c>
      <c r="D19" s="26" t="s">
        <v>717</v>
      </c>
      <c r="E19" s="26" t="s">
        <v>141</v>
      </c>
      <c r="F19" s="27" t="str">
        <f aca="false">INDEX(Equipment!$B$2:$B$153,MATCH(E19,Equipment!$A$2:$A$153,0))</f>
        <v>Steam turbine generator ~175 MVA, 18 kV - line terminals</v>
      </c>
      <c r="G19" s="26" t="s">
        <v>163</v>
      </c>
      <c r="H19" s="27" t="str">
        <f aca="false">INDEX(Equipment!$B$2:$B$153,MATCH(G19,Equipment!$A$2:$A$153,0))</f>
        <v>ST generator neutral grounding transformer cubicle</v>
      </c>
      <c r="I19" s="26" t="s">
        <v>553</v>
      </c>
      <c r="J19" s="27" t="str">
        <f aca="false">INDEX('Cable Types'!$B$2:$B$45,MATCH(I19,'Cable Types'!$A$2:$A$45,0))</f>
        <v>15 kV MV-105 1/C #2 AWG Cu EPR 133% shielded, Type MC-HL, CCW Al armor (Armor-X type), PVC jkt</v>
      </c>
      <c r="K19" s="26" t="n">
        <v>1</v>
      </c>
      <c r="L19" s="26" t="s">
        <v>714</v>
      </c>
      <c r="M19" s="26" t="s">
        <v>703</v>
      </c>
      <c r="N19" s="26"/>
      <c r="O19" s="28" t="n">
        <f aca="false">IF(N19&lt;&gt;"",N19,IF(M19="D",ROUNDUP(SQRT((AL19-AI19)^2+(AM19-AJ19)^2+(AN19-AK19)^2)*(1+'Design Basis'!$C$6),0),ROUNDUP((ABS(AL19-AI19)+ABS(AM19-AJ19)+ABS(AO19-AK19)+ABS(AO19-AN19))*(1+'Design Basis'!$C$4)+2*'Design Basis'!$C$5,0)))</f>
        <v>16</v>
      </c>
      <c r="P19" s="28" t="n">
        <f aca="false">ROUND(O19*'Design Basis'!$C$10,0)</f>
        <v>52</v>
      </c>
      <c r="Q19" s="28" t="n">
        <f aca="false">O19*K19*AQ19</f>
        <v>16</v>
      </c>
      <c r="R19" s="28" t="n">
        <f aca="false">ROUND(Q19*'Design Basis'!$C$10,0)</f>
        <v>52</v>
      </c>
      <c r="S19" s="29"/>
      <c r="T19" s="26"/>
      <c r="U19" s="29"/>
      <c r="V19" s="30"/>
      <c r="W19" s="28" t="str">
        <f aca="false">IF(OR(U19="",S19=""),"",IF(T19=3,U19*1000/(SQRT(3)*S19*V19),U19*1000/(S19*V19)))</f>
        <v/>
      </c>
      <c r="X19" s="30"/>
      <c r="Y19" s="28" t="str">
        <f aca="false">IF(W19="","",W19*IF(X19="",1,X19))</f>
        <v/>
      </c>
      <c r="Z19" s="28" t="n">
        <f aca="false">IF(OR(AS19="",AP19=""),"",AS19*AP19)</f>
        <v>171.6</v>
      </c>
      <c r="AA19" s="28" t="n">
        <f aca="false">IF(Z19="","",Z19*K19)</f>
        <v>171.6</v>
      </c>
      <c r="AB19" s="31" t="str">
        <f aca="false">IF(OR(Y19="",AA19=""),"",Y19/AA19)</f>
        <v/>
      </c>
      <c r="AC19" s="31" t="str">
        <f aca="false">IF(OR(W19="",AT19=""),"",AT19*(W19/K19)*O19/1000/S19)</f>
        <v/>
      </c>
      <c r="AD19" s="31" t="str">
        <f aca="false">IF(W19="","",IFERROR(IF(INDEX('Design Basis'!$C$13:$C$21,MATCH(C19,'Design Basis'!$A$13:$A$21,0))="","",INDEX('Design Basis'!$C$13:$C$21,MATCH(C19,'Design Basis'!$A$13:$A$21,0))),""))</f>
        <v/>
      </c>
      <c r="AE19" s="32" t="str">
        <f aca="false">IF(W19="","n/a",IF(AA19="","CHECK",IF(AND(AB19&lt;=1,OR(AC19="",AD19="",AC19&lt;=AD19)),"OK","CHECK")))</f>
        <v>n/a</v>
      </c>
      <c r="AF19" s="28" t="n">
        <f aca="false">IF(AR19="","",K19*AQ19*PI()/4*AR19^2)</f>
        <v>855.298599939821</v>
      </c>
      <c r="AG19" s="32" t="s">
        <v>715</v>
      </c>
      <c r="AI19" s="33" t="n">
        <f aca="false">INDEX(Equipment!$D$2:$D$153,MATCH(E19,Equipment!$A$2:$A$153,0))</f>
        <v>60</v>
      </c>
      <c r="AJ19" s="33" t="n">
        <f aca="false">INDEX(Equipment!$E$2:$E$153,MATCH(E19,Equipment!$A$2:$A$153,0))</f>
        <v>46</v>
      </c>
      <c r="AK19" s="33" t="n">
        <f aca="false">INDEX(Equipment!$F$2:$F$153,MATCH(E19,Equipment!$A$2:$A$153,0))</f>
        <v>6</v>
      </c>
      <c r="AL19" s="33" t="n">
        <f aca="false">INDEX(Equipment!$D$2:$D$153,MATCH(G19,Equipment!$A$2:$A$153,0))</f>
        <v>64</v>
      </c>
      <c r="AM19" s="33" t="n">
        <f aca="false">INDEX(Equipment!$E$2:$E$153,MATCH(G19,Equipment!$A$2:$A$153,0))</f>
        <v>46</v>
      </c>
      <c r="AN19" s="33" t="n">
        <f aca="false">INDEX(Equipment!$F$2:$F$153,MATCH(G19,Equipment!$A$2:$A$153,0))</f>
        <v>1</v>
      </c>
      <c r="AO19" s="33" t="n">
        <f aca="false">IF(INDEX(Raceways!$D$2:$D$18,MATCH(L19,Raceways!$A$2:$A$18,0))="",0,INDEX(Raceways!$D$2:$D$18,MATCH(L19,Raceways!$A$2:$A$18,0)))</f>
        <v>1</v>
      </c>
      <c r="AP19" s="34" t="n">
        <f aca="false">IF(INDEX(Raceways!$I$2:$I$18,MATCH(L19,Raceways!$A$2:$A$18,0))="","",INDEX(Raceways!$I$2:$I$18,MATCH(L19,Raceways!$A$2:$A$18,0)))</f>
        <v>0.88</v>
      </c>
      <c r="AQ19" s="27" t="n">
        <f aca="false">INDEX('Cable Types'!$D$2:$D$45,MATCH(I19,'Cable Types'!$A$2:$A$45,0))</f>
        <v>1</v>
      </c>
      <c r="AR19" s="27" t="n">
        <f aca="false">IF(INDEX('Cable Types'!$E$2:$E$45,MATCH(I19,'Cable Types'!$A$2:$A$45,0))="","",INDEX('Cable Types'!$E$2:$E$45,MATCH(I19,'Cable Types'!$A$2:$A$45,0)))</f>
        <v>33</v>
      </c>
      <c r="AS19" s="27" t="n">
        <f aca="false">IF(INDEX('Cable Types'!$F$2:$F$45,MATCH(I19,'Cable Types'!$A$2:$A$45,0))="","",INDEX('Cable Types'!$F$2:$F$45,MATCH(I19,'Cable Types'!$A$2:$A$45,0)))</f>
        <v>195</v>
      </c>
      <c r="AT19" s="35" t="str">
        <f aca="false">IF(INDEX('Cable Types'!$G$2:$G$45,MATCH(I19,'Cable Types'!$A$2:$A$45,0))="","",INDEX('Cable Types'!$G$2:$G$45,MATCH(I19,'Cable Types'!$A$2:$A$45,0)))</f>
        <v/>
      </c>
    </row>
    <row r="20" customFormat="false" ht="15" hidden="false" customHeight="false" outlineLevel="0" collapsed="false">
      <c r="A20" s="26" t="s">
        <v>718</v>
      </c>
      <c r="B20" s="26" t="s">
        <v>505</v>
      </c>
      <c r="C20" s="26" t="s">
        <v>71</v>
      </c>
      <c r="D20" s="26" t="s">
        <v>719</v>
      </c>
      <c r="E20" s="26" t="s">
        <v>154</v>
      </c>
      <c r="F20" s="27" t="str">
        <f aca="false">INDEX(Equipment!$B$2:$B$153,MATCH(E20,Equipment!$A$2:$A$153,0))</f>
        <v>Unit auxiliary transformer 1, 19/13.8 kV 45 MVA</v>
      </c>
      <c r="G20" s="26" t="s">
        <v>503</v>
      </c>
      <c r="H20" s="27" t="str">
        <f aca="false">INDEX(Equipment!$B$2:$B$153,MATCH(G20,Equipment!$A$2:$A$153,0))</f>
        <v>Main 13.8 kV switchboard (main electrical building)</v>
      </c>
      <c r="I20" s="26" t="s">
        <v>568</v>
      </c>
      <c r="J20" s="27" t="str">
        <f aca="false">INDEX('Cable Types'!$B$2:$B$45,MATCH(I20,'Cable Types'!$A$2:$A$45,0))</f>
        <v>15 kV MV-105 1/C 1000 kcmil Cu EPR 133% shielded, Type MC-HL, CCW Al armor (Armor-X type), PVC jkt, triplexed set</v>
      </c>
      <c r="K20" s="26" t="n">
        <v>4</v>
      </c>
      <c r="L20" s="26" t="s">
        <v>720</v>
      </c>
      <c r="M20" s="26" t="s">
        <v>703</v>
      </c>
      <c r="N20" s="26"/>
      <c r="O20" s="28" t="n">
        <f aca="false">IF(N20&lt;&gt;"",N20,IF(M20="D",ROUNDUP(SQRT((AL20-AI20)^2+(AM20-AJ20)^2+(AN20-AK20)^2)*(1+'Design Basis'!$C$6),0),ROUNDUP((ABS(AL20-AI20)+ABS(AM20-AJ20)+ABS(AO20-AK20)+ABS(AO20-AN20))*(1+'Design Basis'!$C$4)+2*'Design Basis'!$C$5,0)))</f>
        <v>35</v>
      </c>
      <c r="P20" s="28" t="n">
        <f aca="false">ROUND(O20*'Design Basis'!$C$10,0)</f>
        <v>115</v>
      </c>
      <c r="Q20" s="28" t="n">
        <f aca="false">O20*K20*AQ20</f>
        <v>420</v>
      </c>
      <c r="R20" s="28" t="n">
        <f aca="false">ROUND(Q20*'Design Basis'!$C$10,0)</f>
        <v>1378</v>
      </c>
      <c r="S20" s="29" t="n">
        <v>13800</v>
      </c>
      <c r="T20" s="26" t="n">
        <v>3</v>
      </c>
      <c r="U20" s="29" t="n">
        <v>45000</v>
      </c>
      <c r="V20" s="30" t="n">
        <v>1</v>
      </c>
      <c r="W20" s="28" t="n">
        <f aca="false">IF(OR(U20="",S20=""),"",IF(T20=3,U20*1000/(SQRT(3)*S20*V20),U20*1000/(S20*V20)))</f>
        <v>1882.66392127052</v>
      </c>
      <c r="X20" s="30" t="n">
        <v>1</v>
      </c>
      <c r="Y20" s="28" t="n">
        <f aca="false">IF(W20="","",W20*IF(X20="",1,X20))</f>
        <v>1882.66392127052</v>
      </c>
      <c r="Z20" s="28" t="n">
        <f aca="false">IF(OR(AS20="",AP20=""),"",AS20*AP20)</f>
        <v>602</v>
      </c>
      <c r="AA20" s="28" t="n">
        <f aca="false">IF(Z20="","",Z20*K20)</f>
        <v>2408</v>
      </c>
      <c r="AB20" s="31" t="n">
        <f aca="false">IF(OR(Y20="",AA20=""),"",Y20/AA20)</f>
        <v>0.781837176607358</v>
      </c>
      <c r="AC20" s="31" t="n">
        <f aca="false">IF(OR(W20="",AT20=""),"",AT20*(W20/K20)*O20/1000/S20)</f>
        <v>0.000224418996412319</v>
      </c>
      <c r="AD20" s="31" t="n">
        <f aca="false">IF(W20="","",IFERROR(IF(INDEX('Design Basis'!$C$13:$C$21,MATCH(C20,'Design Basis'!$A$13:$A$21,0))="","",INDEX('Design Basis'!$C$13:$C$21,MATCH(C20,'Design Basis'!$A$13:$A$21,0))),""))</f>
        <v>0.03</v>
      </c>
      <c r="AE20" s="32" t="str">
        <f aca="false">IF(W20="","n/a",IF(AA20="","CHECK",IF(AND(AB20&lt;=1,OR(AC20="",AD20="",AC20&lt;=AD20)),"OK","CHECK")))</f>
        <v>OK</v>
      </c>
      <c r="AF20" s="28" t="n">
        <f aca="false">IF(AR20="","",K20*AQ20*PI()/4*AR20^2)</f>
        <v>24513.8474759612</v>
      </c>
      <c r="AG20" s="32" t="s">
        <v>721</v>
      </c>
      <c r="AI20" s="33" t="n">
        <f aca="false">INDEX(Equipment!$D$2:$D$153,MATCH(E20,Equipment!$A$2:$A$153,0))</f>
        <v>44</v>
      </c>
      <c r="AJ20" s="33" t="n">
        <f aca="false">INDEX(Equipment!$E$2:$E$153,MATCH(E20,Equipment!$A$2:$A$153,0))</f>
        <v>64</v>
      </c>
      <c r="AK20" s="33" t="n">
        <f aca="false">INDEX(Equipment!$F$2:$F$153,MATCH(E20,Equipment!$A$2:$A$153,0))</f>
        <v>3</v>
      </c>
      <c r="AL20" s="33" t="n">
        <f aca="false">INDEX(Equipment!$D$2:$D$153,MATCH(G20,Equipment!$A$2:$A$153,0))</f>
        <v>36</v>
      </c>
      <c r="AM20" s="33" t="n">
        <f aca="false">INDEX(Equipment!$E$2:$E$153,MATCH(G20,Equipment!$A$2:$A$153,0))</f>
        <v>52</v>
      </c>
      <c r="AN20" s="33" t="n">
        <f aca="false">INDEX(Equipment!$F$2:$F$153,MATCH(G20,Equipment!$A$2:$A$153,0))</f>
        <v>0.5</v>
      </c>
      <c r="AO20" s="33" t="n">
        <f aca="false">IF(INDEX(Raceways!$D$2:$D$18,MATCH(L20,Raceways!$A$2:$A$18,0))="",0,INDEX(Raceways!$D$2:$D$18,MATCH(L20,Raceways!$A$2:$A$18,0)))</f>
        <v>-1.2</v>
      </c>
      <c r="AP20" s="34" t="n">
        <f aca="false">IF(INDEX(Raceways!$I$2:$I$18,MATCH(L20,Raceways!$A$2:$A$18,0))="","",INDEX(Raceways!$I$2:$I$18,MATCH(L20,Raceways!$A$2:$A$18,0)))</f>
        <v>0.7</v>
      </c>
      <c r="AQ20" s="27" t="n">
        <f aca="false">INDEX('Cable Types'!$D$2:$D$45,MATCH(I20,'Cable Types'!$A$2:$A$45,0))</f>
        <v>3</v>
      </c>
      <c r="AR20" s="27" t="n">
        <f aca="false">IF(INDEX('Cable Types'!$E$2:$E$45,MATCH(I20,'Cable Types'!$A$2:$A$45,0))="","",INDEX('Cable Types'!$E$2:$E$45,MATCH(I20,'Cable Types'!$A$2:$A$45,0)))</f>
        <v>51</v>
      </c>
      <c r="AS20" s="27" t="n">
        <f aca="false">IF(INDEX('Cable Types'!$F$2:$F$45,MATCH(I20,'Cable Types'!$A$2:$A$45,0))="","",INDEX('Cable Types'!$F$2:$F$45,MATCH(I20,'Cable Types'!$A$2:$A$45,0)))</f>
        <v>860</v>
      </c>
      <c r="AT20" s="35" t="n">
        <f aca="false">IF(INDEX('Cable Types'!$G$2:$G$45,MATCH(I20,'Cable Types'!$A$2:$A$45,0))="","",INDEX('Cable Types'!$G$2:$G$45,MATCH(I20,'Cable Types'!$A$2:$A$45,0)))</f>
        <v>0.188</v>
      </c>
    </row>
    <row r="21" customFormat="false" ht="15" hidden="false" customHeight="false" outlineLevel="0" collapsed="false">
      <c r="A21" s="26" t="s">
        <v>722</v>
      </c>
      <c r="B21" s="26" t="s">
        <v>505</v>
      </c>
      <c r="C21" s="26" t="s">
        <v>71</v>
      </c>
      <c r="D21" s="26" t="s">
        <v>723</v>
      </c>
      <c r="E21" s="26" t="s">
        <v>157</v>
      </c>
      <c r="F21" s="27" t="str">
        <f aca="false">INDEX(Equipment!$B$2:$B$153,MATCH(E21,Equipment!$A$2:$A$153,0))</f>
        <v>Unit auxiliary transformer 2, 18/13.8 kV 30 MVA (feeds CCS)</v>
      </c>
      <c r="G21" s="26" t="s">
        <v>334</v>
      </c>
      <c r="H21" s="27" t="str">
        <f aca="false">INDEX(Equipment!$B$2:$B$153,MATCH(G21,Equipment!$A$2:$A$153,0))</f>
        <v>CCS 13.8 kV switchboard (CCS substation)</v>
      </c>
      <c r="I21" s="26" t="s">
        <v>566</v>
      </c>
      <c r="J21" s="27" t="str">
        <f aca="false">INDEX('Cable Types'!$B$2:$B$45,MATCH(I21,'Cable Types'!$A$2:$A$45,0))</f>
        <v>15 kV MV-105 1/C 750 kcmil Cu EPR 133% shielded, Type MC-HL, CCW Al armor (Armor-X type), PVC jkt, triplexed set</v>
      </c>
      <c r="K21" s="26" t="n">
        <v>3</v>
      </c>
      <c r="L21" s="26" t="s">
        <v>724</v>
      </c>
      <c r="M21" s="26" t="s">
        <v>703</v>
      </c>
      <c r="N21" s="26"/>
      <c r="O21" s="28" t="n">
        <f aca="false">IF(N21&lt;&gt;"",N21,IF(M21="D",ROUNDUP(SQRT((AL21-AI21)^2+(AM21-AJ21)^2+(AN21-AK21)^2)*(1+'Design Basis'!$C$6),0),ROUNDUP((ABS(AL21-AI21)+ABS(AM21-AJ21)+ABS(AO21-AK21)+ABS(AO21-AN21))*(1+'Design Basis'!$C$4)+2*'Design Basis'!$C$5,0)))</f>
        <v>121</v>
      </c>
      <c r="P21" s="28" t="n">
        <f aca="false">ROUND(O21*'Design Basis'!$C$10,0)</f>
        <v>397</v>
      </c>
      <c r="Q21" s="28" t="n">
        <f aca="false">O21*K21*AQ21</f>
        <v>1089</v>
      </c>
      <c r="R21" s="28" t="n">
        <f aca="false">ROUND(Q21*'Design Basis'!$C$10,0)</f>
        <v>3573</v>
      </c>
      <c r="S21" s="29" t="n">
        <v>13800</v>
      </c>
      <c r="T21" s="26" t="n">
        <v>3</v>
      </c>
      <c r="U21" s="29" t="n">
        <v>30000</v>
      </c>
      <c r="V21" s="30" t="n">
        <v>1</v>
      </c>
      <c r="W21" s="28" t="n">
        <f aca="false">IF(OR(U21="",S21=""),"",IF(T21=3,U21*1000/(SQRT(3)*S21*V21),U21*1000/(S21*V21)))</f>
        <v>1255.10928084701</v>
      </c>
      <c r="X21" s="30" t="n">
        <v>1</v>
      </c>
      <c r="Y21" s="28" t="n">
        <f aca="false">IF(W21="","",W21*IF(X21="",1,X21))</f>
        <v>1255.10928084701</v>
      </c>
      <c r="Z21" s="28" t="n">
        <f aca="false">IF(OR(AS21="",AP21=""),"",AS21*AP21)</f>
        <v>651.2</v>
      </c>
      <c r="AA21" s="28" t="n">
        <f aca="false">IF(Z21="","",Z21*K21)</f>
        <v>1953.6</v>
      </c>
      <c r="AB21" s="31" t="n">
        <f aca="false">IF(OR(Y21="",AA21=""),"",Y21/AA21)</f>
        <v>0.64245970559327</v>
      </c>
      <c r="AC21" s="31" t="n">
        <f aca="false">IF(OR(W21="",AT21=""),"",AT21*(W21/K21)*O21/1000/S21)</f>
        <v>0.000770346058606826</v>
      </c>
      <c r="AD21" s="31" t="n">
        <f aca="false">IF(W21="","",IFERROR(IF(INDEX('Design Basis'!$C$13:$C$21,MATCH(C21,'Design Basis'!$A$13:$A$21,0))="","",INDEX('Design Basis'!$C$13:$C$21,MATCH(C21,'Design Basis'!$A$13:$A$21,0))),""))</f>
        <v>0.03</v>
      </c>
      <c r="AE21" s="32" t="str">
        <f aca="false">IF(W21="","n/a",IF(AA21="","CHECK",IF(AND(AB21&lt;=1,OR(AC21="",AD21="",AC21&lt;=AD21)),"OK","CHECK")))</f>
        <v>OK</v>
      </c>
      <c r="AF21" s="28" t="n">
        <f aca="false">IF(AR21="","",K21*AQ21*PI()/4*AR21^2)</f>
        <v>14957.122623741</v>
      </c>
      <c r="AG21" s="32" t="s">
        <v>725</v>
      </c>
      <c r="AI21" s="33" t="n">
        <f aca="false">INDEX(Equipment!$D$2:$D$153,MATCH(E21,Equipment!$A$2:$A$153,0))</f>
        <v>86</v>
      </c>
      <c r="AJ21" s="33" t="n">
        <f aca="false">INDEX(Equipment!$E$2:$E$153,MATCH(E21,Equipment!$A$2:$A$153,0))</f>
        <v>64</v>
      </c>
      <c r="AK21" s="33" t="n">
        <f aca="false">INDEX(Equipment!$F$2:$F$153,MATCH(E21,Equipment!$A$2:$A$153,0))</f>
        <v>3</v>
      </c>
      <c r="AL21" s="33" t="n">
        <f aca="false">INDEX(Equipment!$D$2:$D$153,MATCH(G21,Equipment!$A$2:$A$153,0))</f>
        <v>178</v>
      </c>
      <c r="AM21" s="33" t="n">
        <f aca="false">INDEX(Equipment!$E$2:$E$153,MATCH(G21,Equipment!$A$2:$A$153,0))</f>
        <v>58</v>
      </c>
      <c r="AN21" s="33" t="n">
        <f aca="false">INDEX(Equipment!$F$2:$F$153,MATCH(G21,Equipment!$A$2:$A$153,0))</f>
        <v>0.5</v>
      </c>
      <c r="AO21" s="33" t="n">
        <f aca="false">IF(INDEX(Raceways!$D$2:$D$18,MATCH(L21,Raceways!$A$2:$A$18,0))="",0,INDEX(Raceways!$D$2:$D$18,MATCH(L21,Raceways!$A$2:$A$18,0)))</f>
        <v>5</v>
      </c>
      <c r="AP21" s="34" t="n">
        <f aca="false">IF(INDEX(Raceways!$I$2:$I$18,MATCH(L21,Raceways!$A$2:$A$18,0))="","",INDEX(Raceways!$I$2:$I$18,MATCH(L21,Raceways!$A$2:$A$18,0)))</f>
        <v>0.88</v>
      </c>
      <c r="AQ21" s="27" t="n">
        <f aca="false">INDEX('Cable Types'!$D$2:$D$45,MATCH(I21,'Cable Types'!$A$2:$A$45,0))</f>
        <v>3</v>
      </c>
      <c r="AR21" s="27" t="n">
        <f aca="false">IF(INDEX('Cable Types'!$E$2:$E$45,MATCH(I21,'Cable Types'!$A$2:$A$45,0))="","",INDEX('Cable Types'!$E$2:$E$45,MATCH(I21,'Cable Types'!$A$2:$A$45,0)))</f>
        <v>46</v>
      </c>
      <c r="AS21" s="27" t="n">
        <f aca="false">IF(INDEX('Cable Types'!$F$2:$F$45,MATCH(I21,'Cable Types'!$A$2:$A$45,0))="","",INDEX('Cable Types'!$F$2:$F$45,MATCH(I21,'Cable Types'!$A$2:$A$45,0)))</f>
        <v>740</v>
      </c>
      <c r="AT21" s="35" t="n">
        <f aca="false">IF(INDEX('Cable Types'!$G$2:$G$45,MATCH(I21,'Cable Types'!$A$2:$A$45,0))="","",INDEX('Cable Types'!$G$2:$G$45,MATCH(I21,'Cable Types'!$A$2:$A$45,0)))</f>
        <v>0.21</v>
      </c>
    </row>
    <row r="22" customFormat="false" ht="15" hidden="false" customHeight="false" outlineLevel="0" collapsed="false">
      <c r="A22" s="26" t="s">
        <v>726</v>
      </c>
      <c r="B22" s="26" t="s">
        <v>505</v>
      </c>
      <c r="C22" s="26" t="s">
        <v>71</v>
      </c>
      <c r="D22" s="26" t="s">
        <v>727</v>
      </c>
      <c r="E22" s="26" t="s">
        <v>503</v>
      </c>
      <c r="F22" s="27" t="str">
        <f aca="false">INDEX(Equipment!$B$2:$B$153,MATCH(E22,Equipment!$A$2:$A$153,0))</f>
        <v>Main 13.8 kV switchboard (main electrical building)</v>
      </c>
      <c r="G22" s="26" t="s">
        <v>334</v>
      </c>
      <c r="H22" s="27" t="str">
        <f aca="false">INDEX(Equipment!$B$2:$B$153,MATCH(G22,Equipment!$A$2:$A$153,0))</f>
        <v>CCS 13.8 kV switchboard (CCS substation)</v>
      </c>
      <c r="I22" s="26" t="s">
        <v>564</v>
      </c>
      <c r="J22" s="27" t="str">
        <f aca="false">INDEX('Cable Types'!$B$2:$B$45,MATCH(I22,'Cable Types'!$A$2:$A$45,0))</f>
        <v>15 kV MV-105 1/C 500 kcmil Cu EPR 133% shielded, Type MC-HL, CCW Al armor (Armor-X type), PVC jkt, triplexed set</v>
      </c>
      <c r="K22" s="26" t="n">
        <v>1</v>
      </c>
      <c r="L22" s="26" t="s">
        <v>724</v>
      </c>
      <c r="M22" s="26" t="s">
        <v>703</v>
      </c>
      <c r="N22" s="26"/>
      <c r="O22" s="28" t="n">
        <f aca="false">IF(N22&lt;&gt;"",N22,IF(M22="D",ROUNDUP(SQRT((AL22-AI22)^2+(AM22-AJ22)^2+(AN22-AK22)^2)*(1+'Design Basis'!$C$6),0),ROUNDUP((ABS(AL22-AI22)+ABS(AM22-AJ22)+ABS(AO22-AK22)+ABS(AO22-AN22))*(1+'Design Basis'!$C$4)+2*'Design Basis'!$C$5,0)))</f>
        <v>179</v>
      </c>
      <c r="P22" s="28" t="n">
        <f aca="false">ROUND(O22*'Design Basis'!$C$10,0)</f>
        <v>587</v>
      </c>
      <c r="Q22" s="28" t="n">
        <f aca="false">O22*K22*AQ22</f>
        <v>537</v>
      </c>
      <c r="R22" s="28" t="n">
        <f aca="false">ROUND(Q22*'Design Basis'!$C$10,0)</f>
        <v>1762</v>
      </c>
      <c r="S22" s="29" t="n">
        <v>13800</v>
      </c>
      <c r="T22" s="26" t="n">
        <v>3</v>
      </c>
      <c r="U22" s="29" t="n">
        <v>10000</v>
      </c>
      <c r="V22" s="30" t="n">
        <v>1</v>
      </c>
      <c r="W22" s="28" t="n">
        <f aca="false">IF(OR(U22="",S22=""),"",IF(T22=3,U22*1000/(SQRT(3)*S22*V22),U22*1000/(S22*V22)))</f>
        <v>418.369760282338</v>
      </c>
      <c r="X22" s="30" t="n">
        <v>1</v>
      </c>
      <c r="Y22" s="28" t="n">
        <f aca="false">IF(W22="","",W22*IF(X22="",1,X22))</f>
        <v>418.369760282338</v>
      </c>
      <c r="Z22" s="28" t="n">
        <f aca="false">IF(OR(AS22="",AP22=""),"",AS22*AP22)</f>
        <v>514.8</v>
      </c>
      <c r="AA22" s="28" t="n">
        <f aca="false">IF(Z22="","",Z22*K22)</f>
        <v>514.8</v>
      </c>
      <c r="AB22" s="31" t="n">
        <f aca="false">IF(OR(Y22="",AA22=""),"",Y22/AA22)</f>
        <v>0.812684072032513</v>
      </c>
      <c r="AC22" s="31" t="n">
        <f aca="false">IF(OR(W22="",AT22=""),"",AT22*(W22/K22)*O22/1000/S22)</f>
        <v>0.00138923013733173</v>
      </c>
      <c r="AD22" s="31" t="n">
        <f aca="false">IF(W22="","",IFERROR(IF(INDEX('Design Basis'!$C$13:$C$21,MATCH(C22,'Design Basis'!$A$13:$A$21,0))="","",INDEX('Design Basis'!$C$13:$C$21,MATCH(C22,'Design Basis'!$A$13:$A$21,0))),""))</f>
        <v>0.03</v>
      </c>
      <c r="AE22" s="32" t="str">
        <f aca="false">IF(W22="","n/a",IF(AA22="","CHECK",IF(AND(AB22&lt;=1,OR(AC22="",AD22="",AC22&lt;=AD22)),"OK","CHECK")))</f>
        <v>OK</v>
      </c>
      <c r="AF22" s="28" t="n">
        <f aca="false">IF(AR22="","",K22*AQ22*PI()/4*AR22^2)</f>
        <v>3960.76293801333</v>
      </c>
      <c r="AG22" s="32"/>
      <c r="AI22" s="33" t="n">
        <f aca="false">INDEX(Equipment!$D$2:$D$153,MATCH(E22,Equipment!$A$2:$A$153,0))</f>
        <v>36</v>
      </c>
      <c r="AJ22" s="33" t="n">
        <f aca="false">INDEX(Equipment!$E$2:$E$153,MATCH(E22,Equipment!$A$2:$A$153,0))</f>
        <v>52</v>
      </c>
      <c r="AK22" s="33" t="n">
        <f aca="false">INDEX(Equipment!$F$2:$F$153,MATCH(E22,Equipment!$A$2:$A$153,0))</f>
        <v>0.5</v>
      </c>
      <c r="AL22" s="33" t="n">
        <f aca="false">INDEX(Equipment!$D$2:$D$153,MATCH(G22,Equipment!$A$2:$A$153,0))</f>
        <v>178</v>
      </c>
      <c r="AM22" s="33" t="n">
        <f aca="false">INDEX(Equipment!$E$2:$E$153,MATCH(G22,Equipment!$A$2:$A$153,0))</f>
        <v>58</v>
      </c>
      <c r="AN22" s="33" t="n">
        <f aca="false">INDEX(Equipment!$F$2:$F$153,MATCH(G22,Equipment!$A$2:$A$153,0))</f>
        <v>0.5</v>
      </c>
      <c r="AO22" s="33" t="n">
        <f aca="false">IF(INDEX(Raceways!$D$2:$D$18,MATCH(L22,Raceways!$A$2:$A$18,0))="",0,INDEX(Raceways!$D$2:$D$18,MATCH(L22,Raceways!$A$2:$A$18,0)))</f>
        <v>5</v>
      </c>
      <c r="AP22" s="34" t="n">
        <f aca="false">IF(INDEX(Raceways!$I$2:$I$18,MATCH(L22,Raceways!$A$2:$A$18,0))="","",INDEX(Raceways!$I$2:$I$18,MATCH(L22,Raceways!$A$2:$A$18,0)))</f>
        <v>0.88</v>
      </c>
      <c r="AQ22" s="27" t="n">
        <f aca="false">INDEX('Cable Types'!$D$2:$D$45,MATCH(I22,'Cable Types'!$A$2:$A$45,0))</f>
        <v>3</v>
      </c>
      <c r="AR22" s="27" t="n">
        <f aca="false">IF(INDEX('Cable Types'!$E$2:$E$45,MATCH(I22,'Cable Types'!$A$2:$A$45,0))="","",INDEX('Cable Types'!$E$2:$E$45,MATCH(I22,'Cable Types'!$A$2:$A$45,0)))</f>
        <v>41</v>
      </c>
      <c r="AS22" s="27" t="n">
        <f aca="false">IF(INDEX('Cable Types'!$F$2:$F$45,MATCH(I22,'Cable Types'!$A$2:$A$45,0))="","",INDEX('Cable Types'!$F$2:$F$45,MATCH(I22,'Cable Types'!$A$2:$A$45,0)))</f>
        <v>585</v>
      </c>
      <c r="AT22" s="35" t="n">
        <f aca="false">IF(INDEX('Cable Types'!$G$2:$G$45,MATCH(I22,'Cable Types'!$A$2:$A$45,0))="","",INDEX('Cable Types'!$G$2:$G$45,MATCH(I22,'Cable Types'!$A$2:$A$45,0)))</f>
        <v>0.256</v>
      </c>
    </row>
    <row r="23" customFormat="false" ht="15" hidden="false" customHeight="false" outlineLevel="0" collapsed="false">
      <c r="A23" s="26" t="s">
        <v>728</v>
      </c>
      <c r="B23" s="26" t="s">
        <v>505</v>
      </c>
      <c r="C23" s="26" t="s">
        <v>71</v>
      </c>
      <c r="D23" s="26" t="s">
        <v>729</v>
      </c>
      <c r="E23" s="26" t="s">
        <v>503</v>
      </c>
      <c r="F23" s="27" t="str">
        <f aca="false">INDEX(Equipment!$B$2:$B$153,MATCH(E23,Equipment!$A$2:$A$153,0))</f>
        <v>Main 13.8 kV switchboard (main electrical building)</v>
      </c>
      <c r="G23" s="26" t="s">
        <v>165</v>
      </c>
      <c r="H23" s="27" t="str">
        <f aca="false">INDEX(Equipment!$B$2:$B$153,MATCH(G23,Equipment!$A$2:$A$153,0))</f>
        <v>GT static starter (LCI) isolation transformer 8 MVA</v>
      </c>
      <c r="I23" s="26" t="s">
        <v>562</v>
      </c>
      <c r="J23" s="27" t="str">
        <f aca="false">INDEX('Cable Types'!$B$2:$B$45,MATCH(I23,'Cable Types'!$A$2:$A$45,0))</f>
        <v>15 kV MV-105 3/C 500 kcmil Cu EPR 133% shielded + GC, Type MC-HL, CCW Al armor (Armor-X type), PVC jkt</v>
      </c>
      <c r="K23" s="26" t="n">
        <v>1</v>
      </c>
      <c r="L23" s="26" t="s">
        <v>730</v>
      </c>
      <c r="M23" s="26" t="s">
        <v>703</v>
      </c>
      <c r="N23" s="26"/>
      <c r="O23" s="28" t="n">
        <f aca="false">IF(N23&lt;&gt;"",N23,IF(M23="D",ROUNDUP(SQRT((AL23-AI23)^2+(AM23-AJ23)^2+(AN23-AK23)^2)*(1+'Design Basis'!$C$6),0),ROUNDUP((ABS(AL23-AI23)+ABS(AM23-AJ23)+ABS(AO23-AK23)+ABS(AO23-AN23))*(1+'Design Basis'!$C$4)+2*'Design Basis'!$C$5,0)))</f>
        <v>85</v>
      </c>
      <c r="P23" s="28" t="n">
        <f aca="false">ROUND(O23*'Design Basis'!$C$10,0)</f>
        <v>279</v>
      </c>
      <c r="Q23" s="28" t="n">
        <f aca="false">O23*K23*AQ23</f>
        <v>85</v>
      </c>
      <c r="R23" s="28" t="n">
        <f aca="false">ROUND(Q23*'Design Basis'!$C$10,0)</f>
        <v>279</v>
      </c>
      <c r="S23" s="29" t="n">
        <v>13800</v>
      </c>
      <c r="T23" s="26" t="n">
        <v>3</v>
      </c>
      <c r="U23" s="29" t="n">
        <v>8000</v>
      </c>
      <c r="V23" s="30" t="n">
        <v>1</v>
      </c>
      <c r="W23" s="28" t="n">
        <f aca="false">IF(OR(U23="",S23=""),"",IF(T23=3,U23*1000/(SQRT(3)*S23*V23),U23*1000/(S23*V23)))</f>
        <v>334.69580822587</v>
      </c>
      <c r="X23" s="30" t="n">
        <v>1.25</v>
      </c>
      <c r="Y23" s="28" t="n">
        <f aca="false">IF(W23="","",W23*IF(X23="",1,X23))</f>
        <v>418.369760282338</v>
      </c>
      <c r="Z23" s="28" t="n">
        <f aca="false">IF(OR(AS23="",AP23=""),"",AS23*AP23)</f>
        <v>453.2</v>
      </c>
      <c r="AA23" s="28" t="n">
        <f aca="false">IF(Z23="","",Z23*K23)</f>
        <v>453.2</v>
      </c>
      <c r="AB23" s="31" t="n">
        <f aca="false">IF(OR(Y23="",AA23=""),"",Y23/AA23)</f>
        <v>0.923145984735961</v>
      </c>
      <c r="AC23" s="31" t="n">
        <f aca="false">IF(OR(W23="",AT23=""),"",AT23*(W23/K23)*O23/1000/S23)</f>
        <v>0.000527752230941662</v>
      </c>
      <c r="AD23" s="31" t="n">
        <f aca="false">IF(W23="","",IFERROR(IF(INDEX('Design Basis'!$C$13:$C$21,MATCH(C23,'Design Basis'!$A$13:$A$21,0))="","",INDEX('Design Basis'!$C$13:$C$21,MATCH(C23,'Design Basis'!$A$13:$A$21,0))),""))</f>
        <v>0.03</v>
      </c>
      <c r="AE23" s="32" t="str">
        <f aca="false">IF(W23="","n/a",IF(AA23="","CHECK",IF(AND(AB23&lt;=1,OR(AC23="",AD23="",AC23&lt;=AD23)),"OK","CHECK")))</f>
        <v>OK</v>
      </c>
      <c r="AF23" s="28" t="n">
        <f aca="false">IF(AR23="","",K23*AQ23*PI()/4*AR23^2)</f>
        <v>6939.77817177985</v>
      </c>
      <c r="AG23" s="32"/>
      <c r="AI23" s="33" t="n">
        <f aca="false">INDEX(Equipment!$D$2:$D$153,MATCH(E23,Equipment!$A$2:$A$153,0))</f>
        <v>36</v>
      </c>
      <c r="AJ23" s="33" t="n">
        <f aca="false">INDEX(Equipment!$E$2:$E$153,MATCH(E23,Equipment!$A$2:$A$153,0))</f>
        <v>52</v>
      </c>
      <c r="AK23" s="33" t="n">
        <f aca="false">INDEX(Equipment!$F$2:$F$153,MATCH(E23,Equipment!$A$2:$A$153,0))</f>
        <v>0.5</v>
      </c>
      <c r="AL23" s="33" t="n">
        <f aca="false">INDEX(Equipment!$D$2:$D$153,MATCH(G23,Equipment!$A$2:$A$153,0))</f>
        <v>40</v>
      </c>
      <c r="AM23" s="33" t="n">
        <f aca="false">INDEX(Equipment!$E$2:$E$153,MATCH(G23,Equipment!$A$2:$A$153,0))</f>
        <v>-6</v>
      </c>
      <c r="AN23" s="33" t="n">
        <f aca="false">INDEX(Equipment!$F$2:$F$153,MATCH(G23,Equipment!$A$2:$A$153,0))</f>
        <v>0.5</v>
      </c>
      <c r="AO23" s="33" t="n">
        <f aca="false">IF(INDEX(Raceways!$D$2:$D$18,MATCH(L23,Raceways!$A$2:$A$18,0))="",0,INDEX(Raceways!$D$2:$D$18,MATCH(L23,Raceways!$A$2:$A$18,0)))</f>
        <v>5</v>
      </c>
      <c r="AP23" s="34" t="n">
        <f aca="false">IF(INDEX(Raceways!$I$2:$I$18,MATCH(L23,Raceways!$A$2:$A$18,0))="","",INDEX(Raceways!$I$2:$I$18,MATCH(L23,Raceways!$A$2:$A$18,0)))</f>
        <v>0.88</v>
      </c>
      <c r="AQ23" s="27" t="n">
        <f aca="false">INDEX('Cable Types'!$D$2:$D$45,MATCH(I23,'Cable Types'!$A$2:$A$45,0))</f>
        <v>1</v>
      </c>
      <c r="AR23" s="27" t="n">
        <f aca="false">IF(INDEX('Cable Types'!$E$2:$E$45,MATCH(I23,'Cable Types'!$A$2:$A$45,0))="","",INDEX('Cable Types'!$E$2:$E$45,MATCH(I23,'Cable Types'!$A$2:$A$45,0)))</f>
        <v>94</v>
      </c>
      <c r="AS23" s="27" t="n">
        <f aca="false">IF(INDEX('Cable Types'!$F$2:$F$45,MATCH(I23,'Cable Types'!$A$2:$A$45,0))="","",INDEX('Cable Types'!$F$2:$F$45,MATCH(I23,'Cable Types'!$A$2:$A$45,0)))</f>
        <v>515</v>
      </c>
      <c r="AT23" s="35" t="n">
        <f aca="false">IF(INDEX('Cable Types'!$G$2:$G$45,MATCH(I23,'Cable Types'!$A$2:$A$45,0))="","",INDEX('Cable Types'!$G$2:$G$45,MATCH(I23,'Cable Types'!$A$2:$A$45,0)))</f>
        <v>0.256</v>
      </c>
    </row>
    <row r="24" customFormat="false" ht="15" hidden="false" customHeight="false" outlineLevel="0" collapsed="false">
      <c r="A24" s="26" t="s">
        <v>731</v>
      </c>
      <c r="B24" s="26" t="s">
        <v>139</v>
      </c>
      <c r="C24" s="26" t="s">
        <v>71</v>
      </c>
      <c r="D24" s="26" t="s">
        <v>732</v>
      </c>
      <c r="E24" s="26" t="s">
        <v>168</v>
      </c>
      <c r="F24" s="27" t="str">
        <f aca="false">INDEX(Equipment!$B$2:$B$153,MATCH(E24,Equipment!$A$2:$A$153,0))</f>
        <v>GT static starter (LCI) cubicle</v>
      </c>
      <c r="G24" s="26" t="s">
        <v>137</v>
      </c>
      <c r="H24" s="27" t="str">
        <f aca="false">INDEX(Equipment!$B$2:$B$153,MATCH(G24,Equipment!$A$2:$A$153,0))</f>
        <v>Gas turbine generator ~290 MVA, 19 kV - line terminals</v>
      </c>
      <c r="I24" s="26" t="s">
        <v>564</v>
      </c>
      <c r="J24" s="27" t="str">
        <f aca="false">INDEX('Cable Types'!$B$2:$B$45,MATCH(I24,'Cable Types'!$A$2:$A$45,0))</f>
        <v>15 kV MV-105 1/C 500 kcmil Cu EPR 133% shielded, Type MC-HL, CCW Al armor (Armor-X type), PVC jkt, triplexed set</v>
      </c>
      <c r="K24" s="26" t="n">
        <v>2</v>
      </c>
      <c r="L24" s="26" t="s">
        <v>730</v>
      </c>
      <c r="M24" s="26" t="s">
        <v>703</v>
      </c>
      <c r="N24" s="26"/>
      <c r="O24" s="28" t="n">
        <f aca="false">IF(N24&lt;&gt;"",N24,IF(M24="D",ROUNDUP(SQRT((AL24-AI24)^2+(AM24-AJ24)^2+(AN24-AK24)^2)*(1+'Design Basis'!$C$6),0),ROUNDUP((ABS(AL24-AI24)+ABS(AM24-AJ24)+ABS(AO24-AK24)+ABS(AO24-AN24))*(1+'Design Basis'!$C$4)+2*'Design Basis'!$C$5,0)))</f>
        <v>54</v>
      </c>
      <c r="P24" s="28" t="n">
        <f aca="false">ROUND(O24*'Design Basis'!$C$10,0)</f>
        <v>177</v>
      </c>
      <c r="Q24" s="28" t="n">
        <f aca="false">O24*K24*AQ24</f>
        <v>324</v>
      </c>
      <c r="R24" s="28" t="n">
        <f aca="false">ROUND(Q24*'Design Basis'!$C$10,0)</f>
        <v>1063</v>
      </c>
      <c r="S24" s="29" t="n">
        <v>6000</v>
      </c>
      <c r="T24" s="26" t="n">
        <v>3</v>
      </c>
      <c r="U24" s="29" t="n">
        <v>8000</v>
      </c>
      <c r="V24" s="30" t="n">
        <v>1</v>
      </c>
      <c r="W24" s="28" t="n">
        <f aca="false">IF(OR(U24="",S24=""),"",IF(T24=3,U24*1000/(SQRT(3)*S24*V24),U24*1000/(S24*V24)))</f>
        <v>769.800358919501</v>
      </c>
      <c r="X24" s="30" t="n">
        <v>1</v>
      </c>
      <c r="Y24" s="28" t="n">
        <f aca="false">IF(W24="","",W24*IF(X24="",1,X24))</f>
        <v>769.800358919501</v>
      </c>
      <c r="Z24" s="28" t="n">
        <f aca="false">IF(OR(AS24="",AP24=""),"",AS24*AP24)</f>
        <v>514.8</v>
      </c>
      <c r="AA24" s="28" t="n">
        <f aca="false">IF(Z24="","",Z24*K24)</f>
        <v>1029.6</v>
      </c>
      <c r="AB24" s="31" t="n">
        <f aca="false">IF(OR(Y24="",AA24=""),"",Y24/AA24)</f>
        <v>0.747669346269912</v>
      </c>
      <c r="AC24" s="31" t="n">
        <f aca="false">IF(OR(W24="",AT24=""),"",AT24*(W24/K24)*O24/1000/S24)</f>
        <v>0.000886810013475265</v>
      </c>
      <c r="AD24" s="31" t="n">
        <f aca="false">IF(W24="","",IFERROR(IF(INDEX('Design Basis'!$C$13:$C$21,MATCH(C24,'Design Basis'!$A$13:$A$21,0))="","",INDEX('Design Basis'!$C$13:$C$21,MATCH(C24,'Design Basis'!$A$13:$A$21,0))),""))</f>
        <v>0.03</v>
      </c>
      <c r="AE24" s="32" t="str">
        <f aca="false">IF(W24="","n/a",IF(AA24="","CHECK",IF(AND(AB24&lt;=1,OR(AC24="",AD24="",AC24&lt;=AD24)),"OK","CHECK")))</f>
        <v>OK</v>
      </c>
      <c r="AF24" s="28" t="n">
        <f aca="false">IF(AR24="","",K24*AQ24*PI()/4*AR24^2)</f>
        <v>7921.52587602666</v>
      </c>
      <c r="AG24" s="32" t="s">
        <v>733</v>
      </c>
      <c r="AI24" s="33" t="n">
        <f aca="false">INDEX(Equipment!$D$2:$D$153,MATCH(E24,Equipment!$A$2:$A$153,0))</f>
        <v>44</v>
      </c>
      <c r="AJ24" s="33" t="n">
        <f aca="false">INDEX(Equipment!$E$2:$E$153,MATCH(E24,Equipment!$A$2:$A$153,0))</f>
        <v>-6</v>
      </c>
      <c r="AK24" s="33" t="n">
        <f aca="false">INDEX(Equipment!$F$2:$F$153,MATCH(E24,Equipment!$A$2:$A$153,0))</f>
        <v>0.5</v>
      </c>
      <c r="AL24" s="33" t="n">
        <f aca="false">INDEX(Equipment!$D$2:$D$153,MATCH(G24,Equipment!$A$2:$A$153,0))</f>
        <v>58</v>
      </c>
      <c r="AM24" s="33" t="n">
        <f aca="false">INDEX(Equipment!$E$2:$E$153,MATCH(G24,Equipment!$A$2:$A$153,0))</f>
        <v>18</v>
      </c>
      <c r="AN24" s="33" t="n">
        <f aca="false">INDEX(Equipment!$F$2:$F$153,MATCH(G24,Equipment!$A$2:$A$153,0))</f>
        <v>4</v>
      </c>
      <c r="AO24" s="33" t="n">
        <f aca="false">IF(INDEX(Raceways!$D$2:$D$18,MATCH(L24,Raceways!$A$2:$A$18,0))="",0,INDEX(Raceways!$D$2:$D$18,MATCH(L24,Raceways!$A$2:$A$18,0)))</f>
        <v>5</v>
      </c>
      <c r="AP24" s="34" t="n">
        <f aca="false">IF(INDEX(Raceways!$I$2:$I$18,MATCH(L24,Raceways!$A$2:$A$18,0))="","",INDEX(Raceways!$I$2:$I$18,MATCH(L24,Raceways!$A$2:$A$18,0)))</f>
        <v>0.88</v>
      </c>
      <c r="AQ24" s="27" t="n">
        <f aca="false">INDEX('Cable Types'!$D$2:$D$45,MATCH(I24,'Cable Types'!$A$2:$A$45,0))</f>
        <v>3</v>
      </c>
      <c r="AR24" s="27" t="n">
        <f aca="false">IF(INDEX('Cable Types'!$E$2:$E$45,MATCH(I24,'Cable Types'!$A$2:$A$45,0))="","",INDEX('Cable Types'!$E$2:$E$45,MATCH(I24,'Cable Types'!$A$2:$A$45,0)))</f>
        <v>41</v>
      </c>
      <c r="AS24" s="27" t="n">
        <f aca="false">IF(INDEX('Cable Types'!$F$2:$F$45,MATCH(I24,'Cable Types'!$A$2:$A$45,0))="","",INDEX('Cable Types'!$F$2:$F$45,MATCH(I24,'Cable Types'!$A$2:$A$45,0)))</f>
        <v>585</v>
      </c>
      <c r="AT24" s="35" t="n">
        <f aca="false">IF(INDEX('Cable Types'!$G$2:$G$45,MATCH(I24,'Cable Types'!$A$2:$A$45,0))="","",INDEX('Cable Types'!$G$2:$G$45,MATCH(I24,'Cable Types'!$A$2:$A$45,0)))</f>
        <v>0.256</v>
      </c>
    </row>
    <row r="25" customFormat="false" ht="15" hidden="false" customHeight="false" outlineLevel="0" collapsed="false">
      <c r="A25" s="26" t="s">
        <v>734</v>
      </c>
      <c r="B25" s="26" t="s">
        <v>139</v>
      </c>
      <c r="C25" s="26" t="s">
        <v>71</v>
      </c>
      <c r="D25" s="26" t="s">
        <v>735</v>
      </c>
      <c r="E25" s="26" t="s">
        <v>503</v>
      </c>
      <c r="F25" s="27" t="str">
        <f aca="false">INDEX(Equipment!$B$2:$B$153,MATCH(E25,Equipment!$A$2:$A$153,0))</f>
        <v>Main 13.8 kV switchboard (main electrical building)</v>
      </c>
      <c r="G25" s="26" t="s">
        <v>194</v>
      </c>
      <c r="H25" s="27" t="str">
        <f aca="false">INDEX(Equipment!$B$2:$B$153,MATCH(G25,Equipment!$A$2:$A$153,0))</f>
        <v>HP/IP boiler feed pump A motor 3.2 MW, 13.8 kV</v>
      </c>
      <c r="I25" s="26" t="s">
        <v>560</v>
      </c>
      <c r="J25" s="27" t="str">
        <f aca="false">INDEX('Cable Types'!$B$2:$B$45,MATCH(I25,'Cable Types'!$A$2:$A$45,0))</f>
        <v>15 kV MV-105 3/C 4/0 AWG Cu EPR 133% shielded + GC, Type MC-HL, CCW Al armor (Armor-X type), PVC jkt</v>
      </c>
      <c r="K25" s="26" t="n">
        <v>1</v>
      </c>
      <c r="L25" s="26" t="s">
        <v>730</v>
      </c>
      <c r="M25" s="26" t="s">
        <v>703</v>
      </c>
      <c r="N25" s="26"/>
      <c r="O25" s="28" t="n">
        <f aca="false">IF(N25&lt;&gt;"",N25,IF(M25="D",ROUNDUP(SQRT((AL25-AI25)^2+(AM25-AJ25)^2+(AN25-AK25)^2)*(1+'Design Basis'!$C$6),0),ROUNDUP((ABS(AL25-AI25)+ABS(AM25-AJ25)+ABS(AO25-AK25)+ABS(AO25-AN25))*(1+'Design Basis'!$C$4)+2*'Design Basis'!$C$5,0)))</f>
        <v>138</v>
      </c>
      <c r="P25" s="28" t="n">
        <f aca="false">ROUND(O25*'Design Basis'!$C$10,0)</f>
        <v>453</v>
      </c>
      <c r="Q25" s="28" t="n">
        <f aca="false">O25*K25*AQ25</f>
        <v>138</v>
      </c>
      <c r="R25" s="28" t="n">
        <f aca="false">ROUND(Q25*'Design Basis'!$C$10,0)</f>
        <v>453</v>
      </c>
      <c r="S25" s="29" t="n">
        <v>13800</v>
      </c>
      <c r="T25" s="26" t="n">
        <v>3</v>
      </c>
      <c r="U25" s="29" t="n">
        <v>3200</v>
      </c>
      <c r="V25" s="30" t="n">
        <v>0.86</v>
      </c>
      <c r="W25" s="28" t="n">
        <f aca="false">IF(OR(U25="",S25=""),"",IF(T25=3,U25*1000/(SQRT(3)*S25*V25),U25*1000/(S25*V25)))</f>
        <v>155.672468942265</v>
      </c>
      <c r="X25" s="30" t="n">
        <v>1.25</v>
      </c>
      <c r="Y25" s="28" t="n">
        <f aca="false">IF(W25="","",W25*IF(X25="",1,X25))</f>
        <v>194.590586177831</v>
      </c>
      <c r="Z25" s="28" t="n">
        <f aca="false">IF(OR(AS25="",AP25=""),"",AS25*AP25)</f>
        <v>272.8</v>
      </c>
      <c r="AA25" s="28" t="n">
        <f aca="false">IF(Z25="","",Z25*K25)</f>
        <v>272.8</v>
      </c>
      <c r="AB25" s="31" t="n">
        <f aca="false">IF(OR(Y25="",AA25=""),"",Y25/AA25)</f>
        <v>0.713308600358619</v>
      </c>
      <c r="AC25" s="31" t="n">
        <f aca="false">IF(OR(W25="",AT25=""),"",AT25*(W25/K25)*O25/1000/S25)</f>
        <v>0.00066316471769405</v>
      </c>
      <c r="AD25" s="31" t="n">
        <f aca="false">IF(W25="","",IFERROR(IF(INDEX('Design Basis'!$C$13:$C$21,MATCH(C25,'Design Basis'!$A$13:$A$21,0))="","",INDEX('Design Basis'!$C$13:$C$21,MATCH(C25,'Design Basis'!$A$13:$A$21,0))),""))</f>
        <v>0.03</v>
      </c>
      <c r="AE25" s="32" t="str">
        <f aca="false">IF(W25="","n/a",IF(AA25="","CHECK",IF(AND(AB25&lt;=1,OR(AC25="",AD25="",AC25&lt;=AD25)),"OK","CHECK")))</f>
        <v>OK</v>
      </c>
      <c r="AF25" s="28" t="n">
        <f aca="false">IF(AR25="","",K25*AQ25*PI()/4*AR25^2)</f>
        <v>4536.45979178366</v>
      </c>
      <c r="AG25" s="32" t="s">
        <v>736</v>
      </c>
      <c r="AI25" s="33" t="n">
        <f aca="false">INDEX(Equipment!$D$2:$D$153,MATCH(E25,Equipment!$A$2:$A$153,0))</f>
        <v>36</v>
      </c>
      <c r="AJ25" s="33" t="n">
        <f aca="false">INDEX(Equipment!$E$2:$E$153,MATCH(E25,Equipment!$A$2:$A$153,0))</f>
        <v>52</v>
      </c>
      <c r="AK25" s="33" t="n">
        <f aca="false">INDEX(Equipment!$F$2:$F$153,MATCH(E25,Equipment!$A$2:$A$153,0))</f>
        <v>0.5</v>
      </c>
      <c r="AL25" s="33" t="n">
        <f aca="false">INDEX(Equipment!$D$2:$D$153,MATCH(G25,Equipment!$A$2:$A$153,0))</f>
        <v>86</v>
      </c>
      <c r="AM25" s="33" t="n">
        <f aca="false">INDEX(Equipment!$E$2:$E$153,MATCH(G25,Equipment!$A$2:$A$153,0))</f>
        <v>-9</v>
      </c>
      <c r="AN25" s="33" t="n">
        <f aca="false">INDEX(Equipment!$F$2:$F$153,MATCH(G25,Equipment!$A$2:$A$153,0))</f>
        <v>0.5</v>
      </c>
      <c r="AO25" s="33" t="n">
        <f aca="false">IF(INDEX(Raceways!$D$2:$D$18,MATCH(L25,Raceways!$A$2:$A$18,0))="",0,INDEX(Raceways!$D$2:$D$18,MATCH(L25,Raceways!$A$2:$A$18,0)))</f>
        <v>5</v>
      </c>
      <c r="AP25" s="34" t="n">
        <f aca="false">IF(INDEX(Raceways!$I$2:$I$18,MATCH(L25,Raceways!$A$2:$A$18,0))="","",INDEX(Raceways!$I$2:$I$18,MATCH(L25,Raceways!$A$2:$A$18,0)))</f>
        <v>0.88</v>
      </c>
      <c r="AQ25" s="27" t="n">
        <f aca="false">INDEX('Cable Types'!$D$2:$D$45,MATCH(I25,'Cable Types'!$A$2:$A$45,0))</f>
        <v>1</v>
      </c>
      <c r="AR25" s="27" t="n">
        <f aca="false">IF(INDEX('Cable Types'!$E$2:$E$45,MATCH(I25,'Cable Types'!$A$2:$A$45,0))="","",INDEX('Cable Types'!$E$2:$E$45,MATCH(I25,'Cable Types'!$A$2:$A$45,0)))</f>
        <v>76</v>
      </c>
      <c r="AS25" s="27" t="n">
        <f aca="false">IF(INDEX('Cable Types'!$F$2:$F$45,MATCH(I25,'Cable Types'!$A$2:$A$45,0))="","",INDEX('Cable Types'!$F$2:$F$45,MATCH(I25,'Cable Types'!$A$2:$A$45,0)))</f>
        <v>310</v>
      </c>
      <c r="AT25" s="35" t="n">
        <f aca="false">IF(INDEX('Cable Types'!$G$2:$G$45,MATCH(I25,'Cable Types'!$A$2:$A$45,0))="","",INDEX('Cable Types'!$G$2:$G$45,MATCH(I25,'Cable Types'!$A$2:$A$45,0)))</f>
        <v>0.426</v>
      </c>
    </row>
    <row r="26" customFormat="false" ht="15" hidden="false" customHeight="false" outlineLevel="0" collapsed="false">
      <c r="A26" s="26" t="s">
        <v>737</v>
      </c>
      <c r="B26" s="26" t="s">
        <v>139</v>
      </c>
      <c r="C26" s="26" t="s">
        <v>71</v>
      </c>
      <c r="D26" s="26" t="s">
        <v>738</v>
      </c>
      <c r="E26" s="26" t="s">
        <v>503</v>
      </c>
      <c r="F26" s="27" t="str">
        <f aca="false">INDEX(Equipment!$B$2:$B$153,MATCH(E26,Equipment!$A$2:$A$153,0))</f>
        <v>Main 13.8 kV switchboard (main electrical building)</v>
      </c>
      <c r="G26" s="26" t="s">
        <v>197</v>
      </c>
      <c r="H26" s="27" t="str">
        <f aca="false">INDEX(Equipment!$B$2:$B$153,MATCH(G26,Equipment!$A$2:$A$153,0))</f>
        <v>HP/IP boiler feed pump B motor 3.2 MW, 13.8 kV</v>
      </c>
      <c r="I26" s="26" t="s">
        <v>560</v>
      </c>
      <c r="J26" s="27" t="str">
        <f aca="false">INDEX('Cable Types'!$B$2:$B$45,MATCH(I26,'Cable Types'!$A$2:$A$45,0))</f>
        <v>15 kV MV-105 3/C 4/0 AWG Cu EPR 133% shielded + GC, Type MC-HL, CCW Al armor (Armor-X type), PVC jkt</v>
      </c>
      <c r="K26" s="26" t="n">
        <v>1</v>
      </c>
      <c r="L26" s="26" t="s">
        <v>730</v>
      </c>
      <c r="M26" s="26" t="s">
        <v>703</v>
      </c>
      <c r="N26" s="26"/>
      <c r="O26" s="28" t="n">
        <f aca="false">IF(N26&lt;&gt;"",N26,IF(M26="D",ROUNDUP(SQRT((AL26-AI26)^2+(AM26-AJ26)^2+(AN26-AK26)^2)*(1+'Design Basis'!$C$6),0),ROUNDUP((ABS(AL26-AI26)+ABS(AM26-AJ26)+ABS(AO26-AK26)+ABS(AO26-AN26))*(1+'Design Basis'!$C$4)+2*'Design Basis'!$C$5,0)))</f>
        <v>143</v>
      </c>
      <c r="P26" s="28" t="n">
        <f aca="false">ROUND(O26*'Design Basis'!$C$10,0)</f>
        <v>469</v>
      </c>
      <c r="Q26" s="28" t="n">
        <f aca="false">O26*K26*AQ26</f>
        <v>143</v>
      </c>
      <c r="R26" s="28" t="n">
        <f aca="false">ROUND(Q26*'Design Basis'!$C$10,0)</f>
        <v>469</v>
      </c>
      <c r="S26" s="29" t="n">
        <v>13800</v>
      </c>
      <c r="T26" s="26" t="n">
        <v>3</v>
      </c>
      <c r="U26" s="29" t="n">
        <v>3200</v>
      </c>
      <c r="V26" s="30" t="n">
        <v>0.86</v>
      </c>
      <c r="W26" s="28" t="n">
        <f aca="false">IF(OR(U26="",S26=""),"",IF(T26=3,U26*1000/(SQRT(3)*S26*V26),U26*1000/(S26*V26)))</f>
        <v>155.672468942265</v>
      </c>
      <c r="X26" s="30" t="n">
        <v>1.25</v>
      </c>
      <c r="Y26" s="28" t="n">
        <f aca="false">IF(W26="","",W26*IF(X26="",1,X26))</f>
        <v>194.590586177831</v>
      </c>
      <c r="Z26" s="28" t="n">
        <f aca="false">IF(OR(AS26="",AP26=""),"",AS26*AP26)</f>
        <v>272.8</v>
      </c>
      <c r="AA26" s="28" t="n">
        <f aca="false">IF(Z26="","",Z26*K26)</f>
        <v>272.8</v>
      </c>
      <c r="AB26" s="31" t="n">
        <f aca="false">IF(OR(Y26="",AA26=""),"",Y26/AA26)</f>
        <v>0.713308600358619</v>
      </c>
      <c r="AC26" s="31" t="n">
        <f aca="false">IF(OR(W26="",AT26=""),"",AT26*(W26/K26)*O26/1000/S26)</f>
        <v>0.000687192424856877</v>
      </c>
      <c r="AD26" s="31" t="n">
        <f aca="false">IF(W26="","",IFERROR(IF(INDEX('Design Basis'!$C$13:$C$21,MATCH(C26,'Design Basis'!$A$13:$A$21,0))="","",INDEX('Design Basis'!$C$13:$C$21,MATCH(C26,'Design Basis'!$A$13:$A$21,0))),""))</f>
        <v>0.03</v>
      </c>
      <c r="AE26" s="32" t="str">
        <f aca="false">IF(W26="","n/a",IF(AA26="","CHECK",IF(AND(AB26&lt;=1,OR(AC26="",AD26="",AC26&lt;=AD26)),"OK","CHECK")))</f>
        <v>OK</v>
      </c>
      <c r="AF26" s="28" t="n">
        <f aca="false">IF(AR26="","",K26*AQ26*PI()/4*AR26^2)</f>
        <v>4536.45979178366</v>
      </c>
      <c r="AG26" s="32"/>
      <c r="AI26" s="33" t="n">
        <f aca="false">INDEX(Equipment!$D$2:$D$153,MATCH(E26,Equipment!$A$2:$A$153,0))</f>
        <v>36</v>
      </c>
      <c r="AJ26" s="33" t="n">
        <f aca="false">INDEX(Equipment!$E$2:$E$153,MATCH(E26,Equipment!$A$2:$A$153,0))</f>
        <v>52</v>
      </c>
      <c r="AK26" s="33" t="n">
        <f aca="false">INDEX(Equipment!$F$2:$F$153,MATCH(E26,Equipment!$A$2:$A$153,0))</f>
        <v>0.5</v>
      </c>
      <c r="AL26" s="33" t="n">
        <f aca="false">INDEX(Equipment!$D$2:$D$153,MATCH(G26,Equipment!$A$2:$A$153,0))</f>
        <v>90</v>
      </c>
      <c r="AM26" s="33" t="n">
        <f aca="false">INDEX(Equipment!$E$2:$E$153,MATCH(G26,Equipment!$A$2:$A$153,0))</f>
        <v>-9</v>
      </c>
      <c r="AN26" s="33" t="n">
        <f aca="false">INDEX(Equipment!$F$2:$F$153,MATCH(G26,Equipment!$A$2:$A$153,0))</f>
        <v>0.5</v>
      </c>
      <c r="AO26" s="33" t="n">
        <f aca="false">IF(INDEX(Raceways!$D$2:$D$18,MATCH(L26,Raceways!$A$2:$A$18,0))="",0,INDEX(Raceways!$D$2:$D$18,MATCH(L26,Raceways!$A$2:$A$18,0)))</f>
        <v>5</v>
      </c>
      <c r="AP26" s="34" t="n">
        <f aca="false">IF(INDEX(Raceways!$I$2:$I$18,MATCH(L26,Raceways!$A$2:$A$18,0))="","",INDEX(Raceways!$I$2:$I$18,MATCH(L26,Raceways!$A$2:$A$18,0)))</f>
        <v>0.88</v>
      </c>
      <c r="AQ26" s="27" t="n">
        <f aca="false">INDEX('Cable Types'!$D$2:$D$45,MATCH(I26,'Cable Types'!$A$2:$A$45,0))</f>
        <v>1</v>
      </c>
      <c r="AR26" s="27" t="n">
        <f aca="false">IF(INDEX('Cable Types'!$E$2:$E$45,MATCH(I26,'Cable Types'!$A$2:$A$45,0))="","",INDEX('Cable Types'!$E$2:$E$45,MATCH(I26,'Cable Types'!$A$2:$A$45,0)))</f>
        <v>76</v>
      </c>
      <c r="AS26" s="27" t="n">
        <f aca="false">IF(INDEX('Cable Types'!$F$2:$F$45,MATCH(I26,'Cable Types'!$A$2:$A$45,0))="","",INDEX('Cable Types'!$F$2:$F$45,MATCH(I26,'Cable Types'!$A$2:$A$45,0)))</f>
        <v>310</v>
      </c>
      <c r="AT26" s="35" t="n">
        <f aca="false">IF(INDEX('Cable Types'!$G$2:$G$45,MATCH(I26,'Cable Types'!$A$2:$A$45,0))="","",INDEX('Cable Types'!$G$2:$G$45,MATCH(I26,'Cable Types'!$A$2:$A$45,0)))</f>
        <v>0.426</v>
      </c>
    </row>
    <row r="27" customFormat="false" ht="15" hidden="false" customHeight="false" outlineLevel="0" collapsed="false">
      <c r="A27" s="26" t="s">
        <v>739</v>
      </c>
      <c r="B27" s="26" t="s">
        <v>139</v>
      </c>
      <c r="C27" s="26" t="s">
        <v>71</v>
      </c>
      <c r="D27" s="26" t="s">
        <v>740</v>
      </c>
      <c r="E27" s="26" t="s">
        <v>503</v>
      </c>
      <c r="F27" s="27" t="str">
        <f aca="false">INDEX(Equipment!$B$2:$B$153,MATCH(E27,Equipment!$A$2:$A$153,0))</f>
        <v>Main 13.8 kV switchboard (main electrical building)</v>
      </c>
      <c r="G27" s="26" t="s">
        <v>225</v>
      </c>
      <c r="H27" s="27" t="str">
        <f aca="false">INDEX(Equipment!$B$2:$B$153,MATCH(G27,Equipment!$A$2:$A$153,0))</f>
        <v>Condensate extraction pump A motor 500 kW, 13.8 kV</v>
      </c>
      <c r="I27" s="26" t="s">
        <v>556</v>
      </c>
      <c r="J27" s="27" t="str">
        <f aca="false">INDEX('Cable Types'!$B$2:$B$45,MATCH(I27,'Cable Types'!$A$2:$A$45,0))</f>
        <v>15 kV MV-105 3/C #2 AWG Cu EPR 133% shielded + GC, Type MC-HL, CCW Al armor (Armor-X type), PVC jkt</v>
      </c>
      <c r="K27" s="26" t="n">
        <v>1</v>
      </c>
      <c r="L27" s="26" t="s">
        <v>724</v>
      </c>
      <c r="M27" s="26" t="s">
        <v>703</v>
      </c>
      <c r="N27" s="26"/>
      <c r="O27" s="28" t="n">
        <f aca="false">IF(N27&lt;&gt;"",N27,IF(M27="D",ROUNDUP(SQRT((AL27-AI27)^2+(AM27-AJ27)^2+(AN27-AK27)^2)*(1+'Design Basis'!$C$6),0),ROUNDUP((ABS(AL27-AI27)+ABS(AM27-AJ27)+ABS(AO27-AK27)+ABS(AO27-AN27))*(1+'Design Basis'!$C$4)+2*'Design Basis'!$C$5,0)))</f>
        <v>82</v>
      </c>
      <c r="P27" s="28" t="n">
        <f aca="false">ROUND(O27*'Design Basis'!$C$10,0)</f>
        <v>269</v>
      </c>
      <c r="Q27" s="28" t="n">
        <f aca="false">O27*K27*AQ27</f>
        <v>82</v>
      </c>
      <c r="R27" s="28" t="n">
        <f aca="false">ROUND(Q27*'Design Basis'!$C$10,0)</f>
        <v>269</v>
      </c>
      <c r="S27" s="29" t="n">
        <v>13800</v>
      </c>
      <c r="T27" s="26" t="n">
        <v>3</v>
      </c>
      <c r="U27" s="29" t="n">
        <v>500</v>
      </c>
      <c r="V27" s="30" t="n">
        <v>0.82</v>
      </c>
      <c r="W27" s="28" t="n">
        <f aca="false">IF(OR(U27="",S27=""),"",IF(T27=3,U27*1000/(SQRT(3)*S27*V27),U27*1000/(S27*V27)))</f>
        <v>25.5103512367279</v>
      </c>
      <c r="X27" s="30" t="n">
        <v>1.25</v>
      </c>
      <c r="Y27" s="28" t="n">
        <f aca="false">IF(W27="","",W27*IF(X27="",1,X27))</f>
        <v>31.8879390459099</v>
      </c>
      <c r="Z27" s="28" t="n">
        <f aca="false">IF(OR(AS27="",AP27=""),"",AS27*AP27)</f>
        <v>145.2</v>
      </c>
      <c r="AA27" s="28" t="n">
        <f aca="false">IF(Z27="","",Z27*K27)</f>
        <v>145.2</v>
      </c>
      <c r="AB27" s="31" t="n">
        <f aca="false">IF(OR(Y27="",AA27=""),"",Y27/AA27)</f>
        <v>0.219613905274861</v>
      </c>
      <c r="AC27" s="31" t="n">
        <f aca="false">IF(OR(W27="",AT27=""),"",AT27*(W27/K27)*O27/1000/S27)</f>
        <v>0.000161890907239687</v>
      </c>
      <c r="AD27" s="31" t="n">
        <f aca="false">IF(W27="","",IFERROR(IF(INDEX('Design Basis'!$C$13:$C$21,MATCH(C27,'Design Basis'!$A$13:$A$21,0))="","",INDEX('Design Basis'!$C$13:$C$21,MATCH(C27,'Design Basis'!$A$13:$A$21,0))),""))</f>
        <v>0.03</v>
      </c>
      <c r="AE27" s="32" t="str">
        <f aca="false">IF(W27="","n/a",IF(AA27="","CHECK",IF(AND(AB27&lt;=1,OR(AC27="",AD27="",AC27&lt;=AD27)),"OK","CHECK")))</f>
        <v>OK</v>
      </c>
      <c r="AF27" s="28" t="n">
        <f aca="false">IF(AR27="","",K27*AQ27*PI()/4*AR27^2)</f>
        <v>2922.46656600191</v>
      </c>
      <c r="AG27" s="32" t="s">
        <v>741</v>
      </c>
      <c r="AI27" s="33" t="n">
        <f aca="false">INDEX(Equipment!$D$2:$D$153,MATCH(E27,Equipment!$A$2:$A$153,0))</f>
        <v>36</v>
      </c>
      <c r="AJ27" s="33" t="n">
        <f aca="false">INDEX(Equipment!$E$2:$E$153,MATCH(E27,Equipment!$A$2:$A$153,0))</f>
        <v>52</v>
      </c>
      <c r="AK27" s="33" t="n">
        <f aca="false">INDEX(Equipment!$F$2:$F$153,MATCH(E27,Equipment!$A$2:$A$153,0))</f>
        <v>0.5</v>
      </c>
      <c r="AL27" s="33" t="n">
        <f aca="false">INDEX(Equipment!$D$2:$D$153,MATCH(G27,Equipment!$A$2:$A$153,0))</f>
        <v>88</v>
      </c>
      <c r="AM27" s="33" t="n">
        <f aca="false">INDEX(Equipment!$E$2:$E$153,MATCH(G27,Equipment!$A$2:$A$153,0))</f>
        <v>44</v>
      </c>
      <c r="AN27" s="33" t="n">
        <f aca="false">INDEX(Equipment!$F$2:$F$153,MATCH(G27,Equipment!$A$2:$A$153,0))</f>
        <v>0.5</v>
      </c>
      <c r="AO27" s="33" t="n">
        <f aca="false">IF(INDEX(Raceways!$D$2:$D$18,MATCH(L27,Raceways!$A$2:$A$18,0))="",0,INDEX(Raceways!$D$2:$D$18,MATCH(L27,Raceways!$A$2:$A$18,0)))</f>
        <v>5</v>
      </c>
      <c r="AP27" s="34" t="n">
        <f aca="false">IF(INDEX(Raceways!$I$2:$I$18,MATCH(L27,Raceways!$A$2:$A$18,0))="","",INDEX(Raceways!$I$2:$I$18,MATCH(L27,Raceways!$A$2:$A$18,0)))</f>
        <v>0.88</v>
      </c>
      <c r="AQ27" s="27" t="n">
        <f aca="false">INDEX('Cable Types'!$D$2:$D$45,MATCH(I27,'Cable Types'!$A$2:$A$45,0))</f>
        <v>1</v>
      </c>
      <c r="AR27" s="27" t="n">
        <f aca="false">IF(INDEX('Cable Types'!$E$2:$E$45,MATCH(I27,'Cable Types'!$A$2:$A$45,0))="","",INDEX('Cable Types'!$E$2:$E$45,MATCH(I27,'Cable Types'!$A$2:$A$45,0)))</f>
        <v>61</v>
      </c>
      <c r="AS27" s="27" t="n">
        <f aca="false">IF(INDEX('Cable Types'!$F$2:$F$45,MATCH(I27,'Cable Types'!$A$2:$A$45,0))="","",INDEX('Cable Types'!$F$2:$F$45,MATCH(I27,'Cable Types'!$A$2:$A$45,0)))</f>
        <v>165</v>
      </c>
      <c r="AT27" s="35" t="n">
        <f aca="false">IF(INDEX('Cable Types'!$G$2:$G$45,MATCH(I27,'Cable Types'!$A$2:$A$45,0))="","",INDEX('Cable Types'!$G$2:$G$45,MATCH(I27,'Cable Types'!$A$2:$A$45,0)))</f>
        <v>1.068</v>
      </c>
    </row>
    <row r="28" customFormat="false" ht="15" hidden="false" customHeight="false" outlineLevel="0" collapsed="false">
      <c r="A28" s="26" t="s">
        <v>742</v>
      </c>
      <c r="B28" s="26" t="s">
        <v>139</v>
      </c>
      <c r="C28" s="26" t="s">
        <v>71</v>
      </c>
      <c r="D28" s="26" t="s">
        <v>743</v>
      </c>
      <c r="E28" s="26" t="s">
        <v>503</v>
      </c>
      <c r="F28" s="27" t="str">
        <f aca="false">INDEX(Equipment!$B$2:$B$153,MATCH(E28,Equipment!$A$2:$A$153,0))</f>
        <v>Main 13.8 kV switchboard (main electrical building)</v>
      </c>
      <c r="G28" s="26" t="s">
        <v>227</v>
      </c>
      <c r="H28" s="27" t="str">
        <f aca="false">INDEX(Equipment!$B$2:$B$153,MATCH(G28,Equipment!$A$2:$A$153,0))</f>
        <v>Condensate extraction pump B motor 500 kW, 13.8 kV</v>
      </c>
      <c r="I28" s="26" t="s">
        <v>556</v>
      </c>
      <c r="J28" s="27" t="str">
        <f aca="false">INDEX('Cable Types'!$B$2:$B$45,MATCH(I28,'Cable Types'!$A$2:$A$45,0))</f>
        <v>15 kV MV-105 3/C #2 AWG Cu EPR 133% shielded + GC, Type MC-HL, CCW Al armor (Armor-X type), PVC jkt</v>
      </c>
      <c r="K28" s="26" t="n">
        <v>1</v>
      </c>
      <c r="L28" s="26" t="s">
        <v>724</v>
      </c>
      <c r="M28" s="26" t="s">
        <v>703</v>
      </c>
      <c r="N28" s="26"/>
      <c r="O28" s="28" t="n">
        <f aca="false">IF(N28&lt;&gt;"",N28,IF(M28="D",ROUNDUP(SQRT((AL28-AI28)^2+(AM28-AJ28)^2+(AN28-AK28)^2)*(1+'Design Basis'!$C$6),0),ROUNDUP((ABS(AL28-AI28)+ABS(AM28-AJ28)+ABS(AO28-AK28)+ABS(AO28-AN28))*(1+'Design Basis'!$C$4)+2*'Design Basis'!$C$5,0)))</f>
        <v>86</v>
      </c>
      <c r="P28" s="28" t="n">
        <f aca="false">ROUND(O28*'Design Basis'!$C$10,0)</f>
        <v>282</v>
      </c>
      <c r="Q28" s="28" t="n">
        <f aca="false">O28*K28*AQ28</f>
        <v>86</v>
      </c>
      <c r="R28" s="28" t="n">
        <f aca="false">ROUND(Q28*'Design Basis'!$C$10,0)</f>
        <v>282</v>
      </c>
      <c r="S28" s="29" t="n">
        <v>13800</v>
      </c>
      <c r="T28" s="26" t="n">
        <v>3</v>
      </c>
      <c r="U28" s="29" t="n">
        <v>500</v>
      </c>
      <c r="V28" s="30" t="n">
        <v>0.82</v>
      </c>
      <c r="W28" s="28" t="n">
        <f aca="false">IF(OR(U28="",S28=""),"",IF(T28=3,U28*1000/(SQRT(3)*S28*V28),U28*1000/(S28*V28)))</f>
        <v>25.5103512367279</v>
      </c>
      <c r="X28" s="30" t="n">
        <v>1.25</v>
      </c>
      <c r="Y28" s="28" t="n">
        <f aca="false">IF(W28="","",W28*IF(X28="",1,X28))</f>
        <v>31.8879390459099</v>
      </c>
      <c r="Z28" s="28" t="n">
        <f aca="false">IF(OR(AS28="",AP28=""),"",AS28*AP28)</f>
        <v>145.2</v>
      </c>
      <c r="AA28" s="28" t="n">
        <f aca="false">IF(Z28="","",Z28*K28)</f>
        <v>145.2</v>
      </c>
      <c r="AB28" s="31" t="n">
        <f aca="false">IF(OR(Y28="",AA28=""),"",Y28/AA28)</f>
        <v>0.219613905274861</v>
      </c>
      <c r="AC28" s="31" t="n">
        <f aca="false">IF(OR(W28="",AT28=""),"",AT28*(W28/K28)*O28/1000/S28)</f>
        <v>0.000169788024666013</v>
      </c>
      <c r="AD28" s="31" t="n">
        <f aca="false">IF(W28="","",IFERROR(IF(INDEX('Design Basis'!$C$13:$C$21,MATCH(C28,'Design Basis'!$A$13:$A$21,0))="","",INDEX('Design Basis'!$C$13:$C$21,MATCH(C28,'Design Basis'!$A$13:$A$21,0))),""))</f>
        <v>0.03</v>
      </c>
      <c r="AE28" s="32" t="str">
        <f aca="false">IF(W28="","n/a",IF(AA28="","CHECK",IF(AND(AB28&lt;=1,OR(AC28="",AD28="",AC28&lt;=AD28)),"OK","CHECK")))</f>
        <v>OK</v>
      </c>
      <c r="AF28" s="28" t="n">
        <f aca="false">IF(AR28="","",K28*AQ28*PI()/4*AR28^2)</f>
        <v>2922.46656600191</v>
      </c>
      <c r="AG28" s="32"/>
      <c r="AI28" s="33" t="n">
        <f aca="false">INDEX(Equipment!$D$2:$D$153,MATCH(E28,Equipment!$A$2:$A$153,0))</f>
        <v>36</v>
      </c>
      <c r="AJ28" s="33" t="n">
        <f aca="false">INDEX(Equipment!$E$2:$E$153,MATCH(E28,Equipment!$A$2:$A$153,0))</f>
        <v>52</v>
      </c>
      <c r="AK28" s="33" t="n">
        <f aca="false">INDEX(Equipment!$F$2:$F$153,MATCH(E28,Equipment!$A$2:$A$153,0))</f>
        <v>0.5</v>
      </c>
      <c r="AL28" s="33" t="n">
        <f aca="false">INDEX(Equipment!$D$2:$D$153,MATCH(G28,Equipment!$A$2:$A$153,0))</f>
        <v>88</v>
      </c>
      <c r="AM28" s="33" t="n">
        <f aca="false">INDEX(Equipment!$E$2:$E$153,MATCH(G28,Equipment!$A$2:$A$153,0))</f>
        <v>41</v>
      </c>
      <c r="AN28" s="33" t="n">
        <f aca="false">INDEX(Equipment!$F$2:$F$153,MATCH(G28,Equipment!$A$2:$A$153,0))</f>
        <v>0.5</v>
      </c>
      <c r="AO28" s="33" t="n">
        <f aca="false">IF(INDEX(Raceways!$D$2:$D$18,MATCH(L28,Raceways!$A$2:$A$18,0))="",0,INDEX(Raceways!$D$2:$D$18,MATCH(L28,Raceways!$A$2:$A$18,0)))</f>
        <v>5</v>
      </c>
      <c r="AP28" s="34" t="n">
        <f aca="false">IF(INDEX(Raceways!$I$2:$I$18,MATCH(L28,Raceways!$A$2:$A$18,0))="","",INDEX(Raceways!$I$2:$I$18,MATCH(L28,Raceways!$A$2:$A$18,0)))</f>
        <v>0.88</v>
      </c>
      <c r="AQ28" s="27" t="n">
        <f aca="false">INDEX('Cable Types'!$D$2:$D$45,MATCH(I28,'Cable Types'!$A$2:$A$45,0))</f>
        <v>1</v>
      </c>
      <c r="AR28" s="27" t="n">
        <f aca="false">IF(INDEX('Cable Types'!$E$2:$E$45,MATCH(I28,'Cable Types'!$A$2:$A$45,0))="","",INDEX('Cable Types'!$E$2:$E$45,MATCH(I28,'Cable Types'!$A$2:$A$45,0)))</f>
        <v>61</v>
      </c>
      <c r="AS28" s="27" t="n">
        <f aca="false">IF(INDEX('Cable Types'!$F$2:$F$45,MATCH(I28,'Cable Types'!$A$2:$A$45,0))="","",INDEX('Cable Types'!$F$2:$F$45,MATCH(I28,'Cable Types'!$A$2:$A$45,0)))</f>
        <v>165</v>
      </c>
      <c r="AT28" s="35" t="n">
        <f aca="false">IF(INDEX('Cable Types'!$G$2:$G$45,MATCH(I28,'Cable Types'!$A$2:$A$45,0))="","",INDEX('Cable Types'!$G$2:$G$45,MATCH(I28,'Cable Types'!$A$2:$A$45,0)))</f>
        <v>1.068</v>
      </c>
    </row>
    <row r="29" customFormat="false" ht="15" hidden="false" customHeight="false" outlineLevel="0" collapsed="false">
      <c r="A29" s="26" t="s">
        <v>744</v>
      </c>
      <c r="B29" s="26" t="s">
        <v>505</v>
      </c>
      <c r="C29" s="26" t="s">
        <v>71</v>
      </c>
      <c r="D29" s="26" t="s">
        <v>745</v>
      </c>
      <c r="E29" s="26" t="s">
        <v>503</v>
      </c>
      <c r="F29" s="27" t="str">
        <f aca="false">INDEX(Equipment!$B$2:$B$153,MATCH(E29,Equipment!$A$2:$A$153,0))</f>
        <v>Main 13.8 kV switchboard (main electrical building)</v>
      </c>
      <c r="G29" s="26" t="s">
        <v>509</v>
      </c>
      <c r="H29" s="27" t="str">
        <f aca="false">INDEX(Equipment!$B$2:$B$153,MATCH(G29,Equipment!$A$2:$A$153,0))</f>
        <v>Main LV transformer 13.8/0.48 kV 2.5 MVA</v>
      </c>
      <c r="I29" s="26" t="s">
        <v>558</v>
      </c>
      <c r="J29" s="27" t="str">
        <f aca="false">INDEX('Cable Types'!$B$2:$B$45,MATCH(I29,'Cable Types'!$A$2:$A$45,0))</f>
        <v>15 kV MV-105 3/C 1/0 AWG Cu EPR 133% shielded + GC, Type MC-HL, CCW Al armor (Armor-X type), PVC jkt</v>
      </c>
      <c r="K29" s="26" t="n">
        <v>1</v>
      </c>
      <c r="L29" s="26" t="s">
        <v>714</v>
      </c>
      <c r="M29" s="26" t="s">
        <v>703</v>
      </c>
      <c r="N29" s="26"/>
      <c r="O29" s="28" t="n">
        <f aca="false">IF(N29&lt;&gt;"",N29,IF(M29="D",ROUNDUP(SQRT((AL29-AI29)^2+(AM29-AJ29)^2+(AN29-AK29)^2)*(1+'Design Basis'!$C$6),0),ROUNDUP((ABS(AL29-AI29)+ABS(AM29-AJ29)+ABS(AO29-AK29)+ABS(AO29-AN29))*(1+'Design Basis'!$C$4)+2*'Design Basis'!$C$5,0)))</f>
        <v>15</v>
      </c>
      <c r="P29" s="28" t="n">
        <f aca="false">ROUND(O29*'Design Basis'!$C$10,0)</f>
        <v>49</v>
      </c>
      <c r="Q29" s="28" t="n">
        <f aca="false">O29*K29*AQ29</f>
        <v>15</v>
      </c>
      <c r="R29" s="28" t="n">
        <f aca="false">ROUND(Q29*'Design Basis'!$C$10,0)</f>
        <v>49</v>
      </c>
      <c r="S29" s="29" t="n">
        <v>13800</v>
      </c>
      <c r="T29" s="26" t="n">
        <v>3</v>
      </c>
      <c r="U29" s="29" t="n">
        <v>2500</v>
      </c>
      <c r="V29" s="30" t="n">
        <v>1</v>
      </c>
      <c r="W29" s="28" t="n">
        <f aca="false">IF(OR(U29="",S29=""),"",IF(T29=3,U29*1000/(SQRT(3)*S29*V29),U29*1000/(S29*V29)))</f>
        <v>104.592440070584</v>
      </c>
      <c r="X29" s="30" t="n">
        <v>1.25</v>
      </c>
      <c r="Y29" s="28" t="n">
        <f aca="false">IF(W29="","",W29*IF(X29="",1,X29))</f>
        <v>130.74055008823</v>
      </c>
      <c r="Z29" s="28" t="n">
        <f aca="false">IF(OR(AS29="",AP29=""),"",AS29*AP29)</f>
        <v>189.2</v>
      </c>
      <c r="AA29" s="28" t="n">
        <f aca="false">IF(Z29="","",Z29*K29)</f>
        <v>189.2</v>
      </c>
      <c r="AB29" s="31" t="n">
        <f aca="false">IF(OR(Y29="",AA29=""),"",Y29/AA29)</f>
        <v>0.691017706597413</v>
      </c>
      <c r="AC29" s="31" t="n">
        <f aca="false">IF(OR(W29="",AT29=""),"",AT29*(W29/K29)*O29/1000/S29)</f>
        <v>8.14002033592809E-005</v>
      </c>
      <c r="AD29" s="31" t="n">
        <f aca="false">IF(W29="","",IFERROR(IF(INDEX('Design Basis'!$C$13:$C$21,MATCH(C29,'Design Basis'!$A$13:$A$21,0))="","",INDEX('Design Basis'!$C$13:$C$21,MATCH(C29,'Design Basis'!$A$13:$A$21,0))),""))</f>
        <v>0.03</v>
      </c>
      <c r="AE29" s="32" t="str">
        <f aca="false">IF(W29="","n/a",IF(AA29="","CHECK",IF(AND(AB29&lt;=1,OR(AC29="",AD29="",AC29&lt;=AD29)),"OK","CHECK")))</f>
        <v>OK</v>
      </c>
      <c r="AF29" s="28" t="n">
        <f aca="false">IF(AR29="","",K29*AQ29*PI()/4*AR29^2)</f>
        <v>3421.19439975929</v>
      </c>
      <c r="AG29" s="32"/>
      <c r="AI29" s="33" t="n">
        <f aca="false">INDEX(Equipment!$D$2:$D$153,MATCH(E29,Equipment!$A$2:$A$153,0))</f>
        <v>36</v>
      </c>
      <c r="AJ29" s="33" t="n">
        <f aca="false">INDEX(Equipment!$E$2:$E$153,MATCH(E29,Equipment!$A$2:$A$153,0))</f>
        <v>52</v>
      </c>
      <c r="AK29" s="33" t="n">
        <f aca="false">INDEX(Equipment!$F$2:$F$153,MATCH(E29,Equipment!$A$2:$A$153,0))</f>
        <v>0.5</v>
      </c>
      <c r="AL29" s="33" t="n">
        <f aca="false">INDEX(Equipment!$D$2:$D$153,MATCH(G29,Equipment!$A$2:$A$153,0))</f>
        <v>34</v>
      </c>
      <c r="AM29" s="33" t="n">
        <f aca="false">INDEX(Equipment!$E$2:$E$153,MATCH(G29,Equipment!$A$2:$A$153,0))</f>
        <v>57</v>
      </c>
      <c r="AN29" s="33" t="n">
        <f aca="false">INDEX(Equipment!$F$2:$F$153,MATCH(G29,Equipment!$A$2:$A$153,0))</f>
        <v>0.5</v>
      </c>
      <c r="AO29" s="33" t="n">
        <f aca="false">IF(INDEX(Raceways!$D$2:$D$18,MATCH(L29,Raceways!$A$2:$A$18,0))="",0,INDEX(Raceways!$D$2:$D$18,MATCH(L29,Raceways!$A$2:$A$18,0)))</f>
        <v>1</v>
      </c>
      <c r="AP29" s="34" t="n">
        <f aca="false">IF(INDEX(Raceways!$I$2:$I$18,MATCH(L29,Raceways!$A$2:$A$18,0))="","",INDEX(Raceways!$I$2:$I$18,MATCH(L29,Raceways!$A$2:$A$18,0)))</f>
        <v>0.88</v>
      </c>
      <c r="AQ29" s="27" t="n">
        <f aca="false">INDEX('Cable Types'!$D$2:$D$45,MATCH(I29,'Cable Types'!$A$2:$A$45,0))</f>
        <v>1</v>
      </c>
      <c r="AR29" s="27" t="n">
        <f aca="false">IF(INDEX('Cable Types'!$E$2:$E$45,MATCH(I29,'Cable Types'!$A$2:$A$45,0))="","",INDEX('Cable Types'!$E$2:$E$45,MATCH(I29,'Cable Types'!$A$2:$A$45,0)))</f>
        <v>66</v>
      </c>
      <c r="AS29" s="27" t="n">
        <f aca="false">IF(INDEX('Cable Types'!$F$2:$F$45,MATCH(I29,'Cable Types'!$A$2:$A$45,0))="","",INDEX('Cable Types'!$F$2:$F$45,MATCH(I29,'Cable Types'!$A$2:$A$45,0)))</f>
        <v>215</v>
      </c>
      <c r="AT29" s="35" t="n">
        <f aca="false">IF(INDEX('Cable Types'!$G$2:$G$45,MATCH(I29,'Cable Types'!$A$2:$A$45,0))="","",INDEX('Cable Types'!$G$2:$G$45,MATCH(I29,'Cable Types'!$A$2:$A$45,0)))</f>
        <v>0.716</v>
      </c>
    </row>
    <row r="30" customFormat="false" ht="15" hidden="false" customHeight="false" outlineLevel="0" collapsed="false">
      <c r="A30" s="26" t="s">
        <v>746</v>
      </c>
      <c r="B30" s="26" t="s">
        <v>236</v>
      </c>
      <c r="C30" s="26" t="s">
        <v>71</v>
      </c>
      <c r="D30" s="26" t="s">
        <v>747</v>
      </c>
      <c r="E30" s="26" t="s">
        <v>503</v>
      </c>
      <c r="F30" s="27" t="str">
        <f aca="false">INDEX(Equipment!$B$2:$B$153,MATCH(E30,Equipment!$A$2:$A$153,0))</f>
        <v>Main 13.8 kV switchboard (main electrical building)</v>
      </c>
      <c r="G30" s="26" t="s">
        <v>234</v>
      </c>
      <c r="H30" s="27" t="str">
        <f aca="false">INDEX(Equipment!$B$2:$B$153,MATCH(G30,Equipment!$A$2:$A$153,0))</f>
        <v>ACC fan transformer 13.8/0.48 kV 3 MVA</v>
      </c>
      <c r="I30" s="26" t="s">
        <v>558</v>
      </c>
      <c r="J30" s="27" t="str">
        <f aca="false">INDEX('Cable Types'!$B$2:$B$45,MATCH(I30,'Cable Types'!$A$2:$A$45,0))</f>
        <v>15 kV MV-105 3/C 1/0 AWG Cu EPR 133% shielded + GC, Type MC-HL, CCW Al armor (Armor-X type), PVC jkt</v>
      </c>
      <c r="K30" s="26" t="n">
        <v>1</v>
      </c>
      <c r="L30" s="26" t="s">
        <v>724</v>
      </c>
      <c r="M30" s="26" t="s">
        <v>703</v>
      </c>
      <c r="N30" s="26"/>
      <c r="O30" s="28" t="n">
        <f aca="false">IF(N30&lt;&gt;"",N30,IF(M30="D",ROUNDUP(SQRT((AL30-AI30)^2+(AM30-AJ30)^2+(AN30-AK30)^2)*(1+'Design Basis'!$C$6),0),ROUNDUP((ABS(AL30-AI30)+ABS(AM30-AJ30)+ABS(AO30-AK30)+ABS(AO30-AN30))*(1+'Design Basis'!$C$4)+2*'Design Basis'!$C$5,0)))</f>
        <v>151</v>
      </c>
      <c r="P30" s="28" t="n">
        <f aca="false">ROUND(O30*'Design Basis'!$C$10,0)</f>
        <v>495</v>
      </c>
      <c r="Q30" s="28" t="n">
        <f aca="false">O30*K30*AQ30</f>
        <v>151</v>
      </c>
      <c r="R30" s="28" t="n">
        <f aca="false">ROUND(Q30*'Design Basis'!$C$10,0)</f>
        <v>495</v>
      </c>
      <c r="S30" s="29" t="n">
        <v>13800</v>
      </c>
      <c r="T30" s="26" t="n">
        <v>3</v>
      </c>
      <c r="U30" s="29" t="n">
        <v>3000</v>
      </c>
      <c r="V30" s="30" t="n">
        <v>1</v>
      </c>
      <c r="W30" s="28" t="n">
        <f aca="false">IF(OR(U30="",S30=""),"",IF(T30=3,U30*1000/(SQRT(3)*S30*V30),U30*1000/(S30*V30)))</f>
        <v>125.510928084701</v>
      </c>
      <c r="X30" s="30" t="n">
        <v>1.25</v>
      </c>
      <c r="Y30" s="28" t="n">
        <f aca="false">IF(W30="","",W30*IF(X30="",1,X30))</f>
        <v>156.888660105877</v>
      </c>
      <c r="Z30" s="28" t="n">
        <f aca="false">IF(OR(AS30="",AP30=""),"",AS30*AP30)</f>
        <v>189.2</v>
      </c>
      <c r="AA30" s="28" t="n">
        <f aca="false">IF(Z30="","",Z30*K30)</f>
        <v>189.2</v>
      </c>
      <c r="AB30" s="31" t="n">
        <f aca="false">IF(OR(Y30="",AA30=""),"",Y30/AA30)</f>
        <v>0.829221247916895</v>
      </c>
      <c r="AC30" s="31" t="n">
        <f aca="false">IF(OR(W30="",AT30=""),"",AT30*(W30/K30)*O30/1000/S30)</f>
        <v>0.000983314456580113</v>
      </c>
      <c r="AD30" s="31" t="n">
        <f aca="false">IF(W30="","",IFERROR(IF(INDEX('Design Basis'!$C$13:$C$21,MATCH(C30,'Design Basis'!$A$13:$A$21,0))="","",INDEX('Design Basis'!$C$13:$C$21,MATCH(C30,'Design Basis'!$A$13:$A$21,0))),""))</f>
        <v>0.03</v>
      </c>
      <c r="AE30" s="32" t="str">
        <f aca="false">IF(W30="","n/a",IF(AA30="","CHECK",IF(AND(AB30&lt;=1,OR(AC30="",AD30="",AC30&lt;=AD30)),"OK","CHECK")))</f>
        <v>OK</v>
      </c>
      <c r="AF30" s="28" t="n">
        <f aca="false">IF(AR30="","",K30*AQ30*PI()/4*AR30^2)</f>
        <v>3421.19439975929</v>
      </c>
      <c r="AG30" s="32"/>
      <c r="AI30" s="33" t="n">
        <f aca="false">INDEX(Equipment!$D$2:$D$153,MATCH(E30,Equipment!$A$2:$A$153,0))</f>
        <v>36</v>
      </c>
      <c r="AJ30" s="33" t="n">
        <f aca="false">INDEX(Equipment!$E$2:$E$153,MATCH(E30,Equipment!$A$2:$A$153,0))</f>
        <v>52</v>
      </c>
      <c r="AK30" s="33" t="n">
        <f aca="false">INDEX(Equipment!$F$2:$F$153,MATCH(E30,Equipment!$A$2:$A$153,0))</f>
        <v>0.5</v>
      </c>
      <c r="AL30" s="33" t="n">
        <f aca="false">INDEX(Equipment!$D$2:$D$153,MATCH(G30,Equipment!$A$2:$A$153,0))</f>
        <v>146</v>
      </c>
      <c r="AM30" s="33" t="n">
        <f aca="false">INDEX(Equipment!$E$2:$E$153,MATCH(G30,Equipment!$A$2:$A$153,0))</f>
        <v>40</v>
      </c>
      <c r="AN30" s="33" t="n">
        <f aca="false">INDEX(Equipment!$F$2:$F$153,MATCH(G30,Equipment!$A$2:$A$153,0))</f>
        <v>0.5</v>
      </c>
      <c r="AO30" s="33" t="n">
        <f aca="false">IF(INDEX(Raceways!$D$2:$D$18,MATCH(L30,Raceways!$A$2:$A$18,0))="",0,INDEX(Raceways!$D$2:$D$18,MATCH(L30,Raceways!$A$2:$A$18,0)))</f>
        <v>5</v>
      </c>
      <c r="AP30" s="34" t="n">
        <f aca="false">IF(INDEX(Raceways!$I$2:$I$18,MATCH(L30,Raceways!$A$2:$A$18,0))="","",INDEX(Raceways!$I$2:$I$18,MATCH(L30,Raceways!$A$2:$A$18,0)))</f>
        <v>0.88</v>
      </c>
      <c r="AQ30" s="27" t="n">
        <f aca="false">INDEX('Cable Types'!$D$2:$D$45,MATCH(I30,'Cable Types'!$A$2:$A$45,0))</f>
        <v>1</v>
      </c>
      <c r="AR30" s="27" t="n">
        <f aca="false">IF(INDEX('Cable Types'!$E$2:$E$45,MATCH(I30,'Cable Types'!$A$2:$A$45,0))="","",INDEX('Cable Types'!$E$2:$E$45,MATCH(I30,'Cable Types'!$A$2:$A$45,0)))</f>
        <v>66</v>
      </c>
      <c r="AS30" s="27" t="n">
        <f aca="false">IF(INDEX('Cable Types'!$F$2:$F$45,MATCH(I30,'Cable Types'!$A$2:$A$45,0))="","",INDEX('Cable Types'!$F$2:$F$45,MATCH(I30,'Cable Types'!$A$2:$A$45,0)))</f>
        <v>215</v>
      </c>
      <c r="AT30" s="35" t="n">
        <f aca="false">IF(INDEX('Cable Types'!$G$2:$G$45,MATCH(I30,'Cable Types'!$A$2:$A$45,0))="","",INDEX('Cable Types'!$G$2:$G$45,MATCH(I30,'Cable Types'!$A$2:$A$45,0)))</f>
        <v>0.716</v>
      </c>
    </row>
    <row r="31" customFormat="false" ht="15" hidden="false" customHeight="false" outlineLevel="0" collapsed="false">
      <c r="A31" s="26" t="s">
        <v>748</v>
      </c>
      <c r="B31" s="26" t="s">
        <v>449</v>
      </c>
      <c r="C31" s="26" t="s">
        <v>71</v>
      </c>
      <c r="D31" s="26" t="s">
        <v>749</v>
      </c>
      <c r="E31" s="26" t="s">
        <v>503</v>
      </c>
      <c r="F31" s="27" t="str">
        <f aca="false">INDEX(Equipment!$B$2:$B$153,MATCH(E31,Equipment!$A$2:$A$153,0))</f>
        <v>Main 13.8 kV switchboard (main electrical building)</v>
      </c>
      <c r="G31" s="26" t="s">
        <v>470</v>
      </c>
      <c r="H31" s="27" t="str">
        <f aca="false">INDEX(Equipment!$B$2:$B$153,MATCH(G31,Equipment!$A$2:$A$153,0))</f>
        <v>Gas station transformer 13.8/0.48 kV 1.6 MVA</v>
      </c>
      <c r="I31" s="26" t="s">
        <v>556</v>
      </c>
      <c r="J31" s="27" t="str">
        <f aca="false">INDEX('Cable Types'!$B$2:$B$45,MATCH(I31,'Cable Types'!$A$2:$A$45,0))</f>
        <v>15 kV MV-105 3/C #2 AWG Cu EPR 133% shielded + GC, Type MC-HL, CCW Al armor (Armor-X type), PVC jkt</v>
      </c>
      <c r="K31" s="26" t="n">
        <v>1</v>
      </c>
      <c r="L31" s="26" t="s">
        <v>750</v>
      </c>
      <c r="M31" s="26" t="s">
        <v>703</v>
      </c>
      <c r="N31" s="26"/>
      <c r="O31" s="28" t="n">
        <f aca="false">IF(N31&lt;&gt;"",N31,IF(M31="D",ROUNDUP(SQRT((AL31-AI31)^2+(AM31-AJ31)^2+(AN31-AK31)^2)*(1+'Design Basis'!$C$6),0),ROUNDUP((ABS(AL31-AI31)+ABS(AM31-AJ31)+ABS(AO31-AK31)+ABS(AO31-AN31))*(1+'Design Basis'!$C$4)+2*'Design Basis'!$C$5,0)))</f>
        <v>109</v>
      </c>
      <c r="P31" s="28" t="n">
        <f aca="false">ROUND(O31*'Design Basis'!$C$10,0)</f>
        <v>358</v>
      </c>
      <c r="Q31" s="28" t="n">
        <f aca="false">O31*K31*AQ31</f>
        <v>109</v>
      </c>
      <c r="R31" s="28" t="n">
        <f aca="false">ROUND(Q31*'Design Basis'!$C$10,0)</f>
        <v>358</v>
      </c>
      <c r="S31" s="29" t="n">
        <v>13800</v>
      </c>
      <c r="T31" s="26" t="n">
        <v>3</v>
      </c>
      <c r="U31" s="29" t="n">
        <v>1600</v>
      </c>
      <c r="V31" s="30" t="n">
        <v>1</v>
      </c>
      <c r="W31" s="28" t="n">
        <f aca="false">IF(OR(U31="",S31=""),"",IF(T31=3,U31*1000/(SQRT(3)*S31*V31),U31*1000/(S31*V31)))</f>
        <v>66.939161645174</v>
      </c>
      <c r="X31" s="30" t="n">
        <v>1.25</v>
      </c>
      <c r="Y31" s="28" t="n">
        <f aca="false">IF(W31="","",W31*IF(X31="",1,X31))</f>
        <v>83.6739520564675</v>
      </c>
      <c r="Z31" s="28" t="n">
        <f aca="false">IF(OR(AS31="",AP31=""),"",AS31*AP31)</f>
        <v>145.2</v>
      </c>
      <c r="AA31" s="28" t="n">
        <f aca="false">IF(Z31="","",Z31*K31)</f>
        <v>145.2</v>
      </c>
      <c r="AB31" s="31" t="n">
        <f aca="false">IF(OR(Y31="",AA31=""),"",Y31/AA31)</f>
        <v>0.576266887441236</v>
      </c>
      <c r="AC31" s="31" t="n">
        <f aca="false">IF(OR(W31="",AT31=""),"",AT31*(W31/K31)*O31/1000/S31)</f>
        <v>0.000564675484452029</v>
      </c>
      <c r="AD31" s="31" t="n">
        <f aca="false">IF(W31="","",IFERROR(IF(INDEX('Design Basis'!$C$13:$C$21,MATCH(C31,'Design Basis'!$A$13:$A$21,0))="","",INDEX('Design Basis'!$C$13:$C$21,MATCH(C31,'Design Basis'!$A$13:$A$21,0))),""))</f>
        <v>0.03</v>
      </c>
      <c r="AE31" s="32" t="str">
        <f aca="false">IF(W31="","n/a",IF(AA31="","CHECK",IF(AND(AB31&lt;=1,OR(AC31="",AD31="",AC31&lt;=AD31)),"OK","CHECK")))</f>
        <v>OK</v>
      </c>
      <c r="AF31" s="28" t="n">
        <f aca="false">IF(AR31="","",K31*AQ31*PI()/4*AR31^2)</f>
        <v>2922.46656600191</v>
      </c>
      <c r="AG31" s="32"/>
      <c r="AI31" s="33" t="n">
        <f aca="false">INDEX(Equipment!$D$2:$D$153,MATCH(E31,Equipment!$A$2:$A$153,0))</f>
        <v>36</v>
      </c>
      <c r="AJ31" s="33" t="n">
        <f aca="false">INDEX(Equipment!$E$2:$E$153,MATCH(E31,Equipment!$A$2:$A$153,0))</f>
        <v>52</v>
      </c>
      <c r="AK31" s="33" t="n">
        <f aca="false">INDEX(Equipment!$F$2:$F$153,MATCH(E31,Equipment!$A$2:$A$153,0))</f>
        <v>0.5</v>
      </c>
      <c r="AL31" s="33" t="n">
        <f aca="false">INDEX(Equipment!$D$2:$D$153,MATCH(G31,Equipment!$A$2:$A$153,0))</f>
        <v>-12</v>
      </c>
      <c r="AM31" s="33" t="n">
        <f aca="false">INDEX(Equipment!$E$2:$E$153,MATCH(G31,Equipment!$A$2:$A$153,0))</f>
        <v>16</v>
      </c>
      <c r="AN31" s="33" t="n">
        <f aca="false">INDEX(Equipment!$F$2:$F$153,MATCH(G31,Equipment!$A$2:$A$153,0))</f>
        <v>0.5</v>
      </c>
      <c r="AO31" s="33" t="n">
        <f aca="false">IF(INDEX(Raceways!$D$2:$D$18,MATCH(L31,Raceways!$A$2:$A$18,0))="",0,INDEX(Raceways!$D$2:$D$18,MATCH(L31,Raceways!$A$2:$A$18,0)))</f>
        <v>5</v>
      </c>
      <c r="AP31" s="34" t="n">
        <f aca="false">IF(INDEX(Raceways!$I$2:$I$18,MATCH(L31,Raceways!$A$2:$A$18,0))="","",INDEX(Raceways!$I$2:$I$18,MATCH(L31,Raceways!$A$2:$A$18,0)))</f>
        <v>0.88</v>
      </c>
      <c r="AQ31" s="27" t="n">
        <f aca="false">INDEX('Cable Types'!$D$2:$D$45,MATCH(I31,'Cable Types'!$A$2:$A$45,0))</f>
        <v>1</v>
      </c>
      <c r="AR31" s="27" t="n">
        <f aca="false">IF(INDEX('Cable Types'!$E$2:$E$45,MATCH(I31,'Cable Types'!$A$2:$A$45,0))="","",INDEX('Cable Types'!$E$2:$E$45,MATCH(I31,'Cable Types'!$A$2:$A$45,0)))</f>
        <v>61</v>
      </c>
      <c r="AS31" s="27" t="n">
        <f aca="false">IF(INDEX('Cable Types'!$F$2:$F$45,MATCH(I31,'Cable Types'!$A$2:$A$45,0))="","",INDEX('Cable Types'!$F$2:$F$45,MATCH(I31,'Cable Types'!$A$2:$A$45,0)))</f>
        <v>165</v>
      </c>
      <c r="AT31" s="35" t="n">
        <f aca="false">IF(INDEX('Cable Types'!$G$2:$G$45,MATCH(I31,'Cable Types'!$A$2:$A$45,0))="","",INDEX('Cable Types'!$G$2:$G$45,MATCH(I31,'Cable Types'!$A$2:$A$45,0)))</f>
        <v>1.068</v>
      </c>
    </row>
    <row r="32" customFormat="false" ht="15" hidden="false" customHeight="false" outlineLevel="0" collapsed="false">
      <c r="A32" s="26" t="s">
        <v>751</v>
      </c>
      <c r="B32" s="26" t="s">
        <v>449</v>
      </c>
      <c r="C32" s="26" t="s">
        <v>71</v>
      </c>
      <c r="D32" s="26" t="s">
        <v>752</v>
      </c>
      <c r="E32" s="26" t="s">
        <v>503</v>
      </c>
      <c r="F32" s="27" t="str">
        <f aca="false">INDEX(Equipment!$B$2:$B$153,MATCH(E32,Equipment!$A$2:$A$153,0))</f>
        <v>Main 13.8 kV switchboard (main electrical building)</v>
      </c>
      <c r="G32" s="26" t="s">
        <v>459</v>
      </c>
      <c r="H32" s="27" t="str">
        <f aca="false">INDEX(Equipment!$B$2:$B$153,MATCH(G32,Equipment!$A$2:$A$153,0))</f>
        <v>Boil-off gas compressor motor 900 kW, 13.8 kV</v>
      </c>
      <c r="I32" s="26" t="s">
        <v>556</v>
      </c>
      <c r="J32" s="27" t="str">
        <f aca="false">INDEX('Cable Types'!$B$2:$B$45,MATCH(I32,'Cable Types'!$A$2:$A$45,0))</f>
        <v>15 kV MV-105 3/C #2 AWG Cu EPR 133% shielded + GC, Type MC-HL, CCW Al armor (Armor-X type), PVC jkt</v>
      </c>
      <c r="K32" s="26" t="n">
        <v>1</v>
      </c>
      <c r="L32" s="26" t="s">
        <v>750</v>
      </c>
      <c r="M32" s="26" t="s">
        <v>703</v>
      </c>
      <c r="N32" s="26"/>
      <c r="O32" s="28" t="n">
        <f aca="false">IF(N32&lt;&gt;"",N32,IF(M32="D",ROUNDUP(SQRT((AL32-AI32)^2+(AM32-AJ32)^2+(AN32-AK32)^2)*(1+'Design Basis'!$C$6),0),ROUNDUP((ABS(AL32-AI32)+ABS(AM32-AJ32)+ABS(AO32-AK32)+ABS(AO32-AN32))*(1+'Design Basis'!$C$4)+2*'Design Basis'!$C$5,0)))</f>
        <v>135</v>
      </c>
      <c r="P32" s="28" t="n">
        <f aca="false">ROUND(O32*'Design Basis'!$C$10,0)</f>
        <v>443</v>
      </c>
      <c r="Q32" s="28" t="n">
        <f aca="false">O32*K32*AQ32</f>
        <v>135</v>
      </c>
      <c r="R32" s="28" t="n">
        <f aca="false">ROUND(Q32*'Design Basis'!$C$10,0)</f>
        <v>443</v>
      </c>
      <c r="S32" s="29" t="n">
        <v>13800</v>
      </c>
      <c r="T32" s="26" t="n">
        <v>3</v>
      </c>
      <c r="U32" s="29" t="n">
        <v>900</v>
      </c>
      <c r="V32" s="30" t="n">
        <v>0.82</v>
      </c>
      <c r="W32" s="28" t="n">
        <f aca="false">IF(OR(U32="",S32=""),"",IF(T32=3,U32*1000/(SQRT(3)*S32*V32),U32*1000/(S32*V32)))</f>
        <v>45.9186322261102</v>
      </c>
      <c r="X32" s="30" t="n">
        <v>1.25</v>
      </c>
      <c r="Y32" s="28" t="n">
        <f aca="false">IF(W32="","",W32*IF(X32="",1,X32))</f>
        <v>57.3982902826378</v>
      </c>
      <c r="Z32" s="28" t="n">
        <f aca="false">IF(OR(AS32="",AP32=""),"",AS32*AP32)</f>
        <v>145.2</v>
      </c>
      <c r="AA32" s="28" t="n">
        <f aca="false">IF(Z32="","",Z32*K32)</f>
        <v>145.2</v>
      </c>
      <c r="AB32" s="31" t="n">
        <f aca="false">IF(OR(Y32="",AA32=""),"",Y32/AA32)</f>
        <v>0.395305029494751</v>
      </c>
      <c r="AC32" s="31" t="n">
        <f aca="false">IF(OR(W32="",AT32=""),"",AT32*(W32/K32)*O32/1000/S32)</f>
        <v>0.000479749883649317</v>
      </c>
      <c r="AD32" s="31" t="n">
        <f aca="false">IF(W32="","",IFERROR(IF(INDEX('Design Basis'!$C$13:$C$21,MATCH(C32,'Design Basis'!$A$13:$A$21,0))="","",INDEX('Design Basis'!$C$13:$C$21,MATCH(C32,'Design Basis'!$A$13:$A$21,0))),""))</f>
        <v>0.03</v>
      </c>
      <c r="AE32" s="32" t="str">
        <f aca="false">IF(W32="","n/a",IF(AA32="","CHECK",IF(AND(AB32&lt;=1,OR(AC32="",AD32="",AC32&lt;=AD32)),"OK","CHECK")))</f>
        <v>OK</v>
      </c>
      <c r="AF32" s="28" t="n">
        <f aca="false">IF(AR32="","",K32*AQ32*PI()/4*AR32^2)</f>
        <v>2922.46656600191</v>
      </c>
      <c r="AG32" s="32" t="s">
        <v>753</v>
      </c>
      <c r="AI32" s="33" t="n">
        <f aca="false">INDEX(Equipment!$D$2:$D$153,MATCH(E32,Equipment!$A$2:$A$153,0))</f>
        <v>36</v>
      </c>
      <c r="AJ32" s="33" t="n">
        <f aca="false">INDEX(Equipment!$E$2:$E$153,MATCH(E32,Equipment!$A$2:$A$153,0))</f>
        <v>52</v>
      </c>
      <c r="AK32" s="33" t="n">
        <f aca="false">INDEX(Equipment!$F$2:$F$153,MATCH(E32,Equipment!$A$2:$A$153,0))</f>
        <v>0.5</v>
      </c>
      <c r="AL32" s="33" t="n">
        <f aca="false">INDEX(Equipment!$D$2:$D$153,MATCH(G32,Equipment!$A$2:$A$153,0))</f>
        <v>-45</v>
      </c>
      <c r="AM32" s="33" t="n">
        <f aca="false">INDEX(Equipment!$E$2:$E$153,MATCH(G32,Equipment!$A$2:$A$153,0))</f>
        <v>25</v>
      </c>
      <c r="AN32" s="33" t="n">
        <f aca="false">INDEX(Equipment!$F$2:$F$153,MATCH(G32,Equipment!$A$2:$A$153,0))</f>
        <v>0.5</v>
      </c>
      <c r="AO32" s="33" t="n">
        <f aca="false">IF(INDEX(Raceways!$D$2:$D$18,MATCH(L32,Raceways!$A$2:$A$18,0))="",0,INDEX(Raceways!$D$2:$D$18,MATCH(L32,Raceways!$A$2:$A$18,0)))</f>
        <v>5</v>
      </c>
      <c r="AP32" s="34" t="n">
        <f aca="false">IF(INDEX(Raceways!$I$2:$I$18,MATCH(L32,Raceways!$A$2:$A$18,0))="","",INDEX(Raceways!$I$2:$I$18,MATCH(L32,Raceways!$A$2:$A$18,0)))</f>
        <v>0.88</v>
      </c>
      <c r="AQ32" s="27" t="n">
        <f aca="false">INDEX('Cable Types'!$D$2:$D$45,MATCH(I32,'Cable Types'!$A$2:$A$45,0))</f>
        <v>1</v>
      </c>
      <c r="AR32" s="27" t="n">
        <f aca="false">IF(INDEX('Cable Types'!$E$2:$E$45,MATCH(I32,'Cable Types'!$A$2:$A$45,0))="","",INDEX('Cable Types'!$E$2:$E$45,MATCH(I32,'Cable Types'!$A$2:$A$45,0)))</f>
        <v>61</v>
      </c>
      <c r="AS32" s="27" t="n">
        <f aca="false">IF(INDEX('Cable Types'!$F$2:$F$45,MATCH(I32,'Cable Types'!$A$2:$A$45,0))="","",INDEX('Cable Types'!$F$2:$F$45,MATCH(I32,'Cable Types'!$A$2:$A$45,0)))</f>
        <v>165</v>
      </c>
      <c r="AT32" s="35" t="n">
        <f aca="false">IF(INDEX('Cable Types'!$G$2:$G$45,MATCH(I32,'Cable Types'!$A$2:$A$45,0))="","",INDEX('Cable Types'!$G$2:$G$45,MATCH(I32,'Cable Types'!$A$2:$A$45,0)))</f>
        <v>1.068</v>
      </c>
    </row>
    <row r="33" customFormat="false" ht="15" hidden="false" customHeight="false" outlineLevel="0" collapsed="false">
      <c r="A33" s="26" t="s">
        <v>754</v>
      </c>
      <c r="B33" s="26" t="s">
        <v>133</v>
      </c>
      <c r="C33" s="26" t="s">
        <v>71</v>
      </c>
      <c r="D33" s="26" t="s">
        <v>755</v>
      </c>
      <c r="E33" s="26" t="s">
        <v>395</v>
      </c>
      <c r="F33" s="27" t="str">
        <f aca="false">INDEX(Equipment!$B$2:$B$153,MATCH(E33,Equipment!$A$2:$A$153,0))</f>
        <v>RICE 13.8 kV collector switchgear e-house</v>
      </c>
      <c r="G33" s="26" t="s">
        <v>503</v>
      </c>
      <c r="H33" s="27" t="str">
        <f aca="false">INDEX(Equipment!$B$2:$B$153,MATCH(G33,Equipment!$A$2:$A$153,0))</f>
        <v>Main 13.8 kV switchboard (main electrical building)</v>
      </c>
      <c r="I33" s="26" t="s">
        <v>564</v>
      </c>
      <c r="J33" s="27" t="str">
        <f aca="false">INDEX('Cable Types'!$B$2:$B$45,MATCH(I33,'Cable Types'!$A$2:$A$45,0))</f>
        <v>15 kV MV-105 1/C 500 kcmil Cu EPR 133% shielded, Type MC-HL, CCW Al armor (Armor-X type), PVC jkt, triplexed set</v>
      </c>
      <c r="K33" s="26" t="n">
        <v>2</v>
      </c>
      <c r="L33" s="26" t="s">
        <v>756</v>
      </c>
      <c r="M33" s="26" t="s">
        <v>703</v>
      </c>
      <c r="N33" s="26"/>
      <c r="O33" s="28" t="n">
        <f aca="false">IF(N33&lt;&gt;"",N33,IF(M33="D",ROUNDUP(SQRT((AL33-AI33)^2+(AM33-AJ33)^2+(AN33-AK33)^2)*(1+'Design Basis'!$C$6),0),ROUNDUP((ABS(AL33-AI33)+ABS(AM33-AJ33)+ABS(AO33-AK33)+ABS(AO33-AN33))*(1+'Design Basis'!$C$4)+2*'Design Basis'!$C$5,0)))</f>
        <v>88</v>
      </c>
      <c r="P33" s="28" t="n">
        <f aca="false">ROUND(O33*'Design Basis'!$C$10,0)</f>
        <v>289</v>
      </c>
      <c r="Q33" s="28" t="n">
        <f aca="false">O33*K33*AQ33</f>
        <v>528</v>
      </c>
      <c r="R33" s="28" t="n">
        <f aca="false">ROUND(Q33*'Design Basis'!$C$10,0)</f>
        <v>1732</v>
      </c>
      <c r="S33" s="29" t="n">
        <v>13800</v>
      </c>
      <c r="T33" s="26" t="n">
        <v>3</v>
      </c>
      <c r="U33" s="29" t="n">
        <v>10000</v>
      </c>
      <c r="V33" s="30" t="n">
        <v>1</v>
      </c>
      <c r="W33" s="28" t="n">
        <f aca="false">IF(OR(U33="",S33=""),"",IF(T33=3,U33*1000/(SQRT(3)*S33*V33),U33*1000/(S33*V33)))</f>
        <v>418.369760282338</v>
      </c>
      <c r="X33" s="30" t="n">
        <v>1</v>
      </c>
      <c r="Y33" s="28" t="n">
        <f aca="false">IF(W33="","",W33*IF(X33="",1,X33))</f>
        <v>418.369760282338</v>
      </c>
      <c r="Z33" s="28" t="n">
        <f aca="false">IF(OR(AS33="",AP33=""),"",AS33*AP33)</f>
        <v>409.5</v>
      </c>
      <c r="AA33" s="28" t="n">
        <f aca="false">IF(Z33="","",Z33*K33)</f>
        <v>819</v>
      </c>
      <c r="AB33" s="31" t="n">
        <f aca="false">IF(OR(Y33="",AA33=""),"",Y33/AA33)</f>
        <v>0.510829988134722</v>
      </c>
      <c r="AC33" s="31" t="n">
        <f aca="false">IF(OR(W33="",AT33=""),"",AT33*(W33/K33)*O33/1000/S33)</f>
        <v>0.000341486737668134</v>
      </c>
      <c r="AD33" s="31" t="n">
        <f aca="false">IF(W33="","",IFERROR(IF(INDEX('Design Basis'!$C$13:$C$21,MATCH(C33,'Design Basis'!$A$13:$A$21,0))="","",INDEX('Design Basis'!$C$13:$C$21,MATCH(C33,'Design Basis'!$A$13:$A$21,0))),""))</f>
        <v>0.03</v>
      </c>
      <c r="AE33" s="32" t="str">
        <f aca="false">IF(W33="","n/a",IF(AA33="","CHECK",IF(AND(AB33&lt;=1,OR(AC33="",AD33="",AC33&lt;=AD33)),"OK","CHECK")))</f>
        <v>OK</v>
      </c>
      <c r="AF33" s="28" t="n">
        <f aca="false">IF(AR33="","",K33*AQ33*PI()/4*AR33^2)</f>
        <v>7921.52587602666</v>
      </c>
      <c r="AG33" s="32"/>
      <c r="AI33" s="33" t="n">
        <f aca="false">INDEX(Equipment!$D$2:$D$153,MATCH(E33,Equipment!$A$2:$A$153,0))</f>
        <v>12</v>
      </c>
      <c r="AJ33" s="33" t="n">
        <f aca="false">INDEX(Equipment!$E$2:$E$153,MATCH(E33,Equipment!$A$2:$A$153,0))</f>
        <v>99</v>
      </c>
      <c r="AK33" s="33" t="n">
        <f aca="false">INDEX(Equipment!$F$2:$F$153,MATCH(E33,Equipment!$A$2:$A$153,0))</f>
        <v>0.5</v>
      </c>
      <c r="AL33" s="33" t="n">
        <f aca="false">INDEX(Equipment!$D$2:$D$153,MATCH(G33,Equipment!$A$2:$A$153,0))</f>
        <v>36</v>
      </c>
      <c r="AM33" s="33" t="n">
        <f aca="false">INDEX(Equipment!$E$2:$E$153,MATCH(G33,Equipment!$A$2:$A$153,0))</f>
        <v>52</v>
      </c>
      <c r="AN33" s="33" t="n">
        <f aca="false">INDEX(Equipment!$F$2:$F$153,MATCH(G33,Equipment!$A$2:$A$153,0))</f>
        <v>0.5</v>
      </c>
      <c r="AO33" s="33" t="n">
        <f aca="false">IF(INDEX(Raceways!$D$2:$D$18,MATCH(L33,Raceways!$A$2:$A$18,0))="",0,INDEX(Raceways!$D$2:$D$18,MATCH(L33,Raceways!$A$2:$A$18,0)))</f>
        <v>-1.2</v>
      </c>
      <c r="AP33" s="34" t="n">
        <f aca="false">IF(INDEX(Raceways!$I$2:$I$18,MATCH(L33,Raceways!$A$2:$A$18,0))="","",INDEX(Raceways!$I$2:$I$18,MATCH(L33,Raceways!$A$2:$A$18,0)))</f>
        <v>0.7</v>
      </c>
      <c r="AQ33" s="27" t="n">
        <f aca="false">INDEX('Cable Types'!$D$2:$D$45,MATCH(I33,'Cable Types'!$A$2:$A$45,0))</f>
        <v>3</v>
      </c>
      <c r="AR33" s="27" t="n">
        <f aca="false">IF(INDEX('Cable Types'!$E$2:$E$45,MATCH(I33,'Cable Types'!$A$2:$A$45,0))="","",INDEX('Cable Types'!$E$2:$E$45,MATCH(I33,'Cable Types'!$A$2:$A$45,0)))</f>
        <v>41</v>
      </c>
      <c r="AS33" s="27" t="n">
        <f aca="false">IF(INDEX('Cable Types'!$F$2:$F$45,MATCH(I33,'Cable Types'!$A$2:$A$45,0))="","",INDEX('Cable Types'!$F$2:$F$45,MATCH(I33,'Cable Types'!$A$2:$A$45,0)))</f>
        <v>585</v>
      </c>
      <c r="AT33" s="35" t="n">
        <f aca="false">IF(INDEX('Cable Types'!$G$2:$G$45,MATCH(I33,'Cable Types'!$A$2:$A$45,0))="","",INDEX('Cable Types'!$G$2:$G$45,MATCH(I33,'Cable Types'!$A$2:$A$45,0)))</f>
        <v>0.256</v>
      </c>
    </row>
    <row r="34" customFormat="false" ht="15" hidden="false" customHeight="false" outlineLevel="0" collapsed="false">
      <c r="A34" s="26" t="s">
        <v>757</v>
      </c>
      <c r="B34" s="26" t="s">
        <v>336</v>
      </c>
      <c r="C34" s="26" t="s">
        <v>71</v>
      </c>
      <c r="D34" s="26" t="s">
        <v>758</v>
      </c>
      <c r="E34" s="26" t="s">
        <v>334</v>
      </c>
      <c r="F34" s="27" t="str">
        <f aca="false">INDEX(Equipment!$B$2:$B$153,MATCH(E34,Equipment!$A$2:$A$153,0))</f>
        <v>CCS 13.8 kV switchboard (CCS substation)</v>
      </c>
      <c r="G34" s="26" t="s">
        <v>345</v>
      </c>
      <c r="H34" s="27" t="str">
        <f aca="false">INDEX(Equipment!$B$2:$B$153,MATCH(G34,Equipment!$A$2:$A$153,0))</f>
        <v>Flue gas booster fan motor 6.5 MW, 13.8 kV</v>
      </c>
      <c r="I34" s="26" t="s">
        <v>564</v>
      </c>
      <c r="J34" s="27" t="str">
        <f aca="false">INDEX('Cable Types'!$B$2:$B$45,MATCH(I34,'Cable Types'!$A$2:$A$45,0))</f>
        <v>15 kV MV-105 1/C 500 kcmil Cu EPR 133% shielded, Type MC-HL, CCW Al armor (Armor-X type), PVC jkt, triplexed set</v>
      </c>
      <c r="K34" s="26" t="n">
        <v>1</v>
      </c>
      <c r="L34" s="26" t="s">
        <v>759</v>
      </c>
      <c r="M34" s="26" t="s">
        <v>703</v>
      </c>
      <c r="N34" s="26"/>
      <c r="O34" s="28" t="n">
        <f aca="false">IF(N34&lt;&gt;"",N34,IF(M34="D",ROUNDUP(SQRT((AL34-AI34)^2+(AM34-AJ34)^2+(AN34-AK34)^2)*(1+'Design Basis'!$C$6),0),ROUNDUP((ABS(AL34-AI34)+ABS(AM34-AJ34)+ABS(AO34-AK34)+ABS(AO34-AN34))*(1+'Design Basis'!$C$4)+2*'Design Basis'!$C$5,0)))</f>
        <v>118</v>
      </c>
      <c r="P34" s="28" t="n">
        <f aca="false">ROUND(O34*'Design Basis'!$C$10,0)</f>
        <v>387</v>
      </c>
      <c r="Q34" s="28" t="n">
        <f aca="false">O34*K34*AQ34</f>
        <v>354</v>
      </c>
      <c r="R34" s="28" t="n">
        <f aca="false">ROUND(Q34*'Design Basis'!$C$10,0)</f>
        <v>1161</v>
      </c>
      <c r="S34" s="29" t="n">
        <v>13800</v>
      </c>
      <c r="T34" s="26" t="n">
        <v>3</v>
      </c>
      <c r="U34" s="29" t="n">
        <v>6500</v>
      </c>
      <c r="V34" s="30" t="n">
        <v>0.86</v>
      </c>
      <c r="W34" s="28" t="n">
        <f aca="false">IF(OR(U34="",S34=""),"",IF(T34=3,U34*1000/(SQRT(3)*S34*V34),U34*1000/(S34*V34)))</f>
        <v>316.209702538976</v>
      </c>
      <c r="X34" s="30" t="n">
        <v>1.25</v>
      </c>
      <c r="Y34" s="28" t="n">
        <f aca="false">IF(W34="","",W34*IF(X34="",1,X34))</f>
        <v>395.26212817372</v>
      </c>
      <c r="Z34" s="28" t="n">
        <f aca="false">IF(OR(AS34="",AP34=""),"",AS34*AP34)</f>
        <v>514.8</v>
      </c>
      <c r="AA34" s="28" t="n">
        <f aca="false">IF(Z34="","",Z34*K34)</f>
        <v>514.8</v>
      </c>
      <c r="AB34" s="31" t="n">
        <f aca="false">IF(OR(Y34="",AA34=""),"",Y34/AA34)</f>
        <v>0.767797451774903</v>
      </c>
      <c r="AC34" s="31" t="n">
        <f aca="false">IF(OR(W34="",AT34=""),"",AT34*(W34/K34)*O34/1000/S34)</f>
        <v>0.000692178456108506</v>
      </c>
      <c r="AD34" s="31" t="n">
        <f aca="false">IF(W34="","",IFERROR(IF(INDEX('Design Basis'!$C$13:$C$21,MATCH(C34,'Design Basis'!$A$13:$A$21,0))="","",INDEX('Design Basis'!$C$13:$C$21,MATCH(C34,'Design Basis'!$A$13:$A$21,0))),""))</f>
        <v>0.03</v>
      </c>
      <c r="AE34" s="32" t="str">
        <f aca="false">IF(W34="","n/a",IF(AA34="","CHECK",IF(AND(AB34&lt;=1,OR(AC34="",AD34="",AC34&lt;=AD34)),"OK","CHECK")))</f>
        <v>OK</v>
      </c>
      <c r="AF34" s="28" t="n">
        <f aca="false">IF(AR34="","",K34*AQ34*PI()/4*AR34^2)</f>
        <v>3960.76293801333</v>
      </c>
      <c r="AG34" s="32" t="s">
        <v>760</v>
      </c>
      <c r="AI34" s="33" t="n">
        <f aca="false">INDEX(Equipment!$D$2:$D$153,MATCH(E34,Equipment!$A$2:$A$153,0))</f>
        <v>178</v>
      </c>
      <c r="AJ34" s="33" t="n">
        <f aca="false">INDEX(Equipment!$E$2:$E$153,MATCH(E34,Equipment!$A$2:$A$153,0))</f>
        <v>58</v>
      </c>
      <c r="AK34" s="33" t="n">
        <f aca="false">INDEX(Equipment!$F$2:$F$153,MATCH(E34,Equipment!$A$2:$A$153,0))</f>
        <v>0.5</v>
      </c>
      <c r="AL34" s="33" t="n">
        <f aca="false">INDEX(Equipment!$D$2:$D$153,MATCH(G34,Equipment!$A$2:$A$153,0))</f>
        <v>150</v>
      </c>
      <c r="AM34" s="33" t="n">
        <f aca="false">INDEX(Equipment!$E$2:$E$153,MATCH(G34,Equipment!$A$2:$A$153,0))</f>
        <v>-4</v>
      </c>
      <c r="AN34" s="33" t="n">
        <f aca="false">INDEX(Equipment!$F$2:$F$153,MATCH(G34,Equipment!$A$2:$A$153,0))</f>
        <v>0.5</v>
      </c>
      <c r="AO34" s="33" t="n">
        <f aca="false">IF(INDEX(Raceways!$D$2:$D$18,MATCH(L34,Raceways!$A$2:$A$18,0))="",0,INDEX(Raceways!$D$2:$D$18,MATCH(L34,Raceways!$A$2:$A$18,0)))</f>
        <v>6</v>
      </c>
      <c r="AP34" s="34" t="n">
        <f aca="false">IF(INDEX(Raceways!$I$2:$I$18,MATCH(L34,Raceways!$A$2:$A$18,0))="","",INDEX(Raceways!$I$2:$I$18,MATCH(L34,Raceways!$A$2:$A$18,0)))</f>
        <v>0.88</v>
      </c>
      <c r="AQ34" s="27" t="n">
        <f aca="false">INDEX('Cable Types'!$D$2:$D$45,MATCH(I34,'Cable Types'!$A$2:$A$45,0))</f>
        <v>3</v>
      </c>
      <c r="AR34" s="27" t="n">
        <f aca="false">IF(INDEX('Cable Types'!$E$2:$E$45,MATCH(I34,'Cable Types'!$A$2:$A$45,0))="","",INDEX('Cable Types'!$E$2:$E$45,MATCH(I34,'Cable Types'!$A$2:$A$45,0)))</f>
        <v>41</v>
      </c>
      <c r="AS34" s="27" t="n">
        <f aca="false">IF(INDEX('Cable Types'!$F$2:$F$45,MATCH(I34,'Cable Types'!$A$2:$A$45,0))="","",INDEX('Cable Types'!$F$2:$F$45,MATCH(I34,'Cable Types'!$A$2:$A$45,0)))</f>
        <v>585</v>
      </c>
      <c r="AT34" s="35" t="n">
        <f aca="false">IF(INDEX('Cable Types'!$G$2:$G$45,MATCH(I34,'Cable Types'!$A$2:$A$45,0))="","",INDEX('Cable Types'!$G$2:$G$45,MATCH(I34,'Cable Types'!$A$2:$A$45,0)))</f>
        <v>0.256</v>
      </c>
    </row>
    <row r="35" customFormat="false" ht="15" hidden="false" customHeight="false" outlineLevel="0" collapsed="false">
      <c r="A35" s="26" t="s">
        <v>761</v>
      </c>
      <c r="B35" s="26" t="s">
        <v>336</v>
      </c>
      <c r="C35" s="26" t="s">
        <v>71</v>
      </c>
      <c r="D35" s="26" t="s">
        <v>762</v>
      </c>
      <c r="E35" s="26" t="s">
        <v>334</v>
      </c>
      <c r="F35" s="27" t="str">
        <f aca="false">INDEX(Equipment!$B$2:$B$153,MATCH(E35,Equipment!$A$2:$A$153,0))</f>
        <v>CCS 13.8 kV switchboard (CCS substation)</v>
      </c>
      <c r="G35" s="26" t="s">
        <v>375</v>
      </c>
      <c r="H35" s="27" t="str">
        <f aca="false">INDEX(Equipment!$B$2:$B$153,MATCH(G35,Equipment!$A$2:$A$153,0))</f>
        <v>CO2 compressor MV variable frequency drive, 13.8 kV in / out</v>
      </c>
      <c r="I35" s="26" t="s">
        <v>566</v>
      </c>
      <c r="J35" s="27" t="str">
        <f aca="false">INDEX('Cable Types'!$B$2:$B$45,MATCH(I35,'Cable Types'!$A$2:$A$45,0))</f>
        <v>15 kV MV-105 1/C 750 kcmil Cu EPR 133% shielded, Type MC-HL, CCW Al armor (Armor-X type), PVC jkt, triplexed set</v>
      </c>
      <c r="K35" s="26" t="n">
        <v>2</v>
      </c>
      <c r="L35" s="26" t="s">
        <v>759</v>
      </c>
      <c r="M35" s="26" t="s">
        <v>703</v>
      </c>
      <c r="N35" s="26"/>
      <c r="O35" s="28" t="n">
        <f aca="false">IF(N35&lt;&gt;"",N35,IF(M35="D",ROUNDUP(SQRT((AL35-AI35)^2+(AM35-AJ35)^2+(AN35-AK35)^2)*(1+'Design Basis'!$C$6),0),ROUNDUP((ABS(AL35-AI35)+ABS(AM35-AJ35)+ABS(AO35-AK35)+ABS(AO35-AN35))*(1+'Design Basis'!$C$4)+2*'Design Basis'!$C$5,0)))</f>
        <v>47</v>
      </c>
      <c r="P35" s="28" t="n">
        <f aca="false">ROUND(O35*'Design Basis'!$C$10,0)</f>
        <v>154</v>
      </c>
      <c r="Q35" s="28" t="n">
        <f aca="false">O35*K35*AQ35</f>
        <v>282</v>
      </c>
      <c r="R35" s="28" t="n">
        <f aca="false">ROUND(Q35*'Design Basis'!$C$10,0)</f>
        <v>925</v>
      </c>
      <c r="S35" s="29" t="n">
        <v>13800</v>
      </c>
      <c r="T35" s="26" t="n">
        <v>3</v>
      </c>
      <c r="U35" s="29" t="n">
        <v>14000</v>
      </c>
      <c r="V35" s="30" t="n">
        <v>0.9</v>
      </c>
      <c r="W35" s="28" t="n">
        <f aca="false">IF(OR(U35="",S35=""),"",IF(T35=3,U35*1000/(SQRT(3)*S35*V35),U35*1000/(S35*V35)))</f>
        <v>650.797404883636</v>
      </c>
      <c r="X35" s="30" t="n">
        <v>1.25</v>
      </c>
      <c r="Y35" s="28" t="n">
        <f aca="false">IF(W35="","",W35*IF(X35="",1,X35))</f>
        <v>813.496756104545</v>
      </c>
      <c r="Z35" s="28" t="n">
        <f aca="false">IF(OR(AS35="",AP35=""),"",AS35*AP35)</f>
        <v>651.2</v>
      </c>
      <c r="AA35" s="28" t="n">
        <f aca="false">IF(Z35="","",Z35*K35)</f>
        <v>1302.4</v>
      </c>
      <c r="AB35" s="31" t="n">
        <f aca="false">IF(OR(Y35="",AA35=""),"",Y35/AA35)</f>
        <v>0.624613602660124</v>
      </c>
      <c r="AC35" s="31" t="n">
        <f aca="false">IF(OR(W35="",AT35=""),"",AT35*(W35/K35)*O35/1000/S35)</f>
        <v>0.000232730811094257</v>
      </c>
      <c r="AD35" s="31" t="n">
        <f aca="false">IF(W35="","",IFERROR(IF(INDEX('Design Basis'!$C$13:$C$21,MATCH(C35,'Design Basis'!$A$13:$A$21,0))="","",INDEX('Design Basis'!$C$13:$C$21,MATCH(C35,'Design Basis'!$A$13:$A$21,0))),""))</f>
        <v>0.03</v>
      </c>
      <c r="AE35" s="32" t="str">
        <f aca="false">IF(W35="","n/a",IF(AA35="","CHECK",IF(AND(AB35&lt;=1,OR(AC35="",AD35="",AC35&lt;=AD35)),"OK","CHECK")))</f>
        <v>OK</v>
      </c>
      <c r="AF35" s="28" t="n">
        <f aca="false">IF(AR35="","",K35*AQ35*PI()/4*AR35^2)</f>
        <v>9971.415082494</v>
      </c>
      <c r="AG35" s="32" t="s">
        <v>763</v>
      </c>
      <c r="AI35" s="33" t="n">
        <f aca="false">INDEX(Equipment!$D$2:$D$153,MATCH(E35,Equipment!$A$2:$A$153,0))</f>
        <v>178</v>
      </c>
      <c r="AJ35" s="33" t="n">
        <f aca="false">INDEX(Equipment!$E$2:$E$153,MATCH(E35,Equipment!$A$2:$A$153,0))</f>
        <v>58</v>
      </c>
      <c r="AK35" s="33" t="n">
        <f aca="false">INDEX(Equipment!$F$2:$F$153,MATCH(E35,Equipment!$A$2:$A$153,0))</f>
        <v>0.5</v>
      </c>
      <c r="AL35" s="33" t="n">
        <f aca="false">INDEX(Equipment!$D$2:$D$153,MATCH(G35,Equipment!$A$2:$A$153,0))</f>
        <v>186</v>
      </c>
      <c r="AM35" s="33" t="n">
        <f aca="false">INDEX(Equipment!$E$2:$E$153,MATCH(G35,Equipment!$A$2:$A$153,0))</f>
        <v>40</v>
      </c>
      <c r="AN35" s="33" t="n">
        <f aca="false">INDEX(Equipment!$F$2:$F$153,MATCH(G35,Equipment!$A$2:$A$153,0))</f>
        <v>0.5</v>
      </c>
      <c r="AO35" s="33" t="n">
        <f aca="false">IF(INDEX(Raceways!$D$2:$D$18,MATCH(L35,Raceways!$A$2:$A$18,0))="",0,INDEX(Raceways!$D$2:$D$18,MATCH(L35,Raceways!$A$2:$A$18,0)))</f>
        <v>6</v>
      </c>
      <c r="AP35" s="34" t="n">
        <f aca="false">IF(INDEX(Raceways!$I$2:$I$18,MATCH(L35,Raceways!$A$2:$A$18,0))="","",INDEX(Raceways!$I$2:$I$18,MATCH(L35,Raceways!$A$2:$A$18,0)))</f>
        <v>0.88</v>
      </c>
      <c r="AQ35" s="27" t="n">
        <f aca="false">INDEX('Cable Types'!$D$2:$D$45,MATCH(I35,'Cable Types'!$A$2:$A$45,0))</f>
        <v>3</v>
      </c>
      <c r="AR35" s="27" t="n">
        <f aca="false">IF(INDEX('Cable Types'!$E$2:$E$45,MATCH(I35,'Cable Types'!$A$2:$A$45,0))="","",INDEX('Cable Types'!$E$2:$E$45,MATCH(I35,'Cable Types'!$A$2:$A$45,0)))</f>
        <v>46</v>
      </c>
      <c r="AS35" s="27" t="n">
        <f aca="false">IF(INDEX('Cable Types'!$F$2:$F$45,MATCH(I35,'Cable Types'!$A$2:$A$45,0))="","",INDEX('Cable Types'!$F$2:$F$45,MATCH(I35,'Cable Types'!$A$2:$A$45,0)))</f>
        <v>740</v>
      </c>
      <c r="AT35" s="35" t="n">
        <f aca="false">IF(INDEX('Cable Types'!$G$2:$G$45,MATCH(I35,'Cable Types'!$A$2:$A$45,0))="","",INDEX('Cable Types'!$G$2:$G$45,MATCH(I35,'Cable Types'!$A$2:$A$45,0)))</f>
        <v>0.21</v>
      </c>
    </row>
    <row r="36" customFormat="false" ht="15" hidden="false" customHeight="false" outlineLevel="0" collapsed="false">
      <c r="A36" s="26" t="s">
        <v>764</v>
      </c>
      <c r="B36" s="26" t="s">
        <v>336</v>
      </c>
      <c r="C36" s="26" t="s">
        <v>71</v>
      </c>
      <c r="D36" s="26" t="s">
        <v>765</v>
      </c>
      <c r="E36" s="26" t="s">
        <v>375</v>
      </c>
      <c r="F36" s="27" t="str">
        <f aca="false">INDEX(Equipment!$B$2:$B$153,MATCH(E36,Equipment!$A$2:$A$153,0))</f>
        <v>CO2 compressor MV variable frequency drive, 13.8 kV in / out</v>
      </c>
      <c r="G36" s="26" t="s">
        <v>369</v>
      </c>
      <c r="H36" s="27" t="str">
        <f aca="false">INDEX(Equipment!$B$2:$B$153,MATCH(G36,Equipment!$A$2:$A$153,0))</f>
        <v>CO2 compressor motor 14 MW, 13.8 kV (VFD)</v>
      </c>
      <c r="I36" s="26" t="s">
        <v>566</v>
      </c>
      <c r="J36" s="27" t="str">
        <f aca="false">INDEX('Cable Types'!$B$2:$B$45,MATCH(I36,'Cable Types'!$A$2:$A$45,0))</f>
        <v>15 kV MV-105 1/C 750 kcmil Cu EPR 133% shielded, Type MC-HL, CCW Al armor (Armor-X type), PVC jkt, triplexed set</v>
      </c>
      <c r="K36" s="26" t="n">
        <v>2</v>
      </c>
      <c r="L36" s="26" t="s">
        <v>714</v>
      </c>
      <c r="M36" s="26" t="s">
        <v>703</v>
      </c>
      <c r="N36" s="26"/>
      <c r="O36" s="28" t="n">
        <f aca="false">IF(N36&lt;&gt;"",N36,IF(M36="D",ROUNDUP(SQRT((AL36-AI36)^2+(AM36-AJ36)^2+(AN36-AK36)^2)*(1+'Design Basis'!$C$6),0),ROUNDUP((ABS(AL36-AI36)+ABS(AM36-AJ36)+ABS(AO36-AK36)+ABS(AO36-AN36))*(1+'Design Basis'!$C$4)+2*'Design Basis'!$C$5,0)))</f>
        <v>19</v>
      </c>
      <c r="P36" s="28" t="n">
        <f aca="false">ROUND(O36*'Design Basis'!$C$10,0)</f>
        <v>62</v>
      </c>
      <c r="Q36" s="28" t="n">
        <f aca="false">O36*K36*AQ36</f>
        <v>114</v>
      </c>
      <c r="R36" s="28" t="n">
        <f aca="false">ROUND(Q36*'Design Basis'!$C$10,0)</f>
        <v>374</v>
      </c>
      <c r="S36" s="29" t="n">
        <v>13800</v>
      </c>
      <c r="T36" s="26" t="n">
        <v>3</v>
      </c>
      <c r="U36" s="29" t="n">
        <v>14000</v>
      </c>
      <c r="V36" s="30" t="n">
        <v>0.9</v>
      </c>
      <c r="W36" s="28" t="n">
        <f aca="false">IF(OR(U36="",S36=""),"",IF(T36=3,U36*1000/(SQRT(3)*S36*V36),U36*1000/(S36*V36)))</f>
        <v>650.797404883636</v>
      </c>
      <c r="X36" s="30" t="n">
        <v>1.25</v>
      </c>
      <c r="Y36" s="28" t="n">
        <f aca="false">IF(W36="","",W36*IF(X36="",1,X36))</f>
        <v>813.496756104545</v>
      </c>
      <c r="Z36" s="28" t="n">
        <f aca="false">IF(OR(AS36="",AP36=""),"",AS36*AP36)</f>
        <v>651.2</v>
      </c>
      <c r="AA36" s="28" t="n">
        <f aca="false">IF(Z36="","",Z36*K36)</f>
        <v>1302.4</v>
      </c>
      <c r="AB36" s="31" t="n">
        <f aca="false">IF(OR(Y36="",AA36=""),"",Y36/AA36)</f>
        <v>0.624613602660124</v>
      </c>
      <c r="AC36" s="31" t="n">
        <f aca="false">IF(OR(W36="",AT36=""),"",AT36*(W36/K36)*O36/1000/S36)</f>
        <v>9.40826683146996E-005</v>
      </c>
      <c r="AD36" s="31" t="n">
        <f aca="false">IF(W36="","",IFERROR(IF(INDEX('Design Basis'!$C$13:$C$21,MATCH(C36,'Design Basis'!$A$13:$A$21,0))="","",INDEX('Design Basis'!$C$13:$C$21,MATCH(C36,'Design Basis'!$A$13:$A$21,0))),""))</f>
        <v>0.03</v>
      </c>
      <c r="AE36" s="32" t="str">
        <f aca="false">IF(W36="","n/a",IF(AA36="","CHECK",IF(AND(AB36&lt;=1,OR(AC36="",AD36="",AC36&lt;=AD36)),"OK","CHECK")))</f>
        <v>OK</v>
      </c>
      <c r="AF36" s="28" t="n">
        <f aca="false">IF(AR36="","",K36*AQ36*PI()/4*AR36^2)</f>
        <v>9971.415082494</v>
      </c>
      <c r="AG36" s="32" t="s">
        <v>766</v>
      </c>
      <c r="AI36" s="33" t="n">
        <f aca="false">INDEX(Equipment!$D$2:$D$153,MATCH(E36,Equipment!$A$2:$A$153,0))</f>
        <v>186</v>
      </c>
      <c r="AJ36" s="33" t="n">
        <f aca="false">INDEX(Equipment!$E$2:$E$153,MATCH(E36,Equipment!$A$2:$A$153,0))</f>
        <v>40</v>
      </c>
      <c r="AK36" s="33" t="n">
        <f aca="false">INDEX(Equipment!$F$2:$F$153,MATCH(E36,Equipment!$A$2:$A$153,0))</f>
        <v>0.5</v>
      </c>
      <c r="AL36" s="33" t="n">
        <f aca="false">INDEX(Equipment!$D$2:$D$153,MATCH(G36,Equipment!$A$2:$A$153,0))</f>
        <v>195</v>
      </c>
      <c r="AM36" s="33" t="n">
        <f aca="false">INDEX(Equipment!$E$2:$E$153,MATCH(G36,Equipment!$A$2:$A$153,0))</f>
        <v>39</v>
      </c>
      <c r="AN36" s="33" t="n">
        <f aca="false">INDEX(Equipment!$F$2:$F$153,MATCH(G36,Equipment!$A$2:$A$153,0))</f>
        <v>0.5</v>
      </c>
      <c r="AO36" s="33" t="n">
        <f aca="false">IF(INDEX(Raceways!$D$2:$D$18,MATCH(L36,Raceways!$A$2:$A$18,0))="",0,INDEX(Raceways!$D$2:$D$18,MATCH(L36,Raceways!$A$2:$A$18,0)))</f>
        <v>1</v>
      </c>
      <c r="AP36" s="34" t="n">
        <f aca="false">IF(INDEX(Raceways!$I$2:$I$18,MATCH(L36,Raceways!$A$2:$A$18,0))="","",INDEX(Raceways!$I$2:$I$18,MATCH(L36,Raceways!$A$2:$A$18,0)))</f>
        <v>0.88</v>
      </c>
      <c r="AQ36" s="27" t="n">
        <f aca="false">INDEX('Cable Types'!$D$2:$D$45,MATCH(I36,'Cable Types'!$A$2:$A$45,0))</f>
        <v>3</v>
      </c>
      <c r="AR36" s="27" t="n">
        <f aca="false">IF(INDEX('Cable Types'!$E$2:$E$45,MATCH(I36,'Cable Types'!$A$2:$A$45,0))="","",INDEX('Cable Types'!$E$2:$E$45,MATCH(I36,'Cable Types'!$A$2:$A$45,0)))</f>
        <v>46</v>
      </c>
      <c r="AS36" s="27" t="n">
        <f aca="false">IF(INDEX('Cable Types'!$F$2:$F$45,MATCH(I36,'Cable Types'!$A$2:$A$45,0))="","",INDEX('Cable Types'!$F$2:$F$45,MATCH(I36,'Cable Types'!$A$2:$A$45,0)))</f>
        <v>740</v>
      </c>
      <c r="AT36" s="35" t="n">
        <f aca="false">IF(INDEX('Cable Types'!$G$2:$G$45,MATCH(I36,'Cable Types'!$A$2:$A$45,0))="","",INDEX('Cable Types'!$G$2:$G$45,MATCH(I36,'Cable Types'!$A$2:$A$45,0)))</f>
        <v>0.21</v>
      </c>
    </row>
    <row r="37" customFormat="false" ht="15" hidden="false" customHeight="false" outlineLevel="0" collapsed="false">
      <c r="A37" s="26" t="s">
        <v>767</v>
      </c>
      <c r="B37" s="26" t="s">
        <v>336</v>
      </c>
      <c r="C37" s="26" t="s">
        <v>71</v>
      </c>
      <c r="D37" s="26" t="s">
        <v>768</v>
      </c>
      <c r="E37" s="26" t="s">
        <v>334</v>
      </c>
      <c r="F37" s="27" t="str">
        <f aca="false">INDEX(Equipment!$B$2:$B$153,MATCH(E37,Equipment!$A$2:$A$153,0))</f>
        <v>CCS 13.8 kV switchboard (CCS substation)</v>
      </c>
      <c r="G37" s="26" t="s">
        <v>360</v>
      </c>
      <c r="H37" s="27" t="str">
        <f aca="false">INDEX(Equipment!$B$2:$B$153,MATCH(G37,Equipment!$A$2:$A$153,0))</f>
        <v>Lean amine pump A 800 kW, 13.8 kV</v>
      </c>
      <c r="I37" s="26" t="s">
        <v>556</v>
      </c>
      <c r="J37" s="27" t="str">
        <f aca="false">INDEX('Cable Types'!$B$2:$B$45,MATCH(I37,'Cable Types'!$A$2:$A$45,0))</f>
        <v>15 kV MV-105 3/C #2 AWG Cu EPR 133% shielded + GC, Type MC-HL, CCW Al armor (Armor-X type), PVC jkt</v>
      </c>
      <c r="K37" s="26" t="n">
        <v>1</v>
      </c>
      <c r="L37" s="26" t="s">
        <v>759</v>
      </c>
      <c r="M37" s="26" t="s">
        <v>703</v>
      </c>
      <c r="N37" s="26"/>
      <c r="O37" s="28" t="n">
        <f aca="false">IF(N37&lt;&gt;"",N37,IF(M37="D",ROUNDUP(SQRT((AL37-AI37)^2+(AM37-AJ37)^2+(AN37-AK37)^2)*(1+'Design Basis'!$C$6),0),ROUNDUP((ABS(AL37-AI37)+ABS(AM37-AJ37)+ABS(AO37-AK37)+ABS(AO37-AN37))*(1+'Design Basis'!$C$4)+2*'Design Basis'!$C$5,0)))</f>
        <v>78</v>
      </c>
      <c r="P37" s="28" t="n">
        <f aca="false">ROUND(O37*'Design Basis'!$C$10,0)</f>
        <v>256</v>
      </c>
      <c r="Q37" s="28" t="n">
        <f aca="false">O37*K37*AQ37</f>
        <v>78</v>
      </c>
      <c r="R37" s="28" t="n">
        <f aca="false">ROUND(Q37*'Design Basis'!$C$10,0)</f>
        <v>256</v>
      </c>
      <c r="S37" s="29" t="n">
        <v>13800</v>
      </c>
      <c r="T37" s="26" t="n">
        <v>3</v>
      </c>
      <c r="U37" s="29" t="n">
        <v>800</v>
      </c>
      <c r="V37" s="30" t="n">
        <v>0.84</v>
      </c>
      <c r="W37" s="28" t="n">
        <f aca="false">IF(OR(U37="",S37=""),"",IF(T37=3,U37*1000/(SQRT(3)*S37*V37),U37*1000/(S37*V37)))</f>
        <v>39.8447390745083</v>
      </c>
      <c r="X37" s="30" t="n">
        <v>1.25</v>
      </c>
      <c r="Y37" s="28" t="n">
        <f aca="false">IF(W37="","",W37*IF(X37="",1,X37))</f>
        <v>49.8059238431354</v>
      </c>
      <c r="Z37" s="28" t="n">
        <f aca="false">IF(OR(AS37="",AP37=""),"",AS37*AP37)</f>
        <v>145.2</v>
      </c>
      <c r="AA37" s="28" t="n">
        <f aca="false">IF(Z37="","",Z37*K37)</f>
        <v>145.2</v>
      </c>
      <c r="AB37" s="31" t="n">
        <f aca="false">IF(OR(Y37="",AA37=""),"",Y37/AA37)</f>
        <v>0.343016004429307</v>
      </c>
      <c r="AC37" s="31" t="n">
        <f aca="false">IF(OR(W37="",AT37=""),"",AT37*(W37/K37)*O37/1000/S37)</f>
        <v>0.000240523633613249</v>
      </c>
      <c r="AD37" s="31" t="n">
        <f aca="false">IF(W37="","",IFERROR(IF(INDEX('Design Basis'!$C$13:$C$21,MATCH(C37,'Design Basis'!$A$13:$A$21,0))="","",INDEX('Design Basis'!$C$13:$C$21,MATCH(C37,'Design Basis'!$A$13:$A$21,0))),""))</f>
        <v>0.03</v>
      </c>
      <c r="AE37" s="32" t="str">
        <f aca="false">IF(W37="","n/a",IF(AA37="","CHECK",IF(AND(AB37&lt;=1,OR(AC37="",AD37="",AC37&lt;=AD37)),"OK","CHECK")))</f>
        <v>OK</v>
      </c>
      <c r="AF37" s="28" t="n">
        <f aca="false">IF(AR37="","",K37*AQ37*PI()/4*AR37^2)</f>
        <v>2922.46656600191</v>
      </c>
      <c r="AG37" s="32"/>
      <c r="AI37" s="33" t="n">
        <f aca="false">INDEX(Equipment!$D$2:$D$153,MATCH(E37,Equipment!$A$2:$A$153,0))</f>
        <v>178</v>
      </c>
      <c r="AJ37" s="33" t="n">
        <f aca="false">INDEX(Equipment!$E$2:$E$153,MATCH(E37,Equipment!$A$2:$A$153,0))</f>
        <v>58</v>
      </c>
      <c r="AK37" s="33" t="n">
        <f aca="false">INDEX(Equipment!$F$2:$F$153,MATCH(E37,Equipment!$A$2:$A$153,0))</f>
        <v>0.5</v>
      </c>
      <c r="AL37" s="33" t="n">
        <f aca="false">INDEX(Equipment!$D$2:$D$153,MATCH(G37,Equipment!$A$2:$A$153,0))</f>
        <v>186</v>
      </c>
      <c r="AM37" s="33" t="n">
        <f aca="false">INDEX(Equipment!$E$2:$E$153,MATCH(G37,Equipment!$A$2:$A$153,0))</f>
        <v>12</v>
      </c>
      <c r="AN37" s="33" t="n">
        <f aca="false">INDEX(Equipment!$F$2:$F$153,MATCH(G37,Equipment!$A$2:$A$153,0))</f>
        <v>0.5</v>
      </c>
      <c r="AO37" s="33" t="n">
        <f aca="false">IF(INDEX(Raceways!$D$2:$D$18,MATCH(L37,Raceways!$A$2:$A$18,0))="",0,INDEX(Raceways!$D$2:$D$18,MATCH(L37,Raceways!$A$2:$A$18,0)))</f>
        <v>6</v>
      </c>
      <c r="AP37" s="34" t="n">
        <f aca="false">IF(INDEX(Raceways!$I$2:$I$18,MATCH(L37,Raceways!$A$2:$A$18,0))="","",INDEX(Raceways!$I$2:$I$18,MATCH(L37,Raceways!$A$2:$A$18,0)))</f>
        <v>0.88</v>
      </c>
      <c r="AQ37" s="27" t="n">
        <f aca="false">INDEX('Cable Types'!$D$2:$D$45,MATCH(I37,'Cable Types'!$A$2:$A$45,0))</f>
        <v>1</v>
      </c>
      <c r="AR37" s="27" t="n">
        <f aca="false">IF(INDEX('Cable Types'!$E$2:$E$45,MATCH(I37,'Cable Types'!$A$2:$A$45,0))="","",INDEX('Cable Types'!$E$2:$E$45,MATCH(I37,'Cable Types'!$A$2:$A$45,0)))</f>
        <v>61</v>
      </c>
      <c r="AS37" s="27" t="n">
        <f aca="false">IF(INDEX('Cable Types'!$F$2:$F$45,MATCH(I37,'Cable Types'!$A$2:$A$45,0))="","",INDEX('Cable Types'!$F$2:$F$45,MATCH(I37,'Cable Types'!$A$2:$A$45,0)))</f>
        <v>165</v>
      </c>
      <c r="AT37" s="35" t="n">
        <f aca="false">IF(INDEX('Cable Types'!$G$2:$G$45,MATCH(I37,'Cable Types'!$A$2:$A$45,0))="","",INDEX('Cable Types'!$G$2:$G$45,MATCH(I37,'Cable Types'!$A$2:$A$45,0)))</f>
        <v>1.068</v>
      </c>
    </row>
    <row r="38" customFormat="false" ht="15" hidden="false" customHeight="false" outlineLevel="0" collapsed="false">
      <c r="A38" s="26" t="s">
        <v>769</v>
      </c>
      <c r="B38" s="26" t="s">
        <v>336</v>
      </c>
      <c r="C38" s="26" t="s">
        <v>71</v>
      </c>
      <c r="D38" s="26" t="s">
        <v>770</v>
      </c>
      <c r="E38" s="26" t="s">
        <v>334</v>
      </c>
      <c r="F38" s="27" t="str">
        <f aca="false">INDEX(Equipment!$B$2:$B$153,MATCH(E38,Equipment!$A$2:$A$153,0))</f>
        <v>CCS 13.8 kV switchboard (CCS substation)</v>
      </c>
      <c r="G38" s="26" t="s">
        <v>363</v>
      </c>
      <c r="H38" s="27" t="str">
        <f aca="false">INDEX(Equipment!$B$2:$B$153,MATCH(G38,Equipment!$A$2:$A$153,0))</f>
        <v>Lean amine pump B 800 kW, 13.8 kV</v>
      </c>
      <c r="I38" s="26" t="s">
        <v>556</v>
      </c>
      <c r="J38" s="27" t="str">
        <f aca="false">INDEX('Cable Types'!$B$2:$B$45,MATCH(I38,'Cable Types'!$A$2:$A$45,0))</f>
        <v>15 kV MV-105 3/C #2 AWG Cu EPR 133% shielded + GC, Type MC-HL, CCW Al armor (Armor-X type), PVC jkt</v>
      </c>
      <c r="K38" s="26" t="n">
        <v>1</v>
      </c>
      <c r="L38" s="26" t="s">
        <v>759</v>
      </c>
      <c r="M38" s="26" t="s">
        <v>703</v>
      </c>
      <c r="N38" s="26"/>
      <c r="O38" s="28" t="n">
        <f aca="false">IF(N38&lt;&gt;"",N38,IF(M38="D",ROUNDUP(SQRT((AL38-AI38)^2+(AM38-AJ38)^2+(AN38-AK38)^2)*(1+'Design Basis'!$C$6),0),ROUNDUP((ABS(AL38-AI38)+ABS(AM38-AJ38)+ABS(AO38-AK38)+ABS(AO38-AN38))*(1+'Design Basis'!$C$4)+2*'Design Basis'!$C$5,0)))</f>
        <v>75</v>
      </c>
      <c r="P38" s="28" t="n">
        <f aca="false">ROUND(O38*'Design Basis'!$C$10,0)</f>
        <v>246</v>
      </c>
      <c r="Q38" s="28" t="n">
        <f aca="false">O38*K38*AQ38</f>
        <v>75</v>
      </c>
      <c r="R38" s="28" t="n">
        <f aca="false">ROUND(Q38*'Design Basis'!$C$10,0)</f>
        <v>246</v>
      </c>
      <c r="S38" s="29" t="n">
        <v>13800</v>
      </c>
      <c r="T38" s="26" t="n">
        <v>3</v>
      </c>
      <c r="U38" s="29" t="n">
        <v>800</v>
      </c>
      <c r="V38" s="30" t="n">
        <v>0.84</v>
      </c>
      <c r="W38" s="28" t="n">
        <f aca="false">IF(OR(U38="",S38=""),"",IF(T38=3,U38*1000/(SQRT(3)*S38*V38),U38*1000/(S38*V38)))</f>
        <v>39.8447390745083</v>
      </c>
      <c r="X38" s="30" t="n">
        <v>1.25</v>
      </c>
      <c r="Y38" s="28" t="n">
        <f aca="false">IF(W38="","",W38*IF(X38="",1,X38))</f>
        <v>49.8059238431354</v>
      </c>
      <c r="Z38" s="28" t="n">
        <f aca="false">IF(OR(AS38="",AP38=""),"",AS38*AP38)</f>
        <v>145.2</v>
      </c>
      <c r="AA38" s="28" t="n">
        <f aca="false">IF(Z38="","",Z38*K38)</f>
        <v>145.2</v>
      </c>
      <c r="AB38" s="31" t="n">
        <f aca="false">IF(OR(Y38="",AA38=""),"",Y38/AA38)</f>
        <v>0.343016004429307</v>
      </c>
      <c r="AC38" s="31" t="n">
        <f aca="false">IF(OR(W38="",AT38=""),"",AT38*(W38/K38)*O38/1000/S38)</f>
        <v>0.000231272724628124</v>
      </c>
      <c r="AD38" s="31" t="n">
        <f aca="false">IF(W38="","",IFERROR(IF(INDEX('Design Basis'!$C$13:$C$21,MATCH(C38,'Design Basis'!$A$13:$A$21,0))="","",INDEX('Design Basis'!$C$13:$C$21,MATCH(C38,'Design Basis'!$A$13:$A$21,0))),""))</f>
        <v>0.03</v>
      </c>
      <c r="AE38" s="32" t="str">
        <f aca="false">IF(W38="","n/a",IF(AA38="","CHECK",IF(AND(AB38&lt;=1,OR(AC38="",AD38="",AC38&lt;=AD38)),"OK","CHECK")))</f>
        <v>OK</v>
      </c>
      <c r="AF38" s="28" t="n">
        <f aca="false">IF(AR38="","",K38*AQ38*PI()/4*AR38^2)</f>
        <v>2922.46656600191</v>
      </c>
      <c r="AG38" s="32"/>
      <c r="AI38" s="33" t="n">
        <f aca="false">INDEX(Equipment!$D$2:$D$153,MATCH(E38,Equipment!$A$2:$A$153,0))</f>
        <v>178</v>
      </c>
      <c r="AJ38" s="33" t="n">
        <f aca="false">INDEX(Equipment!$E$2:$E$153,MATCH(E38,Equipment!$A$2:$A$153,0))</f>
        <v>58</v>
      </c>
      <c r="AK38" s="33" t="n">
        <f aca="false">INDEX(Equipment!$F$2:$F$153,MATCH(E38,Equipment!$A$2:$A$153,0))</f>
        <v>0.5</v>
      </c>
      <c r="AL38" s="33" t="n">
        <f aca="false">INDEX(Equipment!$D$2:$D$153,MATCH(G38,Equipment!$A$2:$A$153,0))</f>
        <v>186</v>
      </c>
      <c r="AM38" s="33" t="n">
        <f aca="false">INDEX(Equipment!$E$2:$E$153,MATCH(G38,Equipment!$A$2:$A$153,0))</f>
        <v>15</v>
      </c>
      <c r="AN38" s="33" t="n">
        <f aca="false">INDEX(Equipment!$F$2:$F$153,MATCH(G38,Equipment!$A$2:$A$153,0))</f>
        <v>0.5</v>
      </c>
      <c r="AO38" s="33" t="n">
        <f aca="false">IF(INDEX(Raceways!$D$2:$D$18,MATCH(L38,Raceways!$A$2:$A$18,0))="",0,INDEX(Raceways!$D$2:$D$18,MATCH(L38,Raceways!$A$2:$A$18,0)))</f>
        <v>6</v>
      </c>
      <c r="AP38" s="34" t="n">
        <f aca="false">IF(INDEX(Raceways!$I$2:$I$18,MATCH(L38,Raceways!$A$2:$A$18,0))="","",INDEX(Raceways!$I$2:$I$18,MATCH(L38,Raceways!$A$2:$A$18,0)))</f>
        <v>0.88</v>
      </c>
      <c r="AQ38" s="27" t="n">
        <f aca="false">INDEX('Cable Types'!$D$2:$D$45,MATCH(I38,'Cable Types'!$A$2:$A$45,0))</f>
        <v>1</v>
      </c>
      <c r="AR38" s="27" t="n">
        <f aca="false">IF(INDEX('Cable Types'!$E$2:$E$45,MATCH(I38,'Cable Types'!$A$2:$A$45,0))="","",INDEX('Cable Types'!$E$2:$E$45,MATCH(I38,'Cable Types'!$A$2:$A$45,0)))</f>
        <v>61</v>
      </c>
      <c r="AS38" s="27" t="n">
        <f aca="false">IF(INDEX('Cable Types'!$F$2:$F$45,MATCH(I38,'Cable Types'!$A$2:$A$45,0))="","",INDEX('Cable Types'!$F$2:$F$45,MATCH(I38,'Cable Types'!$A$2:$A$45,0)))</f>
        <v>165</v>
      </c>
      <c r="AT38" s="35" t="n">
        <f aca="false">IF(INDEX('Cable Types'!$G$2:$G$45,MATCH(I38,'Cable Types'!$A$2:$A$45,0))="","",INDEX('Cable Types'!$G$2:$G$45,MATCH(I38,'Cable Types'!$A$2:$A$45,0)))</f>
        <v>1.068</v>
      </c>
    </row>
    <row r="39" customFormat="false" ht="15" hidden="false" customHeight="false" outlineLevel="0" collapsed="false">
      <c r="A39" s="26" t="s">
        <v>771</v>
      </c>
      <c r="B39" s="26" t="s">
        <v>336</v>
      </c>
      <c r="C39" s="26" t="s">
        <v>71</v>
      </c>
      <c r="D39" s="26" t="s">
        <v>772</v>
      </c>
      <c r="E39" s="26" t="s">
        <v>334</v>
      </c>
      <c r="F39" s="27" t="str">
        <f aca="false">INDEX(Equipment!$B$2:$B$153,MATCH(E39,Equipment!$A$2:$A$153,0))</f>
        <v>CCS 13.8 kV switchboard (CCS substation)</v>
      </c>
      <c r="G39" s="26" t="s">
        <v>354</v>
      </c>
      <c r="H39" s="27" t="str">
        <f aca="false">INDEX(Equipment!$B$2:$B$153,MATCH(G39,Equipment!$A$2:$A$153,0))</f>
        <v>Rich amine pump A 700 kW, 13.8 kV</v>
      </c>
      <c r="I39" s="26" t="s">
        <v>556</v>
      </c>
      <c r="J39" s="27" t="str">
        <f aca="false">INDEX('Cable Types'!$B$2:$B$45,MATCH(I39,'Cable Types'!$A$2:$A$45,0))</f>
        <v>15 kV MV-105 3/C #2 AWG Cu EPR 133% shielded + GC, Type MC-HL, CCW Al armor (Armor-X type), PVC jkt</v>
      </c>
      <c r="K39" s="26" t="n">
        <v>1</v>
      </c>
      <c r="L39" s="26" t="s">
        <v>759</v>
      </c>
      <c r="M39" s="26" t="s">
        <v>703</v>
      </c>
      <c r="N39" s="26"/>
      <c r="O39" s="28" t="n">
        <f aca="false">IF(N39&lt;&gt;"",N39,IF(M39="D",ROUNDUP(SQRT((AL39-AI39)^2+(AM39-AJ39)^2+(AN39-AK39)^2)*(1+'Design Basis'!$C$6),0),ROUNDUP((ABS(AL39-AI39)+ABS(AM39-AJ39)+ABS(AO39-AK39)+ABS(AO39-AN39))*(1+'Design Basis'!$C$4)+2*'Design Basis'!$C$5,0)))</f>
        <v>69</v>
      </c>
      <c r="P39" s="28" t="n">
        <f aca="false">ROUND(O39*'Design Basis'!$C$10,0)</f>
        <v>226</v>
      </c>
      <c r="Q39" s="28" t="n">
        <f aca="false">O39*K39*AQ39</f>
        <v>69</v>
      </c>
      <c r="R39" s="28" t="n">
        <f aca="false">ROUND(Q39*'Design Basis'!$C$10,0)</f>
        <v>226</v>
      </c>
      <c r="S39" s="29" t="n">
        <v>13800</v>
      </c>
      <c r="T39" s="26" t="n">
        <v>3</v>
      </c>
      <c r="U39" s="29" t="n">
        <v>700</v>
      </c>
      <c r="V39" s="30" t="n">
        <v>0.84</v>
      </c>
      <c r="W39" s="28" t="n">
        <f aca="false">IF(OR(U39="",S39=""),"",IF(T39=3,U39*1000/(SQRT(3)*S39*V39),U39*1000/(S39*V39)))</f>
        <v>34.8641466901948</v>
      </c>
      <c r="X39" s="30" t="n">
        <v>1.25</v>
      </c>
      <c r="Y39" s="28" t="n">
        <f aca="false">IF(W39="","",W39*IF(X39="",1,X39))</f>
        <v>43.5801833627435</v>
      </c>
      <c r="Z39" s="28" t="n">
        <f aca="false">IF(OR(AS39="",AP39=""),"",AS39*AP39)</f>
        <v>145.2</v>
      </c>
      <c r="AA39" s="28" t="n">
        <f aca="false">IF(Z39="","",Z39*K39)</f>
        <v>145.2</v>
      </c>
      <c r="AB39" s="31" t="n">
        <f aca="false">IF(OR(Y39="",AA39=""),"",Y39/AA39)</f>
        <v>0.300139003875644</v>
      </c>
      <c r="AC39" s="31" t="n">
        <f aca="false">IF(OR(W39="",AT39=""),"",AT39*(W39/K39)*O39/1000/S39)</f>
        <v>0.00018617454332564</v>
      </c>
      <c r="AD39" s="31" t="n">
        <f aca="false">IF(W39="","",IFERROR(IF(INDEX('Design Basis'!$C$13:$C$21,MATCH(C39,'Design Basis'!$A$13:$A$21,0))="","",INDEX('Design Basis'!$C$13:$C$21,MATCH(C39,'Design Basis'!$A$13:$A$21,0))),""))</f>
        <v>0.03</v>
      </c>
      <c r="AE39" s="32" t="str">
        <f aca="false">IF(W39="","n/a",IF(AA39="","CHECK",IF(AND(AB39&lt;=1,OR(AC39="",AD39="",AC39&lt;=AD39)),"OK","CHECK")))</f>
        <v>OK</v>
      </c>
      <c r="AF39" s="28" t="n">
        <f aca="false">IF(AR39="","",K39*AQ39*PI()/4*AR39^2)</f>
        <v>2922.46656600191</v>
      </c>
      <c r="AG39" s="32"/>
      <c r="AI39" s="33" t="n">
        <f aca="false">INDEX(Equipment!$D$2:$D$153,MATCH(E39,Equipment!$A$2:$A$153,0))</f>
        <v>178</v>
      </c>
      <c r="AJ39" s="33" t="n">
        <f aca="false">INDEX(Equipment!$E$2:$E$153,MATCH(E39,Equipment!$A$2:$A$153,0))</f>
        <v>58</v>
      </c>
      <c r="AK39" s="33" t="n">
        <f aca="false">INDEX(Equipment!$F$2:$F$153,MATCH(E39,Equipment!$A$2:$A$153,0))</f>
        <v>0.5</v>
      </c>
      <c r="AL39" s="33" t="n">
        <f aca="false">INDEX(Equipment!$D$2:$D$153,MATCH(G39,Equipment!$A$2:$A$153,0))</f>
        <v>174</v>
      </c>
      <c r="AM39" s="33" t="n">
        <f aca="false">INDEX(Equipment!$E$2:$E$153,MATCH(G39,Equipment!$A$2:$A$153,0))</f>
        <v>16</v>
      </c>
      <c r="AN39" s="33" t="n">
        <f aca="false">INDEX(Equipment!$F$2:$F$153,MATCH(G39,Equipment!$A$2:$A$153,0))</f>
        <v>0.5</v>
      </c>
      <c r="AO39" s="33" t="n">
        <f aca="false">IF(INDEX(Raceways!$D$2:$D$18,MATCH(L39,Raceways!$A$2:$A$18,0))="",0,INDEX(Raceways!$D$2:$D$18,MATCH(L39,Raceways!$A$2:$A$18,0)))</f>
        <v>6</v>
      </c>
      <c r="AP39" s="34" t="n">
        <f aca="false">IF(INDEX(Raceways!$I$2:$I$18,MATCH(L39,Raceways!$A$2:$A$18,0))="","",INDEX(Raceways!$I$2:$I$18,MATCH(L39,Raceways!$A$2:$A$18,0)))</f>
        <v>0.88</v>
      </c>
      <c r="AQ39" s="27" t="n">
        <f aca="false">INDEX('Cable Types'!$D$2:$D$45,MATCH(I39,'Cable Types'!$A$2:$A$45,0))</f>
        <v>1</v>
      </c>
      <c r="AR39" s="27" t="n">
        <f aca="false">IF(INDEX('Cable Types'!$E$2:$E$45,MATCH(I39,'Cable Types'!$A$2:$A$45,0))="","",INDEX('Cable Types'!$E$2:$E$45,MATCH(I39,'Cable Types'!$A$2:$A$45,0)))</f>
        <v>61</v>
      </c>
      <c r="AS39" s="27" t="n">
        <f aca="false">IF(INDEX('Cable Types'!$F$2:$F$45,MATCH(I39,'Cable Types'!$A$2:$A$45,0))="","",INDEX('Cable Types'!$F$2:$F$45,MATCH(I39,'Cable Types'!$A$2:$A$45,0)))</f>
        <v>165</v>
      </c>
      <c r="AT39" s="35" t="n">
        <f aca="false">IF(INDEX('Cable Types'!$G$2:$G$45,MATCH(I39,'Cable Types'!$A$2:$A$45,0))="","",INDEX('Cable Types'!$G$2:$G$45,MATCH(I39,'Cable Types'!$A$2:$A$45,0)))</f>
        <v>1.068</v>
      </c>
    </row>
    <row r="40" customFormat="false" ht="15" hidden="false" customHeight="false" outlineLevel="0" collapsed="false">
      <c r="A40" s="26" t="s">
        <v>773</v>
      </c>
      <c r="B40" s="26" t="s">
        <v>336</v>
      </c>
      <c r="C40" s="26" t="s">
        <v>71</v>
      </c>
      <c r="D40" s="26" t="s">
        <v>774</v>
      </c>
      <c r="E40" s="26" t="s">
        <v>334</v>
      </c>
      <c r="F40" s="27" t="str">
        <f aca="false">INDEX(Equipment!$B$2:$B$153,MATCH(E40,Equipment!$A$2:$A$153,0))</f>
        <v>CCS 13.8 kV switchboard (CCS substation)</v>
      </c>
      <c r="G40" s="26" t="s">
        <v>357</v>
      </c>
      <c r="H40" s="27" t="str">
        <f aca="false">INDEX(Equipment!$B$2:$B$153,MATCH(G40,Equipment!$A$2:$A$153,0))</f>
        <v>Rich amine pump B 700 kW, 13.8 kV</v>
      </c>
      <c r="I40" s="26" t="s">
        <v>556</v>
      </c>
      <c r="J40" s="27" t="str">
        <f aca="false">INDEX('Cable Types'!$B$2:$B$45,MATCH(I40,'Cable Types'!$A$2:$A$45,0))</f>
        <v>15 kV MV-105 3/C #2 AWG Cu EPR 133% shielded + GC, Type MC-HL, CCW Al armor (Armor-X type), PVC jkt</v>
      </c>
      <c r="K40" s="26" t="n">
        <v>1</v>
      </c>
      <c r="L40" s="26" t="s">
        <v>759</v>
      </c>
      <c r="M40" s="26" t="s">
        <v>703</v>
      </c>
      <c r="N40" s="26"/>
      <c r="O40" s="28" t="n">
        <f aca="false">IF(N40&lt;&gt;"",N40,IF(M40="D",ROUNDUP(SQRT((AL40-AI40)^2+(AM40-AJ40)^2+(AN40-AK40)^2)*(1+'Design Basis'!$C$6),0),ROUNDUP((ABS(AL40-AI40)+ABS(AM40-AJ40)+ABS(AO40-AK40)+ABS(AO40-AN40))*(1+'Design Basis'!$C$4)+2*'Design Basis'!$C$5,0)))</f>
        <v>66</v>
      </c>
      <c r="P40" s="28" t="n">
        <f aca="false">ROUND(O40*'Design Basis'!$C$10,0)</f>
        <v>217</v>
      </c>
      <c r="Q40" s="28" t="n">
        <f aca="false">O40*K40*AQ40</f>
        <v>66</v>
      </c>
      <c r="R40" s="28" t="n">
        <f aca="false">ROUND(Q40*'Design Basis'!$C$10,0)</f>
        <v>217</v>
      </c>
      <c r="S40" s="29" t="n">
        <v>13800</v>
      </c>
      <c r="T40" s="26" t="n">
        <v>3</v>
      </c>
      <c r="U40" s="29" t="n">
        <v>700</v>
      </c>
      <c r="V40" s="30" t="n">
        <v>0.84</v>
      </c>
      <c r="W40" s="28" t="n">
        <f aca="false">IF(OR(U40="",S40=""),"",IF(T40=3,U40*1000/(SQRT(3)*S40*V40),U40*1000/(S40*V40)))</f>
        <v>34.8641466901948</v>
      </c>
      <c r="X40" s="30" t="n">
        <v>1.25</v>
      </c>
      <c r="Y40" s="28" t="n">
        <f aca="false">IF(W40="","",W40*IF(X40="",1,X40))</f>
        <v>43.5801833627435</v>
      </c>
      <c r="Z40" s="28" t="n">
        <f aca="false">IF(OR(AS40="",AP40=""),"",AS40*AP40)</f>
        <v>145.2</v>
      </c>
      <c r="AA40" s="28" t="n">
        <f aca="false">IF(Z40="","",Z40*K40)</f>
        <v>145.2</v>
      </c>
      <c r="AB40" s="31" t="n">
        <f aca="false">IF(OR(Y40="",AA40=""),"",Y40/AA40)</f>
        <v>0.300139003875644</v>
      </c>
      <c r="AC40" s="31" t="n">
        <f aca="false">IF(OR(W40="",AT40=""),"",AT40*(W40/K40)*O40/1000/S40)</f>
        <v>0.000178079997963656</v>
      </c>
      <c r="AD40" s="31" t="n">
        <f aca="false">IF(W40="","",IFERROR(IF(INDEX('Design Basis'!$C$13:$C$21,MATCH(C40,'Design Basis'!$A$13:$A$21,0))="","",INDEX('Design Basis'!$C$13:$C$21,MATCH(C40,'Design Basis'!$A$13:$A$21,0))),""))</f>
        <v>0.03</v>
      </c>
      <c r="AE40" s="32" t="str">
        <f aca="false">IF(W40="","n/a",IF(AA40="","CHECK",IF(AND(AB40&lt;=1,OR(AC40="",AD40="",AC40&lt;=AD40)),"OK","CHECK")))</f>
        <v>OK</v>
      </c>
      <c r="AF40" s="28" t="n">
        <f aca="false">IF(AR40="","",K40*AQ40*PI()/4*AR40^2)</f>
        <v>2922.46656600191</v>
      </c>
      <c r="AG40" s="32"/>
      <c r="AI40" s="33" t="n">
        <f aca="false">INDEX(Equipment!$D$2:$D$153,MATCH(E40,Equipment!$A$2:$A$153,0))</f>
        <v>178</v>
      </c>
      <c r="AJ40" s="33" t="n">
        <f aca="false">INDEX(Equipment!$E$2:$E$153,MATCH(E40,Equipment!$A$2:$A$153,0))</f>
        <v>58</v>
      </c>
      <c r="AK40" s="33" t="n">
        <f aca="false">INDEX(Equipment!$F$2:$F$153,MATCH(E40,Equipment!$A$2:$A$153,0))</f>
        <v>0.5</v>
      </c>
      <c r="AL40" s="33" t="n">
        <f aca="false">INDEX(Equipment!$D$2:$D$153,MATCH(G40,Equipment!$A$2:$A$153,0))</f>
        <v>177</v>
      </c>
      <c r="AM40" s="33" t="n">
        <f aca="false">INDEX(Equipment!$E$2:$E$153,MATCH(G40,Equipment!$A$2:$A$153,0))</f>
        <v>16</v>
      </c>
      <c r="AN40" s="33" t="n">
        <f aca="false">INDEX(Equipment!$F$2:$F$153,MATCH(G40,Equipment!$A$2:$A$153,0))</f>
        <v>0.5</v>
      </c>
      <c r="AO40" s="33" t="n">
        <f aca="false">IF(INDEX(Raceways!$D$2:$D$18,MATCH(L40,Raceways!$A$2:$A$18,0))="",0,INDEX(Raceways!$D$2:$D$18,MATCH(L40,Raceways!$A$2:$A$18,0)))</f>
        <v>6</v>
      </c>
      <c r="AP40" s="34" t="n">
        <f aca="false">IF(INDEX(Raceways!$I$2:$I$18,MATCH(L40,Raceways!$A$2:$A$18,0))="","",INDEX(Raceways!$I$2:$I$18,MATCH(L40,Raceways!$A$2:$A$18,0)))</f>
        <v>0.88</v>
      </c>
      <c r="AQ40" s="27" t="n">
        <f aca="false">INDEX('Cable Types'!$D$2:$D$45,MATCH(I40,'Cable Types'!$A$2:$A$45,0))</f>
        <v>1</v>
      </c>
      <c r="AR40" s="27" t="n">
        <f aca="false">IF(INDEX('Cable Types'!$E$2:$E$45,MATCH(I40,'Cable Types'!$A$2:$A$45,0))="","",INDEX('Cable Types'!$E$2:$E$45,MATCH(I40,'Cable Types'!$A$2:$A$45,0)))</f>
        <v>61</v>
      </c>
      <c r="AS40" s="27" t="n">
        <f aca="false">IF(INDEX('Cable Types'!$F$2:$F$45,MATCH(I40,'Cable Types'!$A$2:$A$45,0))="","",INDEX('Cable Types'!$F$2:$F$45,MATCH(I40,'Cable Types'!$A$2:$A$45,0)))</f>
        <v>165</v>
      </c>
      <c r="AT40" s="35" t="n">
        <f aca="false">IF(INDEX('Cable Types'!$G$2:$G$45,MATCH(I40,'Cable Types'!$A$2:$A$45,0))="","",INDEX('Cable Types'!$G$2:$G$45,MATCH(I40,'Cable Types'!$A$2:$A$45,0)))</f>
        <v>1.068</v>
      </c>
    </row>
    <row r="41" customFormat="false" ht="15" hidden="false" customHeight="false" outlineLevel="0" collapsed="false">
      <c r="A41" s="26" t="s">
        <v>775</v>
      </c>
      <c r="B41" s="26" t="s">
        <v>336</v>
      </c>
      <c r="C41" s="26" t="s">
        <v>71</v>
      </c>
      <c r="D41" s="26" t="s">
        <v>776</v>
      </c>
      <c r="E41" s="26" t="s">
        <v>334</v>
      </c>
      <c r="F41" s="27" t="str">
        <f aca="false">INDEX(Equipment!$B$2:$B$153,MATCH(E41,Equipment!$A$2:$A$153,0))</f>
        <v>CCS 13.8 kV switchboard (CCS substation)</v>
      </c>
      <c r="G41" s="26" t="s">
        <v>348</v>
      </c>
      <c r="H41" s="27" t="str">
        <f aca="false">INDEX(Equipment!$B$2:$B$153,MATCH(G41,Equipment!$A$2:$A$153,0))</f>
        <v>Direct contact cooler circulation pump A 400 kW, 13.8 kV</v>
      </c>
      <c r="I41" s="26" t="s">
        <v>556</v>
      </c>
      <c r="J41" s="27" t="str">
        <f aca="false">INDEX('Cable Types'!$B$2:$B$45,MATCH(I41,'Cable Types'!$A$2:$A$45,0))</f>
        <v>15 kV MV-105 3/C #2 AWG Cu EPR 133% shielded + GC, Type MC-HL, CCW Al armor (Armor-X type), PVC jkt</v>
      </c>
      <c r="K41" s="26" t="n">
        <v>1</v>
      </c>
      <c r="L41" s="26" t="s">
        <v>759</v>
      </c>
      <c r="M41" s="26" t="s">
        <v>703</v>
      </c>
      <c r="N41" s="26"/>
      <c r="O41" s="28" t="n">
        <f aca="false">IF(N41&lt;&gt;"",N41,IF(M41="D",ROUNDUP(SQRT((AL41-AI41)^2+(AM41-AJ41)^2+(AN41-AK41)^2)*(1+'Design Basis'!$C$6),0),ROUNDUP((ABS(AL41-AI41)+ABS(AM41-AJ41)+ABS(AO41-AK41)+ABS(AO41-AN41))*(1+'Design Basis'!$C$4)+2*'Design Basis'!$C$5,0)))</f>
        <v>111</v>
      </c>
      <c r="P41" s="28" t="n">
        <f aca="false">ROUND(O41*'Design Basis'!$C$10,0)</f>
        <v>364</v>
      </c>
      <c r="Q41" s="28" t="n">
        <f aca="false">O41*K41*AQ41</f>
        <v>111</v>
      </c>
      <c r="R41" s="28" t="n">
        <f aca="false">ROUND(Q41*'Design Basis'!$C$10,0)</f>
        <v>364</v>
      </c>
      <c r="S41" s="29" t="n">
        <v>13800</v>
      </c>
      <c r="T41" s="26" t="n">
        <v>3</v>
      </c>
      <c r="U41" s="29" t="n">
        <v>400</v>
      </c>
      <c r="V41" s="30" t="n">
        <v>0.82</v>
      </c>
      <c r="W41" s="28" t="n">
        <f aca="false">IF(OR(U41="",S41=""),"",IF(T41=3,U41*1000/(SQRT(3)*S41*V41),U41*1000/(S41*V41)))</f>
        <v>20.4082809893823</v>
      </c>
      <c r="X41" s="30" t="n">
        <v>1.25</v>
      </c>
      <c r="Y41" s="28" t="n">
        <f aca="false">IF(W41="","",W41*IF(X41="",1,X41))</f>
        <v>25.5103512367279</v>
      </c>
      <c r="Z41" s="28" t="n">
        <f aca="false">IF(OR(AS41="",AP41=""),"",AS41*AP41)</f>
        <v>145.2</v>
      </c>
      <c r="AA41" s="28" t="n">
        <f aca="false">IF(Z41="","",Z41*K41)</f>
        <v>145.2</v>
      </c>
      <c r="AB41" s="31" t="n">
        <f aca="false">IF(OR(Y41="",AA41=""),"",Y41/AA41)</f>
        <v>0.175691124219889</v>
      </c>
      <c r="AC41" s="31" t="n">
        <f aca="false">IF(OR(W41="",AT41=""),"",AT41*(W41/K41)*O41/1000/S41)</f>
        <v>0.000175316006864442</v>
      </c>
      <c r="AD41" s="31" t="n">
        <f aca="false">IF(W41="","",IFERROR(IF(INDEX('Design Basis'!$C$13:$C$21,MATCH(C41,'Design Basis'!$A$13:$A$21,0))="","",INDEX('Design Basis'!$C$13:$C$21,MATCH(C41,'Design Basis'!$A$13:$A$21,0))),""))</f>
        <v>0.03</v>
      </c>
      <c r="AE41" s="32" t="str">
        <f aca="false">IF(W41="","n/a",IF(AA41="","CHECK",IF(AND(AB41&lt;=1,OR(AC41="",AD41="",AC41&lt;=AD41)),"OK","CHECK")))</f>
        <v>OK</v>
      </c>
      <c r="AF41" s="28" t="n">
        <f aca="false">IF(AR41="","",K41*AQ41*PI()/4*AR41^2)</f>
        <v>2922.46656600191</v>
      </c>
      <c r="AG41" s="32"/>
      <c r="AI41" s="33" t="n">
        <f aca="false">INDEX(Equipment!$D$2:$D$153,MATCH(E41,Equipment!$A$2:$A$153,0))</f>
        <v>178</v>
      </c>
      <c r="AJ41" s="33" t="n">
        <f aca="false">INDEX(Equipment!$E$2:$E$153,MATCH(E41,Equipment!$A$2:$A$153,0))</f>
        <v>58</v>
      </c>
      <c r="AK41" s="33" t="n">
        <f aca="false">INDEX(Equipment!$F$2:$F$153,MATCH(E41,Equipment!$A$2:$A$153,0))</f>
        <v>0.5</v>
      </c>
      <c r="AL41" s="33" t="n">
        <f aca="false">INDEX(Equipment!$D$2:$D$153,MATCH(G41,Equipment!$A$2:$A$153,0))</f>
        <v>146</v>
      </c>
      <c r="AM41" s="33" t="n">
        <f aca="false">INDEX(Equipment!$E$2:$E$153,MATCH(G41,Equipment!$A$2:$A$153,0))</f>
        <v>6</v>
      </c>
      <c r="AN41" s="33" t="n">
        <f aca="false">INDEX(Equipment!$F$2:$F$153,MATCH(G41,Equipment!$A$2:$A$153,0))</f>
        <v>0.5</v>
      </c>
      <c r="AO41" s="33" t="n">
        <f aca="false">IF(INDEX(Raceways!$D$2:$D$18,MATCH(L41,Raceways!$A$2:$A$18,0))="",0,INDEX(Raceways!$D$2:$D$18,MATCH(L41,Raceways!$A$2:$A$18,0)))</f>
        <v>6</v>
      </c>
      <c r="AP41" s="34" t="n">
        <f aca="false">IF(INDEX(Raceways!$I$2:$I$18,MATCH(L41,Raceways!$A$2:$A$18,0))="","",INDEX(Raceways!$I$2:$I$18,MATCH(L41,Raceways!$A$2:$A$18,0)))</f>
        <v>0.88</v>
      </c>
      <c r="AQ41" s="27" t="n">
        <f aca="false">INDEX('Cable Types'!$D$2:$D$45,MATCH(I41,'Cable Types'!$A$2:$A$45,0))</f>
        <v>1</v>
      </c>
      <c r="AR41" s="27" t="n">
        <f aca="false">IF(INDEX('Cable Types'!$E$2:$E$45,MATCH(I41,'Cable Types'!$A$2:$A$45,0))="","",INDEX('Cable Types'!$E$2:$E$45,MATCH(I41,'Cable Types'!$A$2:$A$45,0)))</f>
        <v>61</v>
      </c>
      <c r="AS41" s="27" t="n">
        <f aca="false">IF(INDEX('Cable Types'!$F$2:$F$45,MATCH(I41,'Cable Types'!$A$2:$A$45,0))="","",INDEX('Cable Types'!$F$2:$F$45,MATCH(I41,'Cable Types'!$A$2:$A$45,0)))</f>
        <v>165</v>
      </c>
      <c r="AT41" s="35" t="n">
        <f aca="false">IF(INDEX('Cable Types'!$G$2:$G$45,MATCH(I41,'Cable Types'!$A$2:$A$45,0))="","",INDEX('Cable Types'!$G$2:$G$45,MATCH(I41,'Cable Types'!$A$2:$A$45,0)))</f>
        <v>1.068</v>
      </c>
    </row>
    <row r="42" customFormat="false" ht="15" hidden="false" customHeight="false" outlineLevel="0" collapsed="false">
      <c r="A42" s="26" t="s">
        <v>777</v>
      </c>
      <c r="B42" s="26" t="s">
        <v>336</v>
      </c>
      <c r="C42" s="26" t="s">
        <v>71</v>
      </c>
      <c r="D42" s="26" t="s">
        <v>778</v>
      </c>
      <c r="E42" s="26" t="s">
        <v>334</v>
      </c>
      <c r="F42" s="27" t="str">
        <f aca="false">INDEX(Equipment!$B$2:$B$153,MATCH(E42,Equipment!$A$2:$A$153,0))</f>
        <v>CCS 13.8 kV switchboard (CCS substation)</v>
      </c>
      <c r="G42" s="26" t="s">
        <v>351</v>
      </c>
      <c r="H42" s="27" t="str">
        <f aca="false">INDEX(Equipment!$B$2:$B$153,MATCH(G42,Equipment!$A$2:$A$153,0))</f>
        <v>Direct contact cooler circulation pump B 400 kW, 13.8 kV</v>
      </c>
      <c r="I42" s="26" t="s">
        <v>556</v>
      </c>
      <c r="J42" s="27" t="str">
        <f aca="false">INDEX('Cable Types'!$B$2:$B$45,MATCH(I42,'Cable Types'!$A$2:$A$45,0))</f>
        <v>15 kV MV-105 3/C #2 AWG Cu EPR 133% shielded + GC, Type MC-HL, CCW Al armor (Armor-X type), PVC jkt</v>
      </c>
      <c r="K42" s="26" t="n">
        <v>1</v>
      </c>
      <c r="L42" s="26" t="s">
        <v>759</v>
      </c>
      <c r="M42" s="26" t="s">
        <v>703</v>
      </c>
      <c r="N42" s="26"/>
      <c r="O42" s="28" t="n">
        <f aca="false">IF(N42&lt;&gt;"",N42,IF(M42="D",ROUNDUP(SQRT((AL42-AI42)^2+(AM42-AJ42)^2+(AN42-AK42)^2)*(1+'Design Basis'!$C$6),0),ROUNDUP((ABS(AL42-AI42)+ABS(AM42-AJ42)+ABS(AO42-AK42)+ABS(AO42-AN42))*(1+'Design Basis'!$C$4)+2*'Design Basis'!$C$5,0)))</f>
        <v>108</v>
      </c>
      <c r="P42" s="28" t="n">
        <f aca="false">ROUND(O42*'Design Basis'!$C$10,0)</f>
        <v>354</v>
      </c>
      <c r="Q42" s="28" t="n">
        <f aca="false">O42*K42*AQ42</f>
        <v>108</v>
      </c>
      <c r="R42" s="28" t="n">
        <f aca="false">ROUND(Q42*'Design Basis'!$C$10,0)</f>
        <v>354</v>
      </c>
      <c r="S42" s="29" t="n">
        <v>13800</v>
      </c>
      <c r="T42" s="26" t="n">
        <v>3</v>
      </c>
      <c r="U42" s="29" t="n">
        <v>400</v>
      </c>
      <c r="V42" s="30" t="n">
        <v>0.82</v>
      </c>
      <c r="W42" s="28" t="n">
        <f aca="false">IF(OR(U42="",S42=""),"",IF(T42=3,U42*1000/(SQRT(3)*S42*V42),U42*1000/(S42*V42)))</f>
        <v>20.4082809893823</v>
      </c>
      <c r="X42" s="30" t="n">
        <v>1.25</v>
      </c>
      <c r="Y42" s="28" t="n">
        <f aca="false">IF(W42="","",W42*IF(X42="",1,X42))</f>
        <v>25.5103512367279</v>
      </c>
      <c r="Z42" s="28" t="n">
        <f aca="false">IF(OR(AS42="",AP42=""),"",AS42*AP42)</f>
        <v>145.2</v>
      </c>
      <c r="AA42" s="28" t="n">
        <f aca="false">IF(Z42="","",Z42*K42)</f>
        <v>145.2</v>
      </c>
      <c r="AB42" s="31" t="n">
        <f aca="false">IF(OR(Y42="",AA42=""),"",Y42/AA42)</f>
        <v>0.175691124219889</v>
      </c>
      <c r="AC42" s="31" t="n">
        <f aca="false">IF(OR(W42="",AT42=""),"",AT42*(W42/K42)*O42/1000/S42)</f>
        <v>0.000170577736408646</v>
      </c>
      <c r="AD42" s="31" t="n">
        <f aca="false">IF(W42="","",IFERROR(IF(INDEX('Design Basis'!$C$13:$C$21,MATCH(C42,'Design Basis'!$A$13:$A$21,0))="","",INDEX('Design Basis'!$C$13:$C$21,MATCH(C42,'Design Basis'!$A$13:$A$21,0))),""))</f>
        <v>0.03</v>
      </c>
      <c r="AE42" s="32" t="str">
        <f aca="false">IF(W42="","n/a",IF(AA42="","CHECK",IF(AND(AB42&lt;=1,OR(AC42="",AD42="",AC42&lt;=AD42)),"OK","CHECK")))</f>
        <v>OK</v>
      </c>
      <c r="AF42" s="28" t="n">
        <f aca="false">IF(AR42="","",K42*AQ42*PI()/4*AR42^2)</f>
        <v>2922.46656600191</v>
      </c>
      <c r="AG42" s="32"/>
      <c r="AI42" s="33" t="n">
        <f aca="false">INDEX(Equipment!$D$2:$D$153,MATCH(E42,Equipment!$A$2:$A$153,0))</f>
        <v>178</v>
      </c>
      <c r="AJ42" s="33" t="n">
        <f aca="false">INDEX(Equipment!$E$2:$E$153,MATCH(E42,Equipment!$A$2:$A$153,0))</f>
        <v>58</v>
      </c>
      <c r="AK42" s="33" t="n">
        <f aca="false">INDEX(Equipment!$F$2:$F$153,MATCH(E42,Equipment!$A$2:$A$153,0))</f>
        <v>0.5</v>
      </c>
      <c r="AL42" s="33" t="n">
        <f aca="false">INDEX(Equipment!$D$2:$D$153,MATCH(G42,Equipment!$A$2:$A$153,0))</f>
        <v>146</v>
      </c>
      <c r="AM42" s="33" t="n">
        <f aca="false">INDEX(Equipment!$E$2:$E$153,MATCH(G42,Equipment!$A$2:$A$153,0))</f>
        <v>9</v>
      </c>
      <c r="AN42" s="33" t="n">
        <f aca="false">INDEX(Equipment!$F$2:$F$153,MATCH(G42,Equipment!$A$2:$A$153,0))</f>
        <v>0.5</v>
      </c>
      <c r="AO42" s="33" t="n">
        <f aca="false">IF(INDEX(Raceways!$D$2:$D$18,MATCH(L42,Raceways!$A$2:$A$18,0))="",0,INDEX(Raceways!$D$2:$D$18,MATCH(L42,Raceways!$A$2:$A$18,0)))</f>
        <v>6</v>
      </c>
      <c r="AP42" s="34" t="n">
        <f aca="false">IF(INDEX(Raceways!$I$2:$I$18,MATCH(L42,Raceways!$A$2:$A$18,0))="","",INDEX(Raceways!$I$2:$I$18,MATCH(L42,Raceways!$A$2:$A$18,0)))</f>
        <v>0.88</v>
      </c>
      <c r="AQ42" s="27" t="n">
        <f aca="false">INDEX('Cable Types'!$D$2:$D$45,MATCH(I42,'Cable Types'!$A$2:$A$45,0))</f>
        <v>1</v>
      </c>
      <c r="AR42" s="27" t="n">
        <f aca="false">IF(INDEX('Cable Types'!$E$2:$E$45,MATCH(I42,'Cable Types'!$A$2:$A$45,0))="","",INDEX('Cable Types'!$E$2:$E$45,MATCH(I42,'Cable Types'!$A$2:$A$45,0)))</f>
        <v>61</v>
      </c>
      <c r="AS42" s="27" t="n">
        <f aca="false">IF(INDEX('Cable Types'!$F$2:$F$45,MATCH(I42,'Cable Types'!$A$2:$A$45,0))="","",INDEX('Cable Types'!$F$2:$F$45,MATCH(I42,'Cable Types'!$A$2:$A$45,0)))</f>
        <v>165</v>
      </c>
      <c r="AT42" s="35" t="n">
        <f aca="false">IF(INDEX('Cable Types'!$G$2:$G$45,MATCH(I42,'Cable Types'!$A$2:$A$45,0))="","",INDEX('Cable Types'!$G$2:$G$45,MATCH(I42,'Cable Types'!$A$2:$A$45,0)))</f>
        <v>1.068</v>
      </c>
    </row>
    <row r="43" customFormat="false" ht="15" hidden="false" customHeight="false" outlineLevel="0" collapsed="false">
      <c r="A43" s="26" t="s">
        <v>779</v>
      </c>
      <c r="B43" s="26" t="s">
        <v>336</v>
      </c>
      <c r="C43" s="26" t="s">
        <v>71</v>
      </c>
      <c r="D43" s="26" t="s">
        <v>780</v>
      </c>
      <c r="E43" s="26" t="s">
        <v>334</v>
      </c>
      <c r="F43" s="27" t="str">
        <f aca="false">INDEX(Equipment!$B$2:$B$153,MATCH(E43,Equipment!$A$2:$A$153,0))</f>
        <v>CCS 13.8 kV switchboard (CCS substation)</v>
      </c>
      <c r="G43" s="26" t="s">
        <v>338</v>
      </c>
      <c r="H43" s="27" t="str">
        <f aca="false">INDEX(Equipment!$B$2:$B$153,MATCH(G43,Equipment!$A$2:$A$153,0))</f>
        <v>CCS LV transformer 13.8/0.48 kV 2.5 MVA</v>
      </c>
      <c r="I43" s="26" t="s">
        <v>558</v>
      </c>
      <c r="J43" s="27" t="str">
        <f aca="false">INDEX('Cable Types'!$B$2:$B$45,MATCH(I43,'Cable Types'!$A$2:$A$45,0))</f>
        <v>15 kV MV-105 3/C 1/0 AWG Cu EPR 133% shielded + GC, Type MC-HL, CCW Al armor (Armor-X type), PVC jkt</v>
      </c>
      <c r="K43" s="26" t="n">
        <v>1</v>
      </c>
      <c r="L43" s="26" t="s">
        <v>714</v>
      </c>
      <c r="M43" s="26" t="s">
        <v>703</v>
      </c>
      <c r="N43" s="26"/>
      <c r="O43" s="28" t="n">
        <f aca="false">IF(N43&lt;&gt;"",N43,IF(M43="D",ROUNDUP(SQRT((AL43-AI43)^2+(AM43-AJ43)^2+(AN43-AK43)^2)*(1+'Design Basis'!$C$6),0),ROUNDUP((ABS(AL43-AI43)+ABS(AM43-AJ43)+ABS(AO43-AK43)+ABS(AO43-AN43))*(1+'Design Basis'!$C$4)+2*'Design Basis'!$C$5,0)))</f>
        <v>14</v>
      </c>
      <c r="P43" s="28" t="n">
        <f aca="false">ROUND(O43*'Design Basis'!$C$10,0)</f>
        <v>46</v>
      </c>
      <c r="Q43" s="28" t="n">
        <f aca="false">O43*K43*AQ43</f>
        <v>14</v>
      </c>
      <c r="R43" s="28" t="n">
        <f aca="false">ROUND(Q43*'Design Basis'!$C$10,0)</f>
        <v>46</v>
      </c>
      <c r="S43" s="29" t="n">
        <v>13800</v>
      </c>
      <c r="T43" s="26" t="n">
        <v>3</v>
      </c>
      <c r="U43" s="29" t="n">
        <v>2500</v>
      </c>
      <c r="V43" s="30" t="n">
        <v>1</v>
      </c>
      <c r="W43" s="28" t="n">
        <f aca="false">IF(OR(U43="",S43=""),"",IF(T43=3,U43*1000/(SQRT(3)*S43*V43),U43*1000/(S43*V43)))</f>
        <v>104.592440070584</v>
      </c>
      <c r="X43" s="30" t="n">
        <v>1.25</v>
      </c>
      <c r="Y43" s="28" t="n">
        <f aca="false">IF(W43="","",W43*IF(X43="",1,X43))</f>
        <v>130.74055008823</v>
      </c>
      <c r="Z43" s="28" t="n">
        <f aca="false">IF(OR(AS43="",AP43=""),"",AS43*AP43)</f>
        <v>189.2</v>
      </c>
      <c r="AA43" s="28" t="n">
        <f aca="false">IF(Z43="","",Z43*K43)</f>
        <v>189.2</v>
      </c>
      <c r="AB43" s="31" t="n">
        <f aca="false">IF(OR(Y43="",AA43=""),"",Y43/AA43)</f>
        <v>0.691017706597413</v>
      </c>
      <c r="AC43" s="31" t="n">
        <f aca="false">IF(OR(W43="",AT43=""),"",AT43*(W43/K43)*O43/1000/S43)</f>
        <v>7.59735231353288E-005</v>
      </c>
      <c r="AD43" s="31" t="n">
        <f aca="false">IF(W43="","",IFERROR(IF(INDEX('Design Basis'!$C$13:$C$21,MATCH(C43,'Design Basis'!$A$13:$A$21,0))="","",INDEX('Design Basis'!$C$13:$C$21,MATCH(C43,'Design Basis'!$A$13:$A$21,0))),""))</f>
        <v>0.03</v>
      </c>
      <c r="AE43" s="32" t="str">
        <f aca="false">IF(W43="","n/a",IF(AA43="","CHECK",IF(AND(AB43&lt;=1,OR(AC43="",AD43="",AC43&lt;=AD43)),"OK","CHECK")))</f>
        <v>OK</v>
      </c>
      <c r="AF43" s="28" t="n">
        <f aca="false">IF(AR43="","",K43*AQ43*PI()/4*AR43^2)</f>
        <v>3421.19439975929</v>
      </c>
      <c r="AG43" s="32"/>
      <c r="AI43" s="33" t="n">
        <f aca="false">INDEX(Equipment!$D$2:$D$153,MATCH(E43,Equipment!$A$2:$A$153,0))</f>
        <v>178</v>
      </c>
      <c r="AJ43" s="33" t="n">
        <f aca="false">INDEX(Equipment!$E$2:$E$153,MATCH(E43,Equipment!$A$2:$A$153,0))</f>
        <v>58</v>
      </c>
      <c r="AK43" s="33" t="n">
        <f aca="false">INDEX(Equipment!$F$2:$F$153,MATCH(E43,Equipment!$A$2:$A$153,0))</f>
        <v>0.5</v>
      </c>
      <c r="AL43" s="33" t="n">
        <f aca="false">INDEX(Equipment!$D$2:$D$153,MATCH(G43,Equipment!$A$2:$A$153,0))</f>
        <v>182</v>
      </c>
      <c r="AM43" s="33" t="n">
        <f aca="false">INDEX(Equipment!$E$2:$E$153,MATCH(G43,Equipment!$A$2:$A$153,0))</f>
        <v>60</v>
      </c>
      <c r="AN43" s="33" t="n">
        <f aca="false">INDEX(Equipment!$F$2:$F$153,MATCH(G43,Equipment!$A$2:$A$153,0))</f>
        <v>0.5</v>
      </c>
      <c r="AO43" s="33" t="n">
        <f aca="false">IF(INDEX(Raceways!$D$2:$D$18,MATCH(L43,Raceways!$A$2:$A$18,0))="",0,INDEX(Raceways!$D$2:$D$18,MATCH(L43,Raceways!$A$2:$A$18,0)))</f>
        <v>1</v>
      </c>
      <c r="AP43" s="34" t="n">
        <f aca="false">IF(INDEX(Raceways!$I$2:$I$18,MATCH(L43,Raceways!$A$2:$A$18,0))="","",INDEX(Raceways!$I$2:$I$18,MATCH(L43,Raceways!$A$2:$A$18,0)))</f>
        <v>0.88</v>
      </c>
      <c r="AQ43" s="27" t="n">
        <f aca="false">INDEX('Cable Types'!$D$2:$D$45,MATCH(I43,'Cable Types'!$A$2:$A$45,0))</f>
        <v>1</v>
      </c>
      <c r="AR43" s="27" t="n">
        <f aca="false">IF(INDEX('Cable Types'!$E$2:$E$45,MATCH(I43,'Cable Types'!$A$2:$A$45,0))="","",INDEX('Cable Types'!$E$2:$E$45,MATCH(I43,'Cable Types'!$A$2:$A$45,0)))</f>
        <v>66</v>
      </c>
      <c r="AS43" s="27" t="n">
        <f aca="false">IF(INDEX('Cable Types'!$F$2:$F$45,MATCH(I43,'Cable Types'!$A$2:$A$45,0))="","",INDEX('Cable Types'!$F$2:$F$45,MATCH(I43,'Cable Types'!$A$2:$A$45,0)))</f>
        <v>215</v>
      </c>
      <c r="AT43" s="35" t="n">
        <f aca="false">IF(INDEX('Cable Types'!$G$2:$G$45,MATCH(I43,'Cable Types'!$A$2:$A$45,0))="","",INDEX('Cable Types'!$G$2:$G$45,MATCH(I43,'Cable Types'!$A$2:$A$45,0)))</f>
        <v>0.716</v>
      </c>
    </row>
    <row r="44" customFormat="false" ht="15" hidden="false" customHeight="false" outlineLevel="0" collapsed="false">
      <c r="A44" s="26" t="s">
        <v>781</v>
      </c>
      <c r="B44" s="26" t="s">
        <v>133</v>
      </c>
      <c r="C44" s="26" t="s">
        <v>71</v>
      </c>
      <c r="D44" s="26" t="s">
        <v>782</v>
      </c>
      <c r="E44" s="26" t="s">
        <v>407</v>
      </c>
      <c r="F44" s="27" t="str">
        <f aca="false">INDEX(Equipment!$B$2:$B$153,MATCH(E44,Equipment!$A$2:$A$153,0))</f>
        <v>Gas engine genset 1 (40 ft container) 2.5 MVA, 13.8 kV - terminal box</v>
      </c>
      <c r="G44" s="26" t="s">
        <v>395</v>
      </c>
      <c r="H44" s="27" t="str">
        <f aca="false">INDEX(Equipment!$B$2:$B$153,MATCH(G44,Equipment!$A$2:$A$153,0))</f>
        <v>RICE 13.8 kV collector switchgear e-house</v>
      </c>
      <c r="I44" s="26" t="s">
        <v>556</v>
      </c>
      <c r="J44" s="27" t="str">
        <f aca="false">INDEX('Cable Types'!$B$2:$B$45,MATCH(I44,'Cable Types'!$A$2:$A$45,0))</f>
        <v>15 kV MV-105 3/C #2 AWG Cu EPR 133% shielded + GC, Type MC-HL, CCW Al armor (Armor-X type), PVC jkt</v>
      </c>
      <c r="K44" s="26" t="n">
        <v>1</v>
      </c>
      <c r="L44" s="26" t="s">
        <v>783</v>
      </c>
      <c r="M44" s="26" t="s">
        <v>703</v>
      </c>
      <c r="N44" s="26"/>
      <c r="O44" s="28" t="n">
        <f aca="false">IF(N44&lt;&gt;"",N44,IF(M44="D",ROUNDUP(SQRT((AL44-AI44)^2+(AM44-AJ44)^2+(AN44-AK44)^2)*(1+'Design Basis'!$C$6),0),ROUNDUP((ABS(AL44-AI44)+ABS(AM44-AJ44)+ABS(AO44-AK44)+ABS(AO44-AN44))*(1+'Design Basis'!$C$4)+2*'Design Basis'!$C$5,0)))</f>
        <v>52</v>
      </c>
      <c r="P44" s="28" t="n">
        <f aca="false">ROUND(O44*'Design Basis'!$C$10,0)</f>
        <v>171</v>
      </c>
      <c r="Q44" s="28" t="n">
        <f aca="false">O44*K44*AQ44</f>
        <v>52</v>
      </c>
      <c r="R44" s="28" t="n">
        <f aca="false">ROUND(Q44*'Design Basis'!$C$10,0)</f>
        <v>171</v>
      </c>
      <c r="S44" s="29" t="n">
        <v>13800</v>
      </c>
      <c r="T44" s="26" t="n">
        <v>3</v>
      </c>
      <c r="U44" s="29" t="n">
        <v>2500</v>
      </c>
      <c r="V44" s="30" t="n">
        <v>1</v>
      </c>
      <c r="W44" s="28" t="n">
        <f aca="false">IF(OR(U44="",S44=""),"",IF(T44=3,U44*1000/(SQRT(3)*S44*V44),U44*1000/(S44*V44)))</f>
        <v>104.592440070584</v>
      </c>
      <c r="X44" s="30" t="n">
        <v>1.15</v>
      </c>
      <c r="Y44" s="28" t="n">
        <f aca="false">IF(W44="","",W44*IF(X44="",1,X44))</f>
        <v>120.281306081172</v>
      </c>
      <c r="Z44" s="28" t="n">
        <f aca="false">IF(OR(AS44="",AP44=""),"",AS44*AP44)</f>
        <v>145.2</v>
      </c>
      <c r="AA44" s="28" t="n">
        <f aca="false">IF(Z44="","",Z44*K44)</f>
        <v>145.2</v>
      </c>
      <c r="AB44" s="31" t="n">
        <f aca="false">IF(OR(Y44="",AA44=""),"",Y44/AA44)</f>
        <v>0.828383650696777</v>
      </c>
      <c r="AC44" s="31" t="n">
        <f aca="false">IF(OR(W44="",AT44=""),"",AT44*(W44/K44)*O44/1000/S44)</f>
        <v>0.000420916358823187</v>
      </c>
      <c r="AD44" s="31" t="n">
        <f aca="false">IF(W44="","",IFERROR(IF(INDEX('Design Basis'!$C$13:$C$21,MATCH(C44,'Design Basis'!$A$13:$A$21,0))="","",INDEX('Design Basis'!$C$13:$C$21,MATCH(C44,'Design Basis'!$A$13:$A$21,0))),""))</f>
        <v>0.03</v>
      </c>
      <c r="AE44" s="32" t="str">
        <f aca="false">IF(W44="","n/a",IF(AA44="","CHECK",IF(AND(AB44&lt;=1,OR(AC44="",AD44="",AC44&lt;=AD44)),"OK","CHECK")))</f>
        <v>OK</v>
      </c>
      <c r="AF44" s="28" t="n">
        <f aca="false">IF(AR44="","",K44*AQ44*PI()/4*AR44^2)</f>
        <v>2922.46656600191</v>
      </c>
      <c r="AG44" s="32" t="s">
        <v>784</v>
      </c>
      <c r="AI44" s="33" t="n">
        <f aca="false">INDEX(Equipment!$D$2:$D$153,MATCH(E44,Equipment!$A$2:$A$153,0))</f>
        <v>2.2</v>
      </c>
      <c r="AJ44" s="33" t="n">
        <f aca="false">INDEX(Equipment!$E$2:$E$153,MATCH(E44,Equipment!$A$2:$A$153,0))</f>
        <v>71.45</v>
      </c>
      <c r="AK44" s="33" t="n">
        <f aca="false">INDEX(Equipment!$F$2:$F$153,MATCH(E44,Equipment!$A$2:$A$153,0))</f>
        <v>1.5</v>
      </c>
      <c r="AL44" s="33" t="n">
        <f aca="false">INDEX(Equipment!$D$2:$D$153,MATCH(G44,Equipment!$A$2:$A$153,0))</f>
        <v>12</v>
      </c>
      <c r="AM44" s="33" t="n">
        <f aca="false">INDEX(Equipment!$E$2:$E$153,MATCH(G44,Equipment!$A$2:$A$153,0))</f>
        <v>99</v>
      </c>
      <c r="AN44" s="33" t="n">
        <f aca="false">INDEX(Equipment!$F$2:$F$153,MATCH(G44,Equipment!$A$2:$A$153,0))</f>
        <v>0.5</v>
      </c>
      <c r="AO44" s="33" t="n">
        <f aca="false">IF(INDEX(Raceways!$D$2:$D$18,MATCH(L44,Raceways!$A$2:$A$18,0))="",0,INDEX(Raceways!$D$2:$D$18,MATCH(L44,Raceways!$A$2:$A$18,0)))</f>
        <v>3</v>
      </c>
      <c r="AP44" s="34" t="n">
        <f aca="false">IF(INDEX(Raceways!$I$2:$I$18,MATCH(L44,Raceways!$A$2:$A$18,0))="","",INDEX(Raceways!$I$2:$I$18,MATCH(L44,Raceways!$A$2:$A$18,0)))</f>
        <v>0.88</v>
      </c>
      <c r="AQ44" s="27" t="n">
        <f aca="false">INDEX('Cable Types'!$D$2:$D$45,MATCH(I44,'Cable Types'!$A$2:$A$45,0))</f>
        <v>1</v>
      </c>
      <c r="AR44" s="27" t="n">
        <f aca="false">IF(INDEX('Cable Types'!$E$2:$E$45,MATCH(I44,'Cable Types'!$A$2:$A$45,0))="","",INDEX('Cable Types'!$E$2:$E$45,MATCH(I44,'Cable Types'!$A$2:$A$45,0)))</f>
        <v>61</v>
      </c>
      <c r="AS44" s="27" t="n">
        <f aca="false">IF(INDEX('Cable Types'!$F$2:$F$45,MATCH(I44,'Cable Types'!$A$2:$A$45,0))="","",INDEX('Cable Types'!$F$2:$F$45,MATCH(I44,'Cable Types'!$A$2:$A$45,0)))</f>
        <v>165</v>
      </c>
      <c r="AT44" s="35" t="n">
        <f aca="false">IF(INDEX('Cable Types'!$G$2:$G$45,MATCH(I44,'Cable Types'!$A$2:$A$45,0))="","",INDEX('Cable Types'!$G$2:$G$45,MATCH(I44,'Cable Types'!$A$2:$A$45,0)))</f>
        <v>1.068</v>
      </c>
    </row>
    <row r="45" customFormat="false" ht="15" hidden="false" customHeight="false" outlineLevel="0" collapsed="false">
      <c r="A45" s="26" t="s">
        <v>785</v>
      </c>
      <c r="B45" s="26" t="s">
        <v>133</v>
      </c>
      <c r="C45" s="26" t="s">
        <v>71</v>
      </c>
      <c r="D45" s="26" t="s">
        <v>786</v>
      </c>
      <c r="E45" s="26" t="s">
        <v>410</v>
      </c>
      <c r="F45" s="27" t="str">
        <f aca="false">INDEX(Equipment!$B$2:$B$153,MATCH(E45,Equipment!$A$2:$A$153,0))</f>
        <v>Gas engine genset 2 (40 ft container) 2.5 MVA, 13.8 kV - terminal box</v>
      </c>
      <c r="G45" s="26" t="s">
        <v>395</v>
      </c>
      <c r="H45" s="27" t="str">
        <f aca="false">INDEX(Equipment!$B$2:$B$153,MATCH(G45,Equipment!$A$2:$A$153,0))</f>
        <v>RICE 13.8 kV collector switchgear e-house</v>
      </c>
      <c r="I45" s="26" t="s">
        <v>556</v>
      </c>
      <c r="J45" s="27" t="str">
        <f aca="false">INDEX('Cable Types'!$B$2:$B$45,MATCH(I45,'Cable Types'!$A$2:$A$45,0))</f>
        <v>15 kV MV-105 3/C #2 AWG Cu EPR 133% shielded + GC, Type MC-HL, CCW Al armor (Armor-X type), PVC jkt</v>
      </c>
      <c r="K45" s="26" t="n">
        <v>1</v>
      </c>
      <c r="L45" s="26" t="s">
        <v>783</v>
      </c>
      <c r="M45" s="26" t="s">
        <v>703</v>
      </c>
      <c r="N45" s="26"/>
      <c r="O45" s="28" t="n">
        <f aca="false">IF(N45&lt;&gt;"",N45,IF(M45="D",ROUNDUP(SQRT((AL45-AI45)^2+(AM45-AJ45)^2+(AN45-AK45)^2)*(1+'Design Basis'!$C$6),0),ROUNDUP((ABS(AL45-AI45)+ABS(AM45-AJ45)+ABS(AO45-AK45)+ABS(AO45-AN45))*(1+'Design Basis'!$C$4)+2*'Design Basis'!$C$5,0)))</f>
        <v>47</v>
      </c>
      <c r="P45" s="28" t="n">
        <f aca="false">ROUND(O45*'Design Basis'!$C$10,0)</f>
        <v>154</v>
      </c>
      <c r="Q45" s="28" t="n">
        <f aca="false">O45*K45*AQ45</f>
        <v>47</v>
      </c>
      <c r="R45" s="28" t="n">
        <f aca="false">ROUND(Q45*'Design Basis'!$C$10,0)</f>
        <v>154</v>
      </c>
      <c r="S45" s="29" t="n">
        <v>13800</v>
      </c>
      <c r="T45" s="26" t="n">
        <v>3</v>
      </c>
      <c r="U45" s="29" t="n">
        <v>2500</v>
      </c>
      <c r="V45" s="30" t="n">
        <v>1</v>
      </c>
      <c r="W45" s="28" t="n">
        <f aca="false">IF(OR(U45="",S45=""),"",IF(T45=3,U45*1000/(SQRT(3)*S45*V45),U45*1000/(S45*V45)))</f>
        <v>104.592440070584</v>
      </c>
      <c r="X45" s="30" t="n">
        <v>1.15</v>
      </c>
      <c r="Y45" s="28" t="n">
        <f aca="false">IF(W45="","",W45*IF(X45="",1,X45))</f>
        <v>120.281306081172</v>
      </c>
      <c r="Z45" s="28" t="n">
        <f aca="false">IF(OR(AS45="",AP45=""),"",AS45*AP45)</f>
        <v>145.2</v>
      </c>
      <c r="AA45" s="28" t="n">
        <f aca="false">IF(Z45="","",Z45*K45)</f>
        <v>145.2</v>
      </c>
      <c r="AB45" s="31" t="n">
        <f aca="false">IF(OR(Y45="",AA45=""),"",Y45/AA45)</f>
        <v>0.828383650696777</v>
      </c>
      <c r="AC45" s="31" t="n">
        <f aca="false">IF(OR(W45="",AT45=""),"",AT45*(W45/K45)*O45/1000/S45)</f>
        <v>0.000380443632013265</v>
      </c>
      <c r="AD45" s="31" t="n">
        <f aca="false">IF(W45="","",IFERROR(IF(INDEX('Design Basis'!$C$13:$C$21,MATCH(C45,'Design Basis'!$A$13:$A$21,0))="","",INDEX('Design Basis'!$C$13:$C$21,MATCH(C45,'Design Basis'!$A$13:$A$21,0))),""))</f>
        <v>0.03</v>
      </c>
      <c r="AE45" s="32" t="str">
        <f aca="false">IF(W45="","n/a",IF(AA45="","CHECK",IF(AND(AB45&lt;=1,OR(AC45="",AD45="",AC45&lt;=AD45)),"OK","CHECK")))</f>
        <v>OK</v>
      </c>
      <c r="AF45" s="28" t="n">
        <f aca="false">IF(AR45="","",K45*AQ45*PI()/4*AR45^2)</f>
        <v>2922.46656600191</v>
      </c>
      <c r="AG45" s="32" t="s">
        <v>784</v>
      </c>
      <c r="AI45" s="33" t="n">
        <f aca="false">INDEX(Equipment!$D$2:$D$153,MATCH(E45,Equipment!$A$2:$A$153,0))</f>
        <v>2.2</v>
      </c>
      <c r="AJ45" s="33" t="n">
        <f aca="false">INDEX(Equipment!$E$2:$E$153,MATCH(E45,Equipment!$A$2:$A$153,0))</f>
        <v>75.65</v>
      </c>
      <c r="AK45" s="33" t="n">
        <f aca="false">INDEX(Equipment!$F$2:$F$153,MATCH(E45,Equipment!$A$2:$A$153,0))</f>
        <v>1.5</v>
      </c>
      <c r="AL45" s="33" t="n">
        <f aca="false">INDEX(Equipment!$D$2:$D$153,MATCH(G45,Equipment!$A$2:$A$153,0))</f>
        <v>12</v>
      </c>
      <c r="AM45" s="33" t="n">
        <f aca="false">INDEX(Equipment!$E$2:$E$153,MATCH(G45,Equipment!$A$2:$A$153,0))</f>
        <v>99</v>
      </c>
      <c r="AN45" s="33" t="n">
        <f aca="false">INDEX(Equipment!$F$2:$F$153,MATCH(G45,Equipment!$A$2:$A$153,0))</f>
        <v>0.5</v>
      </c>
      <c r="AO45" s="33" t="n">
        <f aca="false">IF(INDEX(Raceways!$D$2:$D$18,MATCH(L45,Raceways!$A$2:$A$18,0))="",0,INDEX(Raceways!$D$2:$D$18,MATCH(L45,Raceways!$A$2:$A$18,0)))</f>
        <v>3</v>
      </c>
      <c r="AP45" s="34" t="n">
        <f aca="false">IF(INDEX(Raceways!$I$2:$I$18,MATCH(L45,Raceways!$A$2:$A$18,0))="","",INDEX(Raceways!$I$2:$I$18,MATCH(L45,Raceways!$A$2:$A$18,0)))</f>
        <v>0.88</v>
      </c>
      <c r="AQ45" s="27" t="n">
        <f aca="false">INDEX('Cable Types'!$D$2:$D$45,MATCH(I45,'Cable Types'!$A$2:$A$45,0))</f>
        <v>1</v>
      </c>
      <c r="AR45" s="27" t="n">
        <f aca="false">IF(INDEX('Cable Types'!$E$2:$E$45,MATCH(I45,'Cable Types'!$A$2:$A$45,0))="","",INDEX('Cable Types'!$E$2:$E$45,MATCH(I45,'Cable Types'!$A$2:$A$45,0)))</f>
        <v>61</v>
      </c>
      <c r="AS45" s="27" t="n">
        <f aca="false">IF(INDEX('Cable Types'!$F$2:$F$45,MATCH(I45,'Cable Types'!$A$2:$A$45,0))="","",INDEX('Cable Types'!$F$2:$F$45,MATCH(I45,'Cable Types'!$A$2:$A$45,0)))</f>
        <v>165</v>
      </c>
      <c r="AT45" s="35" t="n">
        <f aca="false">IF(INDEX('Cable Types'!$G$2:$G$45,MATCH(I45,'Cable Types'!$A$2:$A$45,0))="","",INDEX('Cable Types'!$G$2:$G$45,MATCH(I45,'Cable Types'!$A$2:$A$45,0)))</f>
        <v>1.068</v>
      </c>
    </row>
    <row r="46" customFormat="false" ht="15" hidden="false" customHeight="false" outlineLevel="0" collapsed="false">
      <c r="A46" s="26" t="s">
        <v>787</v>
      </c>
      <c r="B46" s="26" t="s">
        <v>133</v>
      </c>
      <c r="C46" s="26" t="s">
        <v>71</v>
      </c>
      <c r="D46" s="26" t="s">
        <v>788</v>
      </c>
      <c r="E46" s="26" t="s">
        <v>413</v>
      </c>
      <c r="F46" s="27" t="str">
        <f aca="false">INDEX(Equipment!$B$2:$B$153,MATCH(E46,Equipment!$A$2:$A$153,0))</f>
        <v>Gas engine genset 3 (40 ft container) 2.5 MVA, 13.8 kV - terminal box</v>
      </c>
      <c r="G46" s="26" t="s">
        <v>395</v>
      </c>
      <c r="H46" s="27" t="str">
        <f aca="false">INDEX(Equipment!$B$2:$B$153,MATCH(G46,Equipment!$A$2:$A$153,0))</f>
        <v>RICE 13.8 kV collector switchgear e-house</v>
      </c>
      <c r="I46" s="26" t="s">
        <v>556</v>
      </c>
      <c r="J46" s="27" t="str">
        <f aca="false">INDEX('Cable Types'!$B$2:$B$45,MATCH(I46,'Cable Types'!$A$2:$A$45,0))</f>
        <v>15 kV MV-105 3/C #2 AWG Cu EPR 133% shielded + GC, Type MC-HL, CCW Al armor (Armor-X type), PVC jkt</v>
      </c>
      <c r="K46" s="26" t="n">
        <v>1</v>
      </c>
      <c r="L46" s="26" t="s">
        <v>783</v>
      </c>
      <c r="M46" s="26" t="s">
        <v>703</v>
      </c>
      <c r="N46" s="26"/>
      <c r="O46" s="28" t="n">
        <f aca="false">IF(N46&lt;&gt;"",N46,IF(M46="D",ROUNDUP(SQRT((AL46-AI46)^2+(AM46-AJ46)^2+(AN46-AK46)^2)*(1+'Design Basis'!$C$6),0),ROUNDUP((ABS(AL46-AI46)+ABS(AM46-AJ46)+ABS(AO46-AK46)+ABS(AO46-AN46))*(1+'Design Basis'!$C$4)+2*'Design Basis'!$C$5,0)))</f>
        <v>43</v>
      </c>
      <c r="P46" s="28" t="n">
        <f aca="false">ROUND(O46*'Design Basis'!$C$10,0)</f>
        <v>141</v>
      </c>
      <c r="Q46" s="28" t="n">
        <f aca="false">O46*K46*AQ46</f>
        <v>43</v>
      </c>
      <c r="R46" s="28" t="n">
        <f aca="false">ROUND(Q46*'Design Basis'!$C$10,0)</f>
        <v>141</v>
      </c>
      <c r="S46" s="29" t="n">
        <v>13800</v>
      </c>
      <c r="T46" s="26" t="n">
        <v>3</v>
      </c>
      <c r="U46" s="29" t="n">
        <v>2500</v>
      </c>
      <c r="V46" s="30" t="n">
        <v>1</v>
      </c>
      <c r="W46" s="28" t="n">
        <f aca="false">IF(OR(U46="",S46=""),"",IF(T46=3,U46*1000/(SQRT(3)*S46*V46),U46*1000/(S46*V46)))</f>
        <v>104.592440070584</v>
      </c>
      <c r="X46" s="30" t="n">
        <v>1.15</v>
      </c>
      <c r="Y46" s="28" t="n">
        <f aca="false">IF(W46="","",W46*IF(X46="",1,X46))</f>
        <v>120.281306081172</v>
      </c>
      <c r="Z46" s="28" t="n">
        <f aca="false">IF(OR(AS46="",AP46=""),"",AS46*AP46)</f>
        <v>145.2</v>
      </c>
      <c r="AA46" s="28" t="n">
        <f aca="false">IF(Z46="","",Z46*K46)</f>
        <v>145.2</v>
      </c>
      <c r="AB46" s="31" t="n">
        <f aca="false">IF(OR(Y46="",AA46=""),"",Y46/AA46)</f>
        <v>0.828383650696777</v>
      </c>
      <c r="AC46" s="31" t="n">
        <f aca="false">IF(OR(W46="",AT46=""),"",AT46*(W46/K46)*O46/1000/S46)</f>
        <v>0.000348065450565327</v>
      </c>
      <c r="AD46" s="31" t="n">
        <f aca="false">IF(W46="","",IFERROR(IF(INDEX('Design Basis'!$C$13:$C$21,MATCH(C46,'Design Basis'!$A$13:$A$21,0))="","",INDEX('Design Basis'!$C$13:$C$21,MATCH(C46,'Design Basis'!$A$13:$A$21,0))),""))</f>
        <v>0.03</v>
      </c>
      <c r="AE46" s="32" t="str">
        <f aca="false">IF(W46="","n/a",IF(AA46="","CHECK",IF(AND(AB46&lt;=1,OR(AC46="",AD46="",AC46&lt;=AD46)),"OK","CHECK")))</f>
        <v>OK</v>
      </c>
      <c r="AF46" s="28" t="n">
        <f aca="false">IF(AR46="","",K46*AQ46*PI()/4*AR46^2)</f>
        <v>2922.46656600191</v>
      </c>
      <c r="AG46" s="32" t="s">
        <v>784</v>
      </c>
      <c r="AI46" s="33" t="n">
        <f aca="false">INDEX(Equipment!$D$2:$D$153,MATCH(E46,Equipment!$A$2:$A$153,0))</f>
        <v>2.2</v>
      </c>
      <c r="AJ46" s="33" t="n">
        <f aca="false">INDEX(Equipment!$E$2:$E$153,MATCH(E46,Equipment!$A$2:$A$153,0))</f>
        <v>79.85</v>
      </c>
      <c r="AK46" s="33" t="n">
        <f aca="false">INDEX(Equipment!$F$2:$F$153,MATCH(E46,Equipment!$A$2:$A$153,0))</f>
        <v>1.5</v>
      </c>
      <c r="AL46" s="33" t="n">
        <f aca="false">INDEX(Equipment!$D$2:$D$153,MATCH(G46,Equipment!$A$2:$A$153,0))</f>
        <v>12</v>
      </c>
      <c r="AM46" s="33" t="n">
        <f aca="false">INDEX(Equipment!$E$2:$E$153,MATCH(G46,Equipment!$A$2:$A$153,0))</f>
        <v>99</v>
      </c>
      <c r="AN46" s="33" t="n">
        <f aca="false">INDEX(Equipment!$F$2:$F$153,MATCH(G46,Equipment!$A$2:$A$153,0))</f>
        <v>0.5</v>
      </c>
      <c r="AO46" s="33" t="n">
        <f aca="false">IF(INDEX(Raceways!$D$2:$D$18,MATCH(L46,Raceways!$A$2:$A$18,0))="",0,INDEX(Raceways!$D$2:$D$18,MATCH(L46,Raceways!$A$2:$A$18,0)))</f>
        <v>3</v>
      </c>
      <c r="AP46" s="34" t="n">
        <f aca="false">IF(INDEX(Raceways!$I$2:$I$18,MATCH(L46,Raceways!$A$2:$A$18,0))="","",INDEX(Raceways!$I$2:$I$18,MATCH(L46,Raceways!$A$2:$A$18,0)))</f>
        <v>0.88</v>
      </c>
      <c r="AQ46" s="27" t="n">
        <f aca="false">INDEX('Cable Types'!$D$2:$D$45,MATCH(I46,'Cable Types'!$A$2:$A$45,0))</f>
        <v>1</v>
      </c>
      <c r="AR46" s="27" t="n">
        <f aca="false">IF(INDEX('Cable Types'!$E$2:$E$45,MATCH(I46,'Cable Types'!$A$2:$A$45,0))="","",INDEX('Cable Types'!$E$2:$E$45,MATCH(I46,'Cable Types'!$A$2:$A$45,0)))</f>
        <v>61</v>
      </c>
      <c r="AS46" s="27" t="n">
        <f aca="false">IF(INDEX('Cable Types'!$F$2:$F$45,MATCH(I46,'Cable Types'!$A$2:$A$45,0))="","",INDEX('Cable Types'!$F$2:$F$45,MATCH(I46,'Cable Types'!$A$2:$A$45,0)))</f>
        <v>165</v>
      </c>
      <c r="AT46" s="35" t="n">
        <f aca="false">IF(INDEX('Cable Types'!$G$2:$G$45,MATCH(I46,'Cable Types'!$A$2:$A$45,0))="","",INDEX('Cable Types'!$G$2:$G$45,MATCH(I46,'Cable Types'!$A$2:$A$45,0)))</f>
        <v>1.068</v>
      </c>
    </row>
    <row r="47" customFormat="false" ht="15" hidden="false" customHeight="false" outlineLevel="0" collapsed="false">
      <c r="A47" s="26" t="s">
        <v>789</v>
      </c>
      <c r="B47" s="26" t="s">
        <v>133</v>
      </c>
      <c r="C47" s="26" t="s">
        <v>71</v>
      </c>
      <c r="D47" s="26" t="s">
        <v>790</v>
      </c>
      <c r="E47" s="26" t="s">
        <v>416</v>
      </c>
      <c r="F47" s="27" t="str">
        <f aca="false">INDEX(Equipment!$B$2:$B$153,MATCH(E47,Equipment!$A$2:$A$153,0))</f>
        <v>Gas engine genset 4 (40 ft container) 2.5 MVA, 13.8 kV - terminal box</v>
      </c>
      <c r="G47" s="26" t="s">
        <v>395</v>
      </c>
      <c r="H47" s="27" t="str">
        <f aca="false">INDEX(Equipment!$B$2:$B$153,MATCH(G47,Equipment!$A$2:$A$153,0))</f>
        <v>RICE 13.8 kV collector switchgear e-house</v>
      </c>
      <c r="I47" s="26" t="s">
        <v>556</v>
      </c>
      <c r="J47" s="27" t="str">
        <f aca="false">INDEX('Cable Types'!$B$2:$B$45,MATCH(I47,'Cable Types'!$A$2:$A$45,0))</f>
        <v>15 kV MV-105 3/C #2 AWG Cu EPR 133% shielded + GC, Type MC-HL, CCW Al armor (Armor-X type), PVC jkt</v>
      </c>
      <c r="K47" s="26" t="n">
        <v>1</v>
      </c>
      <c r="L47" s="26" t="s">
        <v>783</v>
      </c>
      <c r="M47" s="26" t="s">
        <v>703</v>
      </c>
      <c r="N47" s="26"/>
      <c r="O47" s="28" t="n">
        <f aca="false">IF(N47&lt;&gt;"",N47,IF(M47="D",ROUNDUP(SQRT((AL47-AI47)^2+(AM47-AJ47)^2+(AN47-AK47)^2)*(1+'Design Basis'!$C$6),0),ROUNDUP((ABS(AL47-AI47)+ABS(AM47-AJ47)+ABS(AO47-AK47)+ABS(AO47-AN47))*(1+'Design Basis'!$C$4)+2*'Design Basis'!$C$5,0)))</f>
        <v>38</v>
      </c>
      <c r="P47" s="28" t="n">
        <f aca="false">ROUND(O47*'Design Basis'!$C$10,0)</f>
        <v>125</v>
      </c>
      <c r="Q47" s="28" t="n">
        <f aca="false">O47*K47*AQ47</f>
        <v>38</v>
      </c>
      <c r="R47" s="28" t="n">
        <f aca="false">ROUND(Q47*'Design Basis'!$C$10,0)</f>
        <v>125</v>
      </c>
      <c r="S47" s="29" t="n">
        <v>13800</v>
      </c>
      <c r="T47" s="26" t="n">
        <v>3</v>
      </c>
      <c r="U47" s="29" t="n">
        <v>2500</v>
      </c>
      <c r="V47" s="30" t="n">
        <v>1</v>
      </c>
      <c r="W47" s="28" t="n">
        <f aca="false">IF(OR(U47="",S47=""),"",IF(T47=3,U47*1000/(SQRT(3)*S47*V47),U47*1000/(S47*V47)))</f>
        <v>104.592440070584</v>
      </c>
      <c r="X47" s="30" t="n">
        <v>1.15</v>
      </c>
      <c r="Y47" s="28" t="n">
        <f aca="false">IF(W47="","",W47*IF(X47="",1,X47))</f>
        <v>120.281306081172</v>
      </c>
      <c r="Z47" s="28" t="n">
        <f aca="false">IF(OR(AS47="",AP47=""),"",AS47*AP47)</f>
        <v>145.2</v>
      </c>
      <c r="AA47" s="28" t="n">
        <f aca="false">IF(Z47="","",Z47*K47)</f>
        <v>145.2</v>
      </c>
      <c r="AB47" s="31" t="n">
        <f aca="false">IF(OR(Y47="",AA47=""),"",Y47/AA47)</f>
        <v>0.828383650696777</v>
      </c>
      <c r="AC47" s="31" t="n">
        <f aca="false">IF(OR(W47="",AT47=""),"",AT47*(W47/K47)*O47/1000/S47)</f>
        <v>0.000307592723755406</v>
      </c>
      <c r="AD47" s="31" t="n">
        <f aca="false">IF(W47="","",IFERROR(IF(INDEX('Design Basis'!$C$13:$C$21,MATCH(C47,'Design Basis'!$A$13:$A$21,0))="","",INDEX('Design Basis'!$C$13:$C$21,MATCH(C47,'Design Basis'!$A$13:$A$21,0))),""))</f>
        <v>0.03</v>
      </c>
      <c r="AE47" s="32" t="str">
        <f aca="false">IF(W47="","n/a",IF(AA47="","CHECK",IF(AND(AB47&lt;=1,OR(AC47="",AD47="",AC47&lt;=AD47)),"OK","CHECK")))</f>
        <v>OK</v>
      </c>
      <c r="AF47" s="28" t="n">
        <f aca="false">IF(AR47="","",K47*AQ47*PI()/4*AR47^2)</f>
        <v>2922.46656600191</v>
      </c>
      <c r="AG47" s="32" t="s">
        <v>784</v>
      </c>
      <c r="AI47" s="33" t="n">
        <f aca="false">INDEX(Equipment!$D$2:$D$153,MATCH(E47,Equipment!$A$2:$A$153,0))</f>
        <v>2.2</v>
      </c>
      <c r="AJ47" s="33" t="n">
        <f aca="false">INDEX(Equipment!$E$2:$E$153,MATCH(E47,Equipment!$A$2:$A$153,0))</f>
        <v>84.05</v>
      </c>
      <c r="AK47" s="33" t="n">
        <f aca="false">INDEX(Equipment!$F$2:$F$153,MATCH(E47,Equipment!$A$2:$A$153,0))</f>
        <v>1.5</v>
      </c>
      <c r="AL47" s="33" t="n">
        <f aca="false">INDEX(Equipment!$D$2:$D$153,MATCH(G47,Equipment!$A$2:$A$153,0))</f>
        <v>12</v>
      </c>
      <c r="AM47" s="33" t="n">
        <f aca="false">INDEX(Equipment!$E$2:$E$153,MATCH(G47,Equipment!$A$2:$A$153,0))</f>
        <v>99</v>
      </c>
      <c r="AN47" s="33" t="n">
        <f aca="false">INDEX(Equipment!$F$2:$F$153,MATCH(G47,Equipment!$A$2:$A$153,0))</f>
        <v>0.5</v>
      </c>
      <c r="AO47" s="33" t="n">
        <f aca="false">IF(INDEX(Raceways!$D$2:$D$18,MATCH(L47,Raceways!$A$2:$A$18,0))="",0,INDEX(Raceways!$D$2:$D$18,MATCH(L47,Raceways!$A$2:$A$18,0)))</f>
        <v>3</v>
      </c>
      <c r="AP47" s="34" t="n">
        <f aca="false">IF(INDEX(Raceways!$I$2:$I$18,MATCH(L47,Raceways!$A$2:$A$18,0))="","",INDEX(Raceways!$I$2:$I$18,MATCH(L47,Raceways!$A$2:$A$18,0)))</f>
        <v>0.88</v>
      </c>
      <c r="AQ47" s="27" t="n">
        <f aca="false">INDEX('Cable Types'!$D$2:$D$45,MATCH(I47,'Cable Types'!$A$2:$A$45,0))</f>
        <v>1</v>
      </c>
      <c r="AR47" s="27" t="n">
        <f aca="false">IF(INDEX('Cable Types'!$E$2:$E$45,MATCH(I47,'Cable Types'!$A$2:$A$45,0))="","",INDEX('Cable Types'!$E$2:$E$45,MATCH(I47,'Cable Types'!$A$2:$A$45,0)))</f>
        <v>61</v>
      </c>
      <c r="AS47" s="27" t="n">
        <f aca="false">IF(INDEX('Cable Types'!$F$2:$F$45,MATCH(I47,'Cable Types'!$A$2:$A$45,0))="","",INDEX('Cable Types'!$F$2:$F$45,MATCH(I47,'Cable Types'!$A$2:$A$45,0)))</f>
        <v>165</v>
      </c>
      <c r="AT47" s="35" t="n">
        <f aca="false">IF(INDEX('Cable Types'!$G$2:$G$45,MATCH(I47,'Cable Types'!$A$2:$A$45,0))="","",INDEX('Cable Types'!$G$2:$G$45,MATCH(I47,'Cable Types'!$A$2:$A$45,0)))</f>
        <v>1.068</v>
      </c>
    </row>
    <row r="48" customFormat="false" ht="15" hidden="false" customHeight="false" outlineLevel="0" collapsed="false">
      <c r="A48" s="26" t="s">
        <v>791</v>
      </c>
      <c r="B48" s="26" t="s">
        <v>133</v>
      </c>
      <c r="C48" s="26" t="s">
        <v>71</v>
      </c>
      <c r="D48" s="26" t="s">
        <v>792</v>
      </c>
      <c r="E48" s="26" t="s">
        <v>419</v>
      </c>
      <c r="F48" s="27" t="str">
        <f aca="false">INDEX(Equipment!$B$2:$B$153,MATCH(E48,Equipment!$A$2:$A$153,0))</f>
        <v>Gas engine genset 5 (40 ft container) 2.5 MVA, 13.8 kV - terminal box</v>
      </c>
      <c r="G48" s="26" t="s">
        <v>395</v>
      </c>
      <c r="H48" s="27" t="str">
        <f aca="false">INDEX(Equipment!$B$2:$B$153,MATCH(G48,Equipment!$A$2:$A$153,0))</f>
        <v>RICE 13.8 kV collector switchgear e-house</v>
      </c>
      <c r="I48" s="26" t="s">
        <v>556</v>
      </c>
      <c r="J48" s="27" t="str">
        <f aca="false">INDEX('Cable Types'!$B$2:$B$45,MATCH(I48,'Cable Types'!$A$2:$A$45,0))</f>
        <v>15 kV MV-105 3/C #2 AWG Cu EPR 133% shielded + GC, Type MC-HL, CCW Al armor (Armor-X type), PVC jkt</v>
      </c>
      <c r="K48" s="26" t="n">
        <v>1</v>
      </c>
      <c r="L48" s="26" t="s">
        <v>783</v>
      </c>
      <c r="M48" s="26" t="s">
        <v>703</v>
      </c>
      <c r="N48" s="26"/>
      <c r="O48" s="28" t="n">
        <f aca="false">IF(N48&lt;&gt;"",N48,IF(M48="D",ROUNDUP(SQRT((AL48-AI48)^2+(AM48-AJ48)^2+(AN48-AK48)^2)*(1+'Design Basis'!$C$6),0),ROUNDUP((ABS(AL48-AI48)+ABS(AM48-AJ48)+ABS(AO48-AK48)+ABS(AO48-AN48))*(1+'Design Basis'!$C$4)+2*'Design Basis'!$C$5,0)))</f>
        <v>34</v>
      </c>
      <c r="P48" s="28" t="n">
        <f aca="false">ROUND(O48*'Design Basis'!$C$10,0)</f>
        <v>112</v>
      </c>
      <c r="Q48" s="28" t="n">
        <f aca="false">O48*K48*AQ48</f>
        <v>34</v>
      </c>
      <c r="R48" s="28" t="n">
        <f aca="false">ROUND(Q48*'Design Basis'!$C$10,0)</f>
        <v>112</v>
      </c>
      <c r="S48" s="29" t="n">
        <v>13800</v>
      </c>
      <c r="T48" s="26" t="n">
        <v>3</v>
      </c>
      <c r="U48" s="29" t="n">
        <v>2500</v>
      </c>
      <c r="V48" s="30" t="n">
        <v>1</v>
      </c>
      <c r="W48" s="28" t="n">
        <f aca="false">IF(OR(U48="",S48=""),"",IF(T48=3,U48*1000/(SQRT(3)*S48*V48),U48*1000/(S48*V48)))</f>
        <v>104.592440070584</v>
      </c>
      <c r="X48" s="30" t="n">
        <v>1.15</v>
      </c>
      <c r="Y48" s="28" t="n">
        <f aca="false">IF(W48="","",W48*IF(X48="",1,X48))</f>
        <v>120.281306081172</v>
      </c>
      <c r="Z48" s="28" t="n">
        <f aca="false">IF(OR(AS48="",AP48=""),"",AS48*AP48)</f>
        <v>145.2</v>
      </c>
      <c r="AA48" s="28" t="n">
        <f aca="false">IF(Z48="","",Z48*K48)</f>
        <v>145.2</v>
      </c>
      <c r="AB48" s="31" t="n">
        <f aca="false">IF(OR(Y48="",AA48=""),"",Y48/AA48)</f>
        <v>0.828383650696777</v>
      </c>
      <c r="AC48" s="31" t="n">
        <f aca="false">IF(OR(W48="",AT48=""),"",AT48*(W48/K48)*O48/1000/S48)</f>
        <v>0.000275214542307468</v>
      </c>
      <c r="AD48" s="31" t="n">
        <f aca="false">IF(W48="","",IFERROR(IF(INDEX('Design Basis'!$C$13:$C$21,MATCH(C48,'Design Basis'!$A$13:$A$21,0))="","",INDEX('Design Basis'!$C$13:$C$21,MATCH(C48,'Design Basis'!$A$13:$A$21,0))),""))</f>
        <v>0.03</v>
      </c>
      <c r="AE48" s="32" t="str">
        <f aca="false">IF(W48="","n/a",IF(AA48="","CHECK",IF(AND(AB48&lt;=1,OR(AC48="",AD48="",AC48&lt;=AD48)),"OK","CHECK")))</f>
        <v>OK</v>
      </c>
      <c r="AF48" s="28" t="n">
        <f aca="false">IF(AR48="","",K48*AQ48*PI()/4*AR48^2)</f>
        <v>2922.46656600191</v>
      </c>
      <c r="AG48" s="32" t="s">
        <v>784</v>
      </c>
      <c r="AI48" s="33" t="n">
        <f aca="false">INDEX(Equipment!$D$2:$D$153,MATCH(E48,Equipment!$A$2:$A$153,0))</f>
        <v>2.2</v>
      </c>
      <c r="AJ48" s="33" t="n">
        <f aca="false">INDEX(Equipment!$E$2:$E$153,MATCH(E48,Equipment!$A$2:$A$153,0))</f>
        <v>88.25</v>
      </c>
      <c r="AK48" s="33" t="n">
        <f aca="false">INDEX(Equipment!$F$2:$F$153,MATCH(E48,Equipment!$A$2:$A$153,0))</f>
        <v>1.5</v>
      </c>
      <c r="AL48" s="33" t="n">
        <f aca="false">INDEX(Equipment!$D$2:$D$153,MATCH(G48,Equipment!$A$2:$A$153,0))</f>
        <v>12</v>
      </c>
      <c r="AM48" s="33" t="n">
        <f aca="false">INDEX(Equipment!$E$2:$E$153,MATCH(G48,Equipment!$A$2:$A$153,0))</f>
        <v>99</v>
      </c>
      <c r="AN48" s="33" t="n">
        <f aca="false">INDEX(Equipment!$F$2:$F$153,MATCH(G48,Equipment!$A$2:$A$153,0))</f>
        <v>0.5</v>
      </c>
      <c r="AO48" s="33" t="n">
        <f aca="false">IF(INDEX(Raceways!$D$2:$D$18,MATCH(L48,Raceways!$A$2:$A$18,0))="",0,INDEX(Raceways!$D$2:$D$18,MATCH(L48,Raceways!$A$2:$A$18,0)))</f>
        <v>3</v>
      </c>
      <c r="AP48" s="34" t="n">
        <f aca="false">IF(INDEX(Raceways!$I$2:$I$18,MATCH(L48,Raceways!$A$2:$A$18,0))="","",INDEX(Raceways!$I$2:$I$18,MATCH(L48,Raceways!$A$2:$A$18,0)))</f>
        <v>0.88</v>
      </c>
      <c r="AQ48" s="27" t="n">
        <f aca="false">INDEX('Cable Types'!$D$2:$D$45,MATCH(I48,'Cable Types'!$A$2:$A$45,0))</f>
        <v>1</v>
      </c>
      <c r="AR48" s="27" t="n">
        <f aca="false">IF(INDEX('Cable Types'!$E$2:$E$45,MATCH(I48,'Cable Types'!$A$2:$A$45,0))="","",INDEX('Cable Types'!$E$2:$E$45,MATCH(I48,'Cable Types'!$A$2:$A$45,0)))</f>
        <v>61</v>
      </c>
      <c r="AS48" s="27" t="n">
        <f aca="false">IF(INDEX('Cable Types'!$F$2:$F$45,MATCH(I48,'Cable Types'!$A$2:$A$45,0))="","",INDEX('Cable Types'!$F$2:$F$45,MATCH(I48,'Cable Types'!$A$2:$A$45,0)))</f>
        <v>165</v>
      </c>
      <c r="AT48" s="35" t="n">
        <f aca="false">IF(INDEX('Cable Types'!$G$2:$G$45,MATCH(I48,'Cable Types'!$A$2:$A$45,0))="","",INDEX('Cable Types'!$G$2:$G$45,MATCH(I48,'Cable Types'!$A$2:$A$45,0)))</f>
        <v>1.068</v>
      </c>
    </row>
    <row r="49" customFormat="false" ht="15" hidden="false" customHeight="false" outlineLevel="0" collapsed="false">
      <c r="A49" s="26" t="s">
        <v>793</v>
      </c>
      <c r="B49" s="26" t="s">
        <v>133</v>
      </c>
      <c r="C49" s="26" t="s">
        <v>71</v>
      </c>
      <c r="D49" s="26" t="s">
        <v>794</v>
      </c>
      <c r="E49" s="26" t="s">
        <v>422</v>
      </c>
      <c r="F49" s="27" t="str">
        <f aca="false">INDEX(Equipment!$B$2:$B$153,MATCH(E49,Equipment!$A$2:$A$153,0))</f>
        <v>Gas engine genset 6 (40 ft container) 2.5 MVA, 13.8 kV - terminal box</v>
      </c>
      <c r="G49" s="26" t="s">
        <v>395</v>
      </c>
      <c r="H49" s="27" t="str">
        <f aca="false">INDEX(Equipment!$B$2:$B$153,MATCH(G49,Equipment!$A$2:$A$153,0))</f>
        <v>RICE 13.8 kV collector switchgear e-house</v>
      </c>
      <c r="I49" s="26" t="s">
        <v>556</v>
      </c>
      <c r="J49" s="27" t="str">
        <f aca="false">INDEX('Cable Types'!$B$2:$B$45,MATCH(I49,'Cable Types'!$A$2:$A$45,0))</f>
        <v>15 kV MV-105 3/C #2 AWG Cu EPR 133% shielded + GC, Type MC-HL, CCW Al armor (Armor-X type), PVC jkt</v>
      </c>
      <c r="K49" s="26" t="n">
        <v>1</v>
      </c>
      <c r="L49" s="26" t="s">
        <v>783</v>
      </c>
      <c r="M49" s="26" t="s">
        <v>703</v>
      </c>
      <c r="N49" s="26"/>
      <c r="O49" s="28" t="n">
        <f aca="false">IF(N49&lt;&gt;"",N49,IF(M49="D",ROUNDUP(SQRT((AL49-AI49)^2+(AM49-AJ49)^2+(AN49-AK49)^2)*(1+'Design Basis'!$C$6),0),ROUNDUP((ABS(AL49-AI49)+ABS(AM49-AJ49)+ABS(AO49-AK49)+ABS(AO49-AN49))*(1+'Design Basis'!$C$4)+2*'Design Basis'!$C$5,0)))</f>
        <v>29</v>
      </c>
      <c r="P49" s="28" t="n">
        <f aca="false">ROUND(O49*'Design Basis'!$C$10,0)</f>
        <v>95</v>
      </c>
      <c r="Q49" s="28" t="n">
        <f aca="false">O49*K49*AQ49</f>
        <v>29</v>
      </c>
      <c r="R49" s="28" t="n">
        <f aca="false">ROUND(Q49*'Design Basis'!$C$10,0)</f>
        <v>95</v>
      </c>
      <c r="S49" s="29" t="n">
        <v>13800</v>
      </c>
      <c r="T49" s="26" t="n">
        <v>3</v>
      </c>
      <c r="U49" s="29" t="n">
        <v>2500</v>
      </c>
      <c r="V49" s="30" t="n">
        <v>1</v>
      </c>
      <c r="W49" s="28" t="n">
        <f aca="false">IF(OR(U49="",S49=""),"",IF(T49=3,U49*1000/(SQRT(3)*S49*V49),U49*1000/(S49*V49)))</f>
        <v>104.592440070584</v>
      </c>
      <c r="X49" s="30" t="n">
        <v>1.15</v>
      </c>
      <c r="Y49" s="28" t="n">
        <f aca="false">IF(W49="","",W49*IF(X49="",1,X49))</f>
        <v>120.281306081172</v>
      </c>
      <c r="Z49" s="28" t="n">
        <f aca="false">IF(OR(AS49="",AP49=""),"",AS49*AP49)</f>
        <v>145.2</v>
      </c>
      <c r="AA49" s="28" t="n">
        <f aca="false">IF(Z49="","",Z49*K49)</f>
        <v>145.2</v>
      </c>
      <c r="AB49" s="31" t="n">
        <f aca="false">IF(OR(Y49="",AA49=""),"",Y49/AA49)</f>
        <v>0.828383650696777</v>
      </c>
      <c r="AC49" s="31" t="n">
        <f aca="false">IF(OR(W49="",AT49=""),"",AT49*(W49/K49)*O49/1000/S49)</f>
        <v>0.000234741815497546</v>
      </c>
      <c r="AD49" s="31" t="n">
        <f aca="false">IF(W49="","",IFERROR(IF(INDEX('Design Basis'!$C$13:$C$21,MATCH(C49,'Design Basis'!$A$13:$A$21,0))="","",INDEX('Design Basis'!$C$13:$C$21,MATCH(C49,'Design Basis'!$A$13:$A$21,0))),""))</f>
        <v>0.03</v>
      </c>
      <c r="AE49" s="32" t="str">
        <f aca="false">IF(W49="","n/a",IF(AA49="","CHECK",IF(AND(AB49&lt;=1,OR(AC49="",AD49="",AC49&lt;=AD49)),"OK","CHECK")))</f>
        <v>OK</v>
      </c>
      <c r="AF49" s="28" t="n">
        <f aca="false">IF(AR49="","",K49*AQ49*PI()/4*AR49^2)</f>
        <v>2922.46656600191</v>
      </c>
      <c r="AG49" s="32" t="s">
        <v>784</v>
      </c>
      <c r="AI49" s="33" t="n">
        <f aca="false">INDEX(Equipment!$D$2:$D$153,MATCH(E49,Equipment!$A$2:$A$153,0))</f>
        <v>2.2</v>
      </c>
      <c r="AJ49" s="33" t="n">
        <f aca="false">INDEX(Equipment!$E$2:$E$153,MATCH(E49,Equipment!$A$2:$A$153,0))</f>
        <v>92.45</v>
      </c>
      <c r="AK49" s="33" t="n">
        <f aca="false">INDEX(Equipment!$F$2:$F$153,MATCH(E49,Equipment!$A$2:$A$153,0))</f>
        <v>1.5</v>
      </c>
      <c r="AL49" s="33" t="n">
        <f aca="false">INDEX(Equipment!$D$2:$D$153,MATCH(G49,Equipment!$A$2:$A$153,0))</f>
        <v>12</v>
      </c>
      <c r="AM49" s="33" t="n">
        <f aca="false">INDEX(Equipment!$E$2:$E$153,MATCH(G49,Equipment!$A$2:$A$153,0))</f>
        <v>99</v>
      </c>
      <c r="AN49" s="33" t="n">
        <f aca="false">INDEX(Equipment!$F$2:$F$153,MATCH(G49,Equipment!$A$2:$A$153,0))</f>
        <v>0.5</v>
      </c>
      <c r="AO49" s="33" t="n">
        <f aca="false">IF(INDEX(Raceways!$D$2:$D$18,MATCH(L49,Raceways!$A$2:$A$18,0))="",0,INDEX(Raceways!$D$2:$D$18,MATCH(L49,Raceways!$A$2:$A$18,0)))</f>
        <v>3</v>
      </c>
      <c r="AP49" s="34" t="n">
        <f aca="false">IF(INDEX(Raceways!$I$2:$I$18,MATCH(L49,Raceways!$A$2:$A$18,0))="","",INDEX(Raceways!$I$2:$I$18,MATCH(L49,Raceways!$A$2:$A$18,0)))</f>
        <v>0.88</v>
      </c>
      <c r="AQ49" s="27" t="n">
        <f aca="false">INDEX('Cable Types'!$D$2:$D$45,MATCH(I49,'Cable Types'!$A$2:$A$45,0))</f>
        <v>1</v>
      </c>
      <c r="AR49" s="27" t="n">
        <f aca="false">IF(INDEX('Cable Types'!$E$2:$E$45,MATCH(I49,'Cable Types'!$A$2:$A$45,0))="","",INDEX('Cable Types'!$E$2:$E$45,MATCH(I49,'Cable Types'!$A$2:$A$45,0)))</f>
        <v>61</v>
      </c>
      <c r="AS49" s="27" t="n">
        <f aca="false">IF(INDEX('Cable Types'!$F$2:$F$45,MATCH(I49,'Cable Types'!$A$2:$A$45,0))="","",INDEX('Cable Types'!$F$2:$F$45,MATCH(I49,'Cable Types'!$A$2:$A$45,0)))</f>
        <v>165</v>
      </c>
      <c r="AT49" s="35" t="n">
        <f aca="false">IF(INDEX('Cable Types'!$G$2:$G$45,MATCH(I49,'Cable Types'!$A$2:$A$45,0))="","",INDEX('Cable Types'!$G$2:$G$45,MATCH(I49,'Cable Types'!$A$2:$A$45,0)))</f>
        <v>1.068</v>
      </c>
    </row>
    <row r="50" customFormat="false" ht="15" hidden="false" customHeight="false" outlineLevel="0" collapsed="false">
      <c r="A50" s="26" t="s">
        <v>795</v>
      </c>
      <c r="B50" s="26" t="s">
        <v>133</v>
      </c>
      <c r="C50" s="26" t="s">
        <v>71</v>
      </c>
      <c r="D50" s="26" t="s">
        <v>796</v>
      </c>
      <c r="E50" s="26" t="s">
        <v>425</v>
      </c>
      <c r="F50" s="27" t="str">
        <f aca="false">INDEX(Equipment!$B$2:$B$153,MATCH(E50,Equipment!$A$2:$A$153,0))</f>
        <v>Gas engine genset 7 (40 ft container) 2.5 MVA, 13.8 kV - terminal box</v>
      </c>
      <c r="G50" s="26" t="s">
        <v>395</v>
      </c>
      <c r="H50" s="27" t="str">
        <f aca="false">INDEX(Equipment!$B$2:$B$153,MATCH(G50,Equipment!$A$2:$A$153,0))</f>
        <v>RICE 13.8 kV collector switchgear e-house</v>
      </c>
      <c r="I50" s="26" t="s">
        <v>556</v>
      </c>
      <c r="J50" s="27" t="str">
        <f aca="false">INDEX('Cable Types'!$B$2:$B$45,MATCH(I50,'Cable Types'!$A$2:$A$45,0))</f>
        <v>15 kV MV-105 3/C #2 AWG Cu EPR 133% shielded + GC, Type MC-HL, CCW Al armor (Armor-X type), PVC jkt</v>
      </c>
      <c r="K50" s="26" t="n">
        <v>1</v>
      </c>
      <c r="L50" s="26" t="s">
        <v>783</v>
      </c>
      <c r="M50" s="26" t="s">
        <v>703</v>
      </c>
      <c r="N50" s="26"/>
      <c r="O50" s="28" t="n">
        <f aca="false">IF(N50&lt;&gt;"",N50,IF(M50="D",ROUNDUP(SQRT((AL50-AI50)^2+(AM50-AJ50)^2+(AN50-AK50)^2)*(1+'Design Basis'!$C$6),0),ROUNDUP((ABS(AL50-AI50)+ABS(AM50-AJ50)+ABS(AO50-AK50)+ABS(AO50-AN50))*(1+'Design Basis'!$C$4)+2*'Design Basis'!$C$5,0)))</f>
        <v>24</v>
      </c>
      <c r="P50" s="28" t="n">
        <f aca="false">ROUND(O50*'Design Basis'!$C$10,0)</f>
        <v>79</v>
      </c>
      <c r="Q50" s="28" t="n">
        <f aca="false">O50*K50*AQ50</f>
        <v>24</v>
      </c>
      <c r="R50" s="28" t="n">
        <f aca="false">ROUND(Q50*'Design Basis'!$C$10,0)</f>
        <v>79</v>
      </c>
      <c r="S50" s="29" t="n">
        <v>13800</v>
      </c>
      <c r="T50" s="26" t="n">
        <v>3</v>
      </c>
      <c r="U50" s="29" t="n">
        <v>2500</v>
      </c>
      <c r="V50" s="30" t="n">
        <v>1</v>
      </c>
      <c r="W50" s="28" t="n">
        <f aca="false">IF(OR(U50="",S50=""),"",IF(T50=3,U50*1000/(SQRT(3)*S50*V50),U50*1000/(S50*V50)))</f>
        <v>104.592440070584</v>
      </c>
      <c r="X50" s="30" t="n">
        <v>1.15</v>
      </c>
      <c r="Y50" s="28" t="n">
        <f aca="false">IF(W50="","",W50*IF(X50="",1,X50))</f>
        <v>120.281306081172</v>
      </c>
      <c r="Z50" s="28" t="n">
        <f aca="false">IF(OR(AS50="",AP50=""),"",AS50*AP50)</f>
        <v>145.2</v>
      </c>
      <c r="AA50" s="28" t="n">
        <f aca="false">IF(Z50="","",Z50*K50)</f>
        <v>145.2</v>
      </c>
      <c r="AB50" s="31" t="n">
        <f aca="false">IF(OR(Y50="",AA50=""),"",Y50/AA50)</f>
        <v>0.828383650696777</v>
      </c>
      <c r="AC50" s="31" t="n">
        <f aca="false">IF(OR(W50="",AT50=""),"",AT50*(W50/K50)*O50/1000/S50)</f>
        <v>0.000194269088687625</v>
      </c>
      <c r="AD50" s="31" t="n">
        <f aca="false">IF(W50="","",IFERROR(IF(INDEX('Design Basis'!$C$13:$C$21,MATCH(C50,'Design Basis'!$A$13:$A$21,0))="","",INDEX('Design Basis'!$C$13:$C$21,MATCH(C50,'Design Basis'!$A$13:$A$21,0))),""))</f>
        <v>0.03</v>
      </c>
      <c r="AE50" s="32" t="str">
        <f aca="false">IF(W50="","n/a",IF(AA50="","CHECK",IF(AND(AB50&lt;=1,OR(AC50="",AD50="",AC50&lt;=AD50)),"OK","CHECK")))</f>
        <v>OK</v>
      </c>
      <c r="AF50" s="28" t="n">
        <f aca="false">IF(AR50="","",K50*AQ50*PI()/4*AR50^2)</f>
        <v>2922.46656600191</v>
      </c>
      <c r="AG50" s="32" t="s">
        <v>784</v>
      </c>
      <c r="AI50" s="33" t="n">
        <f aca="false">INDEX(Equipment!$D$2:$D$153,MATCH(E50,Equipment!$A$2:$A$153,0))</f>
        <v>2.2</v>
      </c>
      <c r="AJ50" s="33" t="n">
        <f aca="false">INDEX(Equipment!$E$2:$E$153,MATCH(E50,Equipment!$A$2:$A$153,0))</f>
        <v>96.65</v>
      </c>
      <c r="AK50" s="33" t="n">
        <f aca="false">INDEX(Equipment!$F$2:$F$153,MATCH(E50,Equipment!$A$2:$A$153,0))</f>
        <v>1.5</v>
      </c>
      <c r="AL50" s="33" t="n">
        <f aca="false">INDEX(Equipment!$D$2:$D$153,MATCH(G50,Equipment!$A$2:$A$153,0))</f>
        <v>12</v>
      </c>
      <c r="AM50" s="33" t="n">
        <f aca="false">INDEX(Equipment!$E$2:$E$153,MATCH(G50,Equipment!$A$2:$A$153,0))</f>
        <v>99</v>
      </c>
      <c r="AN50" s="33" t="n">
        <f aca="false">INDEX(Equipment!$F$2:$F$153,MATCH(G50,Equipment!$A$2:$A$153,0))</f>
        <v>0.5</v>
      </c>
      <c r="AO50" s="33" t="n">
        <f aca="false">IF(INDEX(Raceways!$D$2:$D$18,MATCH(L50,Raceways!$A$2:$A$18,0))="",0,INDEX(Raceways!$D$2:$D$18,MATCH(L50,Raceways!$A$2:$A$18,0)))</f>
        <v>3</v>
      </c>
      <c r="AP50" s="34" t="n">
        <f aca="false">IF(INDEX(Raceways!$I$2:$I$18,MATCH(L50,Raceways!$A$2:$A$18,0))="","",INDEX(Raceways!$I$2:$I$18,MATCH(L50,Raceways!$A$2:$A$18,0)))</f>
        <v>0.88</v>
      </c>
      <c r="AQ50" s="27" t="n">
        <f aca="false">INDEX('Cable Types'!$D$2:$D$45,MATCH(I50,'Cable Types'!$A$2:$A$45,0))</f>
        <v>1</v>
      </c>
      <c r="AR50" s="27" t="n">
        <f aca="false">IF(INDEX('Cable Types'!$E$2:$E$45,MATCH(I50,'Cable Types'!$A$2:$A$45,0))="","",INDEX('Cable Types'!$E$2:$E$45,MATCH(I50,'Cable Types'!$A$2:$A$45,0)))</f>
        <v>61</v>
      </c>
      <c r="AS50" s="27" t="n">
        <f aca="false">IF(INDEX('Cable Types'!$F$2:$F$45,MATCH(I50,'Cable Types'!$A$2:$A$45,0))="","",INDEX('Cable Types'!$F$2:$F$45,MATCH(I50,'Cable Types'!$A$2:$A$45,0)))</f>
        <v>165</v>
      </c>
      <c r="AT50" s="35" t="n">
        <f aca="false">IF(INDEX('Cable Types'!$G$2:$G$45,MATCH(I50,'Cable Types'!$A$2:$A$45,0))="","",INDEX('Cable Types'!$G$2:$G$45,MATCH(I50,'Cable Types'!$A$2:$A$45,0)))</f>
        <v>1.068</v>
      </c>
    </row>
    <row r="51" customFormat="false" ht="15" hidden="false" customHeight="false" outlineLevel="0" collapsed="false">
      <c r="A51" s="26" t="s">
        <v>797</v>
      </c>
      <c r="B51" s="26" t="s">
        <v>133</v>
      </c>
      <c r="C51" s="26" t="s">
        <v>71</v>
      </c>
      <c r="D51" s="26" t="s">
        <v>798</v>
      </c>
      <c r="E51" s="26" t="s">
        <v>428</v>
      </c>
      <c r="F51" s="27" t="str">
        <f aca="false">INDEX(Equipment!$B$2:$B$153,MATCH(E51,Equipment!$A$2:$A$153,0))</f>
        <v>Gas engine genset 8 (40 ft container) 2.5 MVA, 13.8 kV - terminal box</v>
      </c>
      <c r="G51" s="26" t="s">
        <v>395</v>
      </c>
      <c r="H51" s="27" t="str">
        <f aca="false">INDEX(Equipment!$B$2:$B$153,MATCH(G51,Equipment!$A$2:$A$153,0))</f>
        <v>RICE 13.8 kV collector switchgear e-house</v>
      </c>
      <c r="I51" s="26" t="s">
        <v>556</v>
      </c>
      <c r="J51" s="27" t="str">
        <f aca="false">INDEX('Cable Types'!$B$2:$B$45,MATCH(I51,'Cable Types'!$A$2:$A$45,0))</f>
        <v>15 kV MV-105 3/C #2 AWG Cu EPR 133% shielded + GC, Type MC-HL, CCW Al armor (Armor-X type), PVC jkt</v>
      </c>
      <c r="K51" s="26" t="n">
        <v>1</v>
      </c>
      <c r="L51" s="26" t="s">
        <v>783</v>
      </c>
      <c r="M51" s="26" t="s">
        <v>703</v>
      </c>
      <c r="N51" s="26"/>
      <c r="O51" s="28" t="n">
        <f aca="false">IF(N51&lt;&gt;"",N51,IF(M51="D",ROUNDUP(SQRT((AL51-AI51)^2+(AM51-AJ51)^2+(AN51-AK51)^2)*(1+'Design Basis'!$C$6),0),ROUNDUP((ABS(AL51-AI51)+ABS(AM51-AJ51)+ABS(AO51-AK51)+ABS(AO51-AN51))*(1+'Design Basis'!$C$4)+2*'Design Basis'!$C$5,0)))</f>
        <v>24</v>
      </c>
      <c r="P51" s="28" t="n">
        <f aca="false">ROUND(O51*'Design Basis'!$C$10,0)</f>
        <v>79</v>
      </c>
      <c r="Q51" s="28" t="n">
        <f aca="false">O51*K51*AQ51</f>
        <v>24</v>
      </c>
      <c r="R51" s="28" t="n">
        <f aca="false">ROUND(Q51*'Design Basis'!$C$10,0)</f>
        <v>79</v>
      </c>
      <c r="S51" s="29" t="n">
        <v>13800</v>
      </c>
      <c r="T51" s="26" t="n">
        <v>3</v>
      </c>
      <c r="U51" s="29" t="n">
        <v>2500</v>
      </c>
      <c r="V51" s="30" t="n">
        <v>1</v>
      </c>
      <c r="W51" s="28" t="n">
        <f aca="false">IF(OR(U51="",S51=""),"",IF(T51=3,U51*1000/(SQRT(3)*S51*V51),U51*1000/(S51*V51)))</f>
        <v>104.592440070584</v>
      </c>
      <c r="X51" s="30" t="n">
        <v>1.15</v>
      </c>
      <c r="Y51" s="28" t="n">
        <f aca="false">IF(W51="","",W51*IF(X51="",1,X51))</f>
        <v>120.281306081172</v>
      </c>
      <c r="Z51" s="28" t="n">
        <f aca="false">IF(OR(AS51="",AP51=""),"",AS51*AP51)</f>
        <v>145.2</v>
      </c>
      <c r="AA51" s="28" t="n">
        <f aca="false">IF(Z51="","",Z51*K51)</f>
        <v>145.2</v>
      </c>
      <c r="AB51" s="31" t="n">
        <f aca="false">IF(OR(Y51="",AA51=""),"",Y51/AA51)</f>
        <v>0.828383650696777</v>
      </c>
      <c r="AC51" s="31" t="n">
        <f aca="false">IF(OR(W51="",AT51=""),"",AT51*(W51/K51)*O51/1000/S51)</f>
        <v>0.000194269088687625</v>
      </c>
      <c r="AD51" s="31" t="n">
        <f aca="false">IF(W51="","",IFERROR(IF(INDEX('Design Basis'!$C$13:$C$21,MATCH(C51,'Design Basis'!$A$13:$A$21,0))="","",INDEX('Design Basis'!$C$13:$C$21,MATCH(C51,'Design Basis'!$A$13:$A$21,0))),""))</f>
        <v>0.03</v>
      </c>
      <c r="AE51" s="32" t="str">
        <f aca="false">IF(W51="","n/a",IF(AA51="","CHECK",IF(AND(AB51&lt;=1,OR(AC51="",AD51="",AC51&lt;=AD51)),"OK","CHECK")))</f>
        <v>OK</v>
      </c>
      <c r="AF51" s="28" t="n">
        <f aca="false">IF(AR51="","",K51*AQ51*PI()/4*AR51^2)</f>
        <v>2922.46656600191</v>
      </c>
      <c r="AG51" s="32" t="s">
        <v>784</v>
      </c>
      <c r="AI51" s="33" t="n">
        <f aca="false">INDEX(Equipment!$D$2:$D$153,MATCH(E51,Equipment!$A$2:$A$153,0))</f>
        <v>2.2</v>
      </c>
      <c r="AJ51" s="33" t="n">
        <f aca="false">INDEX(Equipment!$E$2:$E$153,MATCH(E51,Equipment!$A$2:$A$153,0))</f>
        <v>100.85</v>
      </c>
      <c r="AK51" s="33" t="n">
        <f aca="false">INDEX(Equipment!$F$2:$F$153,MATCH(E51,Equipment!$A$2:$A$153,0))</f>
        <v>1.5</v>
      </c>
      <c r="AL51" s="33" t="n">
        <f aca="false">INDEX(Equipment!$D$2:$D$153,MATCH(G51,Equipment!$A$2:$A$153,0))</f>
        <v>12</v>
      </c>
      <c r="AM51" s="33" t="n">
        <f aca="false">INDEX(Equipment!$E$2:$E$153,MATCH(G51,Equipment!$A$2:$A$153,0))</f>
        <v>99</v>
      </c>
      <c r="AN51" s="33" t="n">
        <f aca="false">INDEX(Equipment!$F$2:$F$153,MATCH(G51,Equipment!$A$2:$A$153,0))</f>
        <v>0.5</v>
      </c>
      <c r="AO51" s="33" t="n">
        <f aca="false">IF(INDEX(Raceways!$D$2:$D$18,MATCH(L51,Raceways!$A$2:$A$18,0))="",0,INDEX(Raceways!$D$2:$D$18,MATCH(L51,Raceways!$A$2:$A$18,0)))</f>
        <v>3</v>
      </c>
      <c r="AP51" s="34" t="n">
        <f aca="false">IF(INDEX(Raceways!$I$2:$I$18,MATCH(L51,Raceways!$A$2:$A$18,0))="","",INDEX(Raceways!$I$2:$I$18,MATCH(L51,Raceways!$A$2:$A$18,0)))</f>
        <v>0.88</v>
      </c>
      <c r="AQ51" s="27" t="n">
        <f aca="false">INDEX('Cable Types'!$D$2:$D$45,MATCH(I51,'Cable Types'!$A$2:$A$45,0))</f>
        <v>1</v>
      </c>
      <c r="AR51" s="27" t="n">
        <f aca="false">IF(INDEX('Cable Types'!$E$2:$E$45,MATCH(I51,'Cable Types'!$A$2:$A$45,0))="","",INDEX('Cable Types'!$E$2:$E$45,MATCH(I51,'Cable Types'!$A$2:$A$45,0)))</f>
        <v>61</v>
      </c>
      <c r="AS51" s="27" t="n">
        <f aca="false">IF(INDEX('Cable Types'!$F$2:$F$45,MATCH(I51,'Cable Types'!$A$2:$A$45,0))="","",INDEX('Cable Types'!$F$2:$F$45,MATCH(I51,'Cable Types'!$A$2:$A$45,0)))</f>
        <v>165</v>
      </c>
      <c r="AT51" s="35" t="n">
        <f aca="false">IF(INDEX('Cable Types'!$G$2:$G$45,MATCH(I51,'Cable Types'!$A$2:$A$45,0))="","",INDEX('Cable Types'!$G$2:$G$45,MATCH(I51,'Cable Types'!$A$2:$A$45,0)))</f>
        <v>1.068</v>
      </c>
    </row>
    <row r="52" customFormat="false" ht="15" hidden="false" customHeight="false" outlineLevel="0" collapsed="false">
      <c r="A52" s="26" t="s">
        <v>799</v>
      </c>
      <c r="B52" s="26" t="s">
        <v>133</v>
      </c>
      <c r="C52" s="26" t="s">
        <v>71</v>
      </c>
      <c r="D52" s="26" t="s">
        <v>800</v>
      </c>
      <c r="E52" s="26" t="s">
        <v>395</v>
      </c>
      <c r="F52" s="27" t="str">
        <f aca="false">INDEX(Equipment!$B$2:$B$153,MATCH(E52,Equipment!$A$2:$A$153,0))</f>
        <v>RICE 13.8 kV collector switchgear e-house</v>
      </c>
      <c r="G52" s="26" t="s">
        <v>135</v>
      </c>
      <c r="H52" s="27" t="str">
        <f aca="false">INDEX(Equipment!$B$2:$B$153,MATCH(G52,Equipment!$A$2:$A$153,0))</f>
        <v>RICE step-up transformer 13.8/230 kV 22 MVA - LV cable box</v>
      </c>
      <c r="I52" s="26" t="s">
        <v>566</v>
      </c>
      <c r="J52" s="27" t="str">
        <f aca="false">INDEX('Cable Types'!$B$2:$B$45,MATCH(I52,'Cable Types'!$A$2:$A$45,0))</f>
        <v>15 kV MV-105 1/C 750 kcmil Cu EPR 133% shielded, Type MC-HL, CCW Al armor (Armor-X type), PVC jkt, triplexed set</v>
      </c>
      <c r="K52" s="26" t="n">
        <v>2</v>
      </c>
      <c r="L52" s="26" t="s">
        <v>714</v>
      </c>
      <c r="M52" s="26" t="s">
        <v>703</v>
      </c>
      <c r="N52" s="26"/>
      <c r="O52" s="28" t="n">
        <f aca="false">IF(N52&lt;&gt;"",N52,IF(M52="D",ROUNDUP(SQRT((AL52-AI52)^2+(AM52-AJ52)^2+(AN52-AK52)^2)*(1+'Design Basis'!$C$6),0),ROUNDUP((ABS(AL52-AI52)+ABS(AM52-AJ52)+ABS(AO52-AK52)+ABS(AO52-AN52))*(1+'Design Basis'!$C$4)+2*'Design Basis'!$C$5,0)))</f>
        <v>20</v>
      </c>
      <c r="P52" s="28" t="n">
        <f aca="false">ROUND(O52*'Design Basis'!$C$10,0)</f>
        <v>66</v>
      </c>
      <c r="Q52" s="28" t="n">
        <f aca="false">O52*K52*AQ52</f>
        <v>120</v>
      </c>
      <c r="R52" s="28" t="n">
        <f aca="false">ROUND(Q52*'Design Basis'!$C$10,0)</f>
        <v>394</v>
      </c>
      <c r="S52" s="29" t="n">
        <v>13800</v>
      </c>
      <c r="T52" s="26" t="n">
        <v>3</v>
      </c>
      <c r="U52" s="29" t="n">
        <v>22000</v>
      </c>
      <c r="V52" s="30" t="n">
        <v>1</v>
      </c>
      <c r="W52" s="28" t="n">
        <f aca="false">IF(OR(U52="",S52=""),"",IF(T52=3,U52*1000/(SQRT(3)*S52*V52),U52*1000/(S52*V52)))</f>
        <v>920.413472621143</v>
      </c>
      <c r="X52" s="30" t="n">
        <v>1</v>
      </c>
      <c r="Y52" s="28" t="n">
        <f aca="false">IF(W52="","",W52*IF(X52="",1,X52))</f>
        <v>920.413472621143</v>
      </c>
      <c r="Z52" s="28" t="n">
        <f aca="false">IF(OR(AS52="",AP52=""),"",AS52*AP52)</f>
        <v>651.2</v>
      </c>
      <c r="AA52" s="28" t="n">
        <f aca="false">IF(Z52="","",Z52*K52)</f>
        <v>1302.4</v>
      </c>
      <c r="AB52" s="31" t="n">
        <f aca="false">IF(OR(Y52="",AA52=""),"",Y52/AA52)</f>
        <v>0.706705676152597</v>
      </c>
      <c r="AC52" s="31" t="n">
        <f aca="false">IF(OR(W52="",AT52=""),"",AT52*(W52/K52)*O52/1000/S52)</f>
        <v>0.000140062919746696</v>
      </c>
      <c r="AD52" s="31" t="n">
        <f aca="false">IF(W52="","",IFERROR(IF(INDEX('Design Basis'!$C$13:$C$21,MATCH(C52,'Design Basis'!$A$13:$A$21,0))="","",INDEX('Design Basis'!$C$13:$C$21,MATCH(C52,'Design Basis'!$A$13:$A$21,0))),""))</f>
        <v>0.03</v>
      </c>
      <c r="AE52" s="32" t="str">
        <f aca="false">IF(W52="","n/a",IF(AA52="","CHECK",IF(AND(AB52&lt;=1,OR(AC52="",AD52="",AC52&lt;=AD52)),"OK","CHECK")))</f>
        <v>OK</v>
      </c>
      <c r="AF52" s="28" t="n">
        <f aca="false">IF(AR52="","",K52*AQ52*PI()/4*AR52^2)</f>
        <v>9971.415082494</v>
      </c>
      <c r="AG52" s="32" t="s">
        <v>801</v>
      </c>
      <c r="AI52" s="33" t="n">
        <f aca="false">INDEX(Equipment!$D$2:$D$153,MATCH(E52,Equipment!$A$2:$A$153,0))</f>
        <v>12</v>
      </c>
      <c r="AJ52" s="33" t="n">
        <f aca="false">INDEX(Equipment!$E$2:$E$153,MATCH(E52,Equipment!$A$2:$A$153,0))</f>
        <v>99</v>
      </c>
      <c r="AK52" s="33" t="n">
        <f aca="false">INDEX(Equipment!$F$2:$F$153,MATCH(E52,Equipment!$A$2:$A$153,0))</f>
        <v>0.5</v>
      </c>
      <c r="AL52" s="33" t="n">
        <f aca="false">INDEX(Equipment!$D$2:$D$153,MATCH(G52,Equipment!$A$2:$A$153,0))</f>
        <v>14.5</v>
      </c>
      <c r="AM52" s="33" t="n">
        <f aca="false">INDEX(Equipment!$E$2:$E$153,MATCH(G52,Equipment!$A$2:$A$153,0))</f>
        <v>107.5</v>
      </c>
      <c r="AN52" s="33" t="n">
        <f aca="false">INDEX(Equipment!$F$2:$F$153,MATCH(G52,Equipment!$A$2:$A$153,0))</f>
        <v>2</v>
      </c>
      <c r="AO52" s="33" t="n">
        <f aca="false">IF(INDEX(Raceways!$D$2:$D$18,MATCH(L52,Raceways!$A$2:$A$18,0))="",0,INDEX(Raceways!$D$2:$D$18,MATCH(L52,Raceways!$A$2:$A$18,0)))</f>
        <v>1</v>
      </c>
      <c r="AP52" s="34" t="n">
        <f aca="false">IF(INDEX(Raceways!$I$2:$I$18,MATCH(L52,Raceways!$A$2:$A$18,0))="","",INDEX(Raceways!$I$2:$I$18,MATCH(L52,Raceways!$A$2:$A$18,0)))</f>
        <v>0.88</v>
      </c>
      <c r="AQ52" s="27" t="n">
        <f aca="false">INDEX('Cable Types'!$D$2:$D$45,MATCH(I52,'Cable Types'!$A$2:$A$45,0))</f>
        <v>3</v>
      </c>
      <c r="AR52" s="27" t="n">
        <f aca="false">IF(INDEX('Cable Types'!$E$2:$E$45,MATCH(I52,'Cable Types'!$A$2:$A$45,0))="","",INDEX('Cable Types'!$E$2:$E$45,MATCH(I52,'Cable Types'!$A$2:$A$45,0)))</f>
        <v>46</v>
      </c>
      <c r="AS52" s="27" t="n">
        <f aca="false">IF(INDEX('Cable Types'!$F$2:$F$45,MATCH(I52,'Cable Types'!$A$2:$A$45,0))="","",INDEX('Cable Types'!$F$2:$F$45,MATCH(I52,'Cable Types'!$A$2:$A$45,0)))</f>
        <v>740</v>
      </c>
      <c r="AT52" s="35" t="n">
        <f aca="false">IF(INDEX('Cable Types'!$G$2:$G$45,MATCH(I52,'Cable Types'!$A$2:$A$45,0))="","",INDEX('Cable Types'!$G$2:$G$45,MATCH(I52,'Cable Types'!$A$2:$A$45,0)))</f>
        <v>0.21</v>
      </c>
    </row>
    <row r="53" customFormat="false" ht="15" hidden="false" customHeight="false" outlineLevel="0" collapsed="false">
      <c r="A53" s="26" t="s">
        <v>802</v>
      </c>
      <c r="B53" s="26" t="s">
        <v>133</v>
      </c>
      <c r="C53" s="26" t="s">
        <v>71</v>
      </c>
      <c r="D53" s="26" t="s">
        <v>803</v>
      </c>
      <c r="E53" s="26" t="s">
        <v>395</v>
      </c>
      <c r="F53" s="27" t="str">
        <f aca="false">INDEX(Equipment!$B$2:$B$153,MATCH(E53,Equipment!$A$2:$A$153,0))</f>
        <v>RICE 13.8 kV collector switchgear e-house</v>
      </c>
      <c r="G53" s="26" t="s">
        <v>398</v>
      </c>
      <c r="H53" s="27" t="str">
        <f aca="false">INDEX(Equipment!$B$2:$B$153,MATCH(G53,Equipment!$A$2:$A$153,0))</f>
        <v>RICE auxiliary transformer 13.8/0.48 kV 1 MVA</v>
      </c>
      <c r="I53" s="26" t="s">
        <v>556</v>
      </c>
      <c r="J53" s="27" t="str">
        <f aca="false">INDEX('Cable Types'!$B$2:$B$45,MATCH(I53,'Cable Types'!$A$2:$A$45,0))</f>
        <v>15 kV MV-105 3/C #2 AWG Cu EPR 133% shielded + GC, Type MC-HL, CCW Al armor (Armor-X type), PVC jkt</v>
      </c>
      <c r="K53" s="26" t="n">
        <v>1</v>
      </c>
      <c r="L53" s="26" t="s">
        <v>714</v>
      </c>
      <c r="M53" s="26" t="s">
        <v>703</v>
      </c>
      <c r="N53" s="26"/>
      <c r="O53" s="28" t="n">
        <f aca="false">IF(N53&lt;&gt;"",N53,IF(M53="D",ROUNDUP(SQRT((AL53-AI53)^2+(AM53-AJ53)^2+(AN53-AK53)^2)*(1+'Design Basis'!$C$6),0),ROUNDUP((ABS(AL53-AI53)+ABS(AM53-AJ53)+ABS(AO53-AK53)+ABS(AO53-AN53))*(1+'Design Basis'!$C$4)+2*'Design Basis'!$C$5,0)))</f>
        <v>15</v>
      </c>
      <c r="P53" s="28" t="n">
        <f aca="false">ROUND(O53*'Design Basis'!$C$10,0)</f>
        <v>49</v>
      </c>
      <c r="Q53" s="28" t="n">
        <f aca="false">O53*K53*AQ53</f>
        <v>15</v>
      </c>
      <c r="R53" s="28" t="n">
        <f aca="false">ROUND(Q53*'Design Basis'!$C$10,0)</f>
        <v>49</v>
      </c>
      <c r="S53" s="29" t="n">
        <v>13800</v>
      </c>
      <c r="T53" s="26" t="n">
        <v>3</v>
      </c>
      <c r="U53" s="29" t="n">
        <v>1000</v>
      </c>
      <c r="V53" s="30" t="n">
        <v>1</v>
      </c>
      <c r="W53" s="28" t="n">
        <f aca="false">IF(OR(U53="",S53=""),"",IF(T53=3,U53*1000/(SQRT(3)*S53*V53),U53*1000/(S53*V53)))</f>
        <v>41.8369760282338</v>
      </c>
      <c r="X53" s="30" t="n">
        <v>1.25</v>
      </c>
      <c r="Y53" s="28" t="n">
        <f aca="false">IF(W53="","",W53*IF(X53="",1,X53))</f>
        <v>52.2962200352922</v>
      </c>
      <c r="Z53" s="28" t="n">
        <f aca="false">IF(OR(AS53="",AP53=""),"",AS53*AP53)</f>
        <v>145.2</v>
      </c>
      <c r="AA53" s="28" t="n">
        <f aca="false">IF(Z53="","",Z53*K53)</f>
        <v>145.2</v>
      </c>
      <c r="AB53" s="31" t="n">
        <f aca="false">IF(OR(Y53="",AA53=""),"",Y53/AA53)</f>
        <v>0.360166804650773</v>
      </c>
      <c r="AC53" s="31" t="n">
        <f aca="false">IF(OR(W53="",AT53=""),"",AT53*(W53/K53)*O53/1000/S53)</f>
        <v>4.85672721719061E-005</v>
      </c>
      <c r="AD53" s="31" t="n">
        <f aca="false">IF(W53="","",IFERROR(IF(INDEX('Design Basis'!$C$13:$C$21,MATCH(C53,'Design Basis'!$A$13:$A$21,0))="","",INDEX('Design Basis'!$C$13:$C$21,MATCH(C53,'Design Basis'!$A$13:$A$21,0))),""))</f>
        <v>0.03</v>
      </c>
      <c r="AE53" s="32" t="str">
        <f aca="false">IF(W53="","n/a",IF(AA53="","CHECK",IF(AND(AB53&lt;=1,OR(AC53="",AD53="",AC53&lt;=AD53)),"OK","CHECK")))</f>
        <v>OK</v>
      </c>
      <c r="AF53" s="28" t="n">
        <f aca="false">IF(AR53="","",K53*AQ53*PI()/4*AR53^2)</f>
        <v>2922.46656600191</v>
      </c>
      <c r="AG53" s="32"/>
      <c r="AI53" s="33" t="n">
        <f aca="false">INDEX(Equipment!$D$2:$D$153,MATCH(E53,Equipment!$A$2:$A$153,0))</f>
        <v>12</v>
      </c>
      <c r="AJ53" s="33" t="n">
        <f aca="false">INDEX(Equipment!$E$2:$E$153,MATCH(E53,Equipment!$A$2:$A$153,0))</f>
        <v>99</v>
      </c>
      <c r="AK53" s="33" t="n">
        <f aca="false">INDEX(Equipment!$F$2:$F$153,MATCH(E53,Equipment!$A$2:$A$153,0))</f>
        <v>0.5</v>
      </c>
      <c r="AL53" s="33" t="n">
        <f aca="false">INDEX(Equipment!$D$2:$D$153,MATCH(G53,Equipment!$A$2:$A$153,0))</f>
        <v>10</v>
      </c>
      <c r="AM53" s="33" t="n">
        <f aca="false">INDEX(Equipment!$E$2:$E$153,MATCH(G53,Equipment!$A$2:$A$153,0))</f>
        <v>104</v>
      </c>
      <c r="AN53" s="33" t="n">
        <f aca="false">INDEX(Equipment!$F$2:$F$153,MATCH(G53,Equipment!$A$2:$A$153,0))</f>
        <v>0.5</v>
      </c>
      <c r="AO53" s="33" t="n">
        <f aca="false">IF(INDEX(Raceways!$D$2:$D$18,MATCH(L53,Raceways!$A$2:$A$18,0))="",0,INDEX(Raceways!$D$2:$D$18,MATCH(L53,Raceways!$A$2:$A$18,0)))</f>
        <v>1</v>
      </c>
      <c r="AP53" s="34" t="n">
        <f aca="false">IF(INDEX(Raceways!$I$2:$I$18,MATCH(L53,Raceways!$A$2:$A$18,0))="","",INDEX(Raceways!$I$2:$I$18,MATCH(L53,Raceways!$A$2:$A$18,0)))</f>
        <v>0.88</v>
      </c>
      <c r="AQ53" s="27" t="n">
        <f aca="false">INDEX('Cable Types'!$D$2:$D$45,MATCH(I53,'Cable Types'!$A$2:$A$45,0))</f>
        <v>1</v>
      </c>
      <c r="AR53" s="27" t="n">
        <f aca="false">IF(INDEX('Cable Types'!$E$2:$E$45,MATCH(I53,'Cable Types'!$A$2:$A$45,0))="","",INDEX('Cable Types'!$E$2:$E$45,MATCH(I53,'Cable Types'!$A$2:$A$45,0)))</f>
        <v>61</v>
      </c>
      <c r="AS53" s="27" t="n">
        <f aca="false">IF(INDEX('Cable Types'!$F$2:$F$45,MATCH(I53,'Cable Types'!$A$2:$A$45,0))="","",INDEX('Cable Types'!$F$2:$F$45,MATCH(I53,'Cable Types'!$A$2:$A$45,0)))</f>
        <v>165</v>
      </c>
      <c r="AT53" s="35" t="n">
        <f aca="false">IF(INDEX('Cable Types'!$G$2:$G$45,MATCH(I53,'Cable Types'!$A$2:$A$45,0))="","",INDEX('Cable Types'!$G$2:$G$45,MATCH(I53,'Cable Types'!$A$2:$A$45,0)))</f>
        <v>1.068</v>
      </c>
    </row>
    <row r="54" customFormat="false" ht="15" hidden="false" customHeight="false" outlineLevel="0" collapsed="false">
      <c r="A54" s="26" t="s">
        <v>804</v>
      </c>
      <c r="B54" s="26" t="s">
        <v>505</v>
      </c>
      <c r="C54" s="26" t="s">
        <v>68</v>
      </c>
      <c r="D54" s="26" t="s">
        <v>805</v>
      </c>
      <c r="E54" s="26" t="s">
        <v>509</v>
      </c>
      <c r="F54" s="27" t="str">
        <f aca="false">INDEX(Equipment!$B$2:$B$153,MATCH(E54,Equipment!$A$2:$A$153,0))</f>
        <v>Main LV transformer 13.8/0.48 kV 2.5 MVA</v>
      </c>
      <c r="G54" s="26" t="s">
        <v>507</v>
      </c>
      <c r="H54" s="27" t="str">
        <f aca="false">INDEX(Equipment!$B$2:$B$153,MATCH(G54,Equipment!$A$2:$A$153,0))</f>
        <v>Main power / motor control centre 480 V</v>
      </c>
      <c r="I54" s="26" t="s">
        <v>549</v>
      </c>
      <c r="J54" s="27" t="str">
        <f aca="false">INDEX('Cable Types'!$B$2:$B$45,MATCH(I54,'Cable Types'!$A$2:$A$45,0))</f>
        <v>600 V busway 4000 A, Cu, 3-ph + ground, outdoor feeder</v>
      </c>
      <c r="K54" s="26" t="n">
        <v>1</v>
      </c>
      <c r="L54" s="26" t="s">
        <v>806</v>
      </c>
      <c r="M54" s="26" t="s">
        <v>703</v>
      </c>
      <c r="N54" s="26"/>
      <c r="O54" s="28" t="n">
        <f aca="false">IF(N54&lt;&gt;"",N54,IF(M54="D",ROUNDUP(SQRT((AL54-AI54)^2+(AM54-AJ54)^2+(AN54-AK54)^2)*(1+'Design Basis'!$C$6),0),ROUNDUP((ABS(AL54-AI54)+ABS(AM54-AJ54)+ABS(AO54-AK54)+ABS(AO54-AN54))*(1+'Design Basis'!$C$4)+2*'Design Basis'!$C$5,0)))</f>
        <v>28</v>
      </c>
      <c r="P54" s="28" t="n">
        <f aca="false">ROUND(O54*'Design Basis'!$C$10,0)</f>
        <v>92</v>
      </c>
      <c r="Q54" s="28" t="n">
        <f aca="false">O54*K54*AQ54</f>
        <v>28</v>
      </c>
      <c r="R54" s="28" t="n">
        <f aca="false">ROUND(Q54*'Design Basis'!$C$10,0)</f>
        <v>92</v>
      </c>
      <c r="S54" s="29" t="n">
        <v>480</v>
      </c>
      <c r="T54" s="26" t="n">
        <v>3</v>
      </c>
      <c r="U54" s="29" t="n">
        <v>2500</v>
      </c>
      <c r="V54" s="30" t="n">
        <v>1</v>
      </c>
      <c r="W54" s="28" t="n">
        <f aca="false">IF(OR(U54="",S54=""),"",IF(T54=3,U54*1000/(SQRT(3)*S54*V54),U54*1000/(S54*V54)))</f>
        <v>3007.0326520293</v>
      </c>
      <c r="X54" s="30" t="n">
        <v>1</v>
      </c>
      <c r="Y54" s="28" t="n">
        <f aca="false">IF(W54="","",W54*IF(X54="",1,X54))</f>
        <v>3007.0326520293</v>
      </c>
      <c r="Z54" s="28" t="n">
        <f aca="false">IF(OR(AS54="",AP54=""),"",AS54*AP54)</f>
        <v>4000</v>
      </c>
      <c r="AA54" s="28" t="n">
        <f aca="false">IF(Z54="","",Z54*K54)</f>
        <v>4000</v>
      </c>
      <c r="AB54" s="31" t="n">
        <f aca="false">IF(OR(Y54="",AA54=""),"",Y54/AA54)</f>
        <v>0.751758163007325</v>
      </c>
      <c r="AC54" s="31" t="str">
        <f aca="false">IF(OR(W54="",AT54=""),"",AT54*(W54/K54)*O54/1000/S54)</f>
        <v/>
      </c>
      <c r="AD54" s="31" t="str">
        <f aca="false">IF(W54="","",IFERROR(IF(INDEX('Design Basis'!$C$13:$C$21,MATCH(C54,'Design Basis'!$A$13:$A$21,0))="","",INDEX('Design Basis'!$C$13:$C$21,MATCH(C54,'Design Basis'!$A$13:$A$21,0))),""))</f>
        <v/>
      </c>
      <c r="AE54" s="32" t="str">
        <f aca="false">IF(W54="","n/a",IF(AA54="","CHECK",IF(AND(AB54&lt;=1,OR(AC54="",AD54="",AC54&lt;=AD54)),"OK","CHECK")))</f>
        <v>OK</v>
      </c>
      <c r="AF54" s="28" t="str">
        <f aca="false">IF(AR54="","",K54*AQ54*PI()/4*AR54^2)</f>
        <v/>
      </c>
      <c r="AG54" s="32"/>
      <c r="AI54" s="33" t="n">
        <f aca="false">INDEX(Equipment!$D$2:$D$153,MATCH(E54,Equipment!$A$2:$A$153,0))</f>
        <v>34</v>
      </c>
      <c r="AJ54" s="33" t="n">
        <f aca="false">INDEX(Equipment!$E$2:$E$153,MATCH(E54,Equipment!$A$2:$A$153,0))</f>
        <v>57</v>
      </c>
      <c r="AK54" s="33" t="n">
        <f aca="false">INDEX(Equipment!$F$2:$F$153,MATCH(E54,Equipment!$A$2:$A$153,0))</f>
        <v>0.5</v>
      </c>
      <c r="AL54" s="33" t="n">
        <f aca="false">INDEX(Equipment!$D$2:$D$153,MATCH(G54,Equipment!$A$2:$A$153,0))</f>
        <v>44</v>
      </c>
      <c r="AM54" s="33" t="n">
        <f aca="false">INDEX(Equipment!$E$2:$E$153,MATCH(G54,Equipment!$A$2:$A$153,0))</f>
        <v>52</v>
      </c>
      <c r="AN54" s="33" t="n">
        <f aca="false">INDEX(Equipment!$F$2:$F$153,MATCH(G54,Equipment!$A$2:$A$153,0))</f>
        <v>0.5</v>
      </c>
      <c r="AO54" s="33" t="n">
        <f aca="false">IF(INDEX(Raceways!$D$2:$D$18,MATCH(L54,Raceways!$A$2:$A$18,0))="",0,INDEX(Raceways!$D$2:$D$18,MATCH(L54,Raceways!$A$2:$A$18,0)))</f>
        <v>3</v>
      </c>
      <c r="AP54" s="34" t="n">
        <f aca="false">IF(INDEX(Raceways!$I$2:$I$18,MATCH(L54,Raceways!$A$2:$A$18,0))="","",INDEX(Raceways!$I$2:$I$18,MATCH(L54,Raceways!$A$2:$A$18,0)))</f>
        <v>1</v>
      </c>
      <c r="AQ54" s="27" t="n">
        <f aca="false">INDEX('Cable Types'!$D$2:$D$45,MATCH(I54,'Cable Types'!$A$2:$A$45,0))</f>
        <v>1</v>
      </c>
      <c r="AR54" s="27" t="str">
        <f aca="false">IF(INDEX('Cable Types'!$E$2:$E$45,MATCH(I54,'Cable Types'!$A$2:$A$45,0))="","",INDEX('Cable Types'!$E$2:$E$45,MATCH(I54,'Cable Types'!$A$2:$A$45,0)))</f>
        <v/>
      </c>
      <c r="AS54" s="27" t="n">
        <f aca="false">IF(INDEX('Cable Types'!$F$2:$F$45,MATCH(I54,'Cable Types'!$A$2:$A$45,0))="","",INDEX('Cable Types'!$F$2:$F$45,MATCH(I54,'Cable Types'!$A$2:$A$45,0)))</f>
        <v>4000</v>
      </c>
      <c r="AT54" s="35" t="str">
        <f aca="false">IF(INDEX('Cable Types'!$G$2:$G$45,MATCH(I54,'Cable Types'!$A$2:$A$45,0))="","",INDEX('Cable Types'!$G$2:$G$45,MATCH(I54,'Cable Types'!$A$2:$A$45,0)))</f>
        <v/>
      </c>
    </row>
    <row r="55" customFormat="false" ht="15" hidden="false" customHeight="false" outlineLevel="0" collapsed="false">
      <c r="A55" s="26" t="s">
        <v>807</v>
      </c>
      <c r="B55" s="26" t="s">
        <v>236</v>
      </c>
      <c r="C55" s="26" t="s">
        <v>68</v>
      </c>
      <c r="D55" s="26" t="s">
        <v>808</v>
      </c>
      <c r="E55" s="26" t="s">
        <v>234</v>
      </c>
      <c r="F55" s="27" t="str">
        <f aca="false">INDEX(Equipment!$B$2:$B$153,MATCH(E55,Equipment!$A$2:$A$153,0))</f>
        <v>ACC fan transformer 13.8/0.48 kV 3 MVA</v>
      </c>
      <c r="G55" s="26" t="s">
        <v>238</v>
      </c>
      <c r="H55" s="27" t="str">
        <f aca="false">INDEX(Equipment!$B$2:$B$153,MATCH(G55,Equipment!$A$2:$A$153,0))</f>
        <v>ACC fan VFD switchroom 480 V</v>
      </c>
      <c r="I55" s="26" t="s">
        <v>549</v>
      </c>
      <c r="J55" s="27" t="str">
        <f aca="false">INDEX('Cable Types'!$B$2:$B$45,MATCH(I55,'Cable Types'!$A$2:$A$45,0))</f>
        <v>600 V busway 4000 A, Cu, 3-ph + ground, outdoor feeder</v>
      </c>
      <c r="K55" s="26" t="n">
        <v>1</v>
      </c>
      <c r="L55" s="26" t="s">
        <v>806</v>
      </c>
      <c r="M55" s="26" t="s">
        <v>703</v>
      </c>
      <c r="N55" s="26"/>
      <c r="O55" s="28" t="n">
        <f aca="false">IF(N55&lt;&gt;"",N55,IF(M55="D",ROUNDUP(SQRT((AL55-AI55)^2+(AM55-AJ55)^2+(AN55-AK55)^2)*(1+'Design Basis'!$C$6),0),ROUNDUP((ABS(AL55-AI55)+ABS(AM55-AJ55)+ABS(AO55-AK55)+ABS(AO55-AN55))*(1+'Design Basis'!$C$4)+2*'Design Basis'!$C$5,0)))</f>
        <v>19</v>
      </c>
      <c r="P55" s="28" t="n">
        <f aca="false">ROUND(O55*'Design Basis'!$C$10,0)</f>
        <v>62</v>
      </c>
      <c r="Q55" s="28" t="n">
        <f aca="false">O55*K55*AQ55</f>
        <v>19</v>
      </c>
      <c r="R55" s="28" t="n">
        <f aca="false">ROUND(Q55*'Design Basis'!$C$10,0)</f>
        <v>62</v>
      </c>
      <c r="S55" s="29" t="n">
        <v>480</v>
      </c>
      <c r="T55" s="26" t="n">
        <v>3</v>
      </c>
      <c r="U55" s="29" t="n">
        <v>3000</v>
      </c>
      <c r="V55" s="30" t="n">
        <v>1</v>
      </c>
      <c r="W55" s="28" t="n">
        <f aca="false">IF(OR(U55="",S55=""),"",IF(T55=3,U55*1000/(SQRT(3)*S55*V55),U55*1000/(S55*V55)))</f>
        <v>3608.43918243516</v>
      </c>
      <c r="X55" s="30" t="n">
        <v>1</v>
      </c>
      <c r="Y55" s="28" t="n">
        <f aca="false">IF(W55="","",W55*IF(X55="",1,X55))</f>
        <v>3608.43918243516</v>
      </c>
      <c r="Z55" s="28" t="n">
        <f aca="false">IF(OR(AS55="",AP55=""),"",AS55*AP55)</f>
        <v>4000</v>
      </c>
      <c r="AA55" s="28" t="n">
        <f aca="false">IF(Z55="","",Z55*K55)</f>
        <v>4000</v>
      </c>
      <c r="AB55" s="31" t="n">
        <f aca="false">IF(OR(Y55="",AA55=""),"",Y55/AA55)</f>
        <v>0.90210979560879</v>
      </c>
      <c r="AC55" s="31" t="str">
        <f aca="false">IF(OR(W55="",AT55=""),"",AT55*(W55/K55)*O55/1000/S55)</f>
        <v/>
      </c>
      <c r="AD55" s="31" t="str">
        <f aca="false">IF(W55="","",IFERROR(IF(INDEX('Design Basis'!$C$13:$C$21,MATCH(C55,'Design Basis'!$A$13:$A$21,0))="","",INDEX('Design Basis'!$C$13:$C$21,MATCH(C55,'Design Basis'!$A$13:$A$21,0))),""))</f>
        <v/>
      </c>
      <c r="AE55" s="32" t="str">
        <f aca="false">IF(W55="","n/a",IF(AA55="","CHECK",IF(AND(AB55&lt;=1,OR(AC55="",AD55="",AC55&lt;=AD55)),"OK","CHECK")))</f>
        <v>OK</v>
      </c>
      <c r="AF55" s="28" t="str">
        <f aca="false">IF(AR55="","",K55*AQ55*PI()/4*AR55^2)</f>
        <v/>
      </c>
      <c r="AG55" s="32"/>
      <c r="AI55" s="33" t="n">
        <f aca="false">INDEX(Equipment!$D$2:$D$153,MATCH(E55,Equipment!$A$2:$A$153,0))</f>
        <v>146</v>
      </c>
      <c r="AJ55" s="33" t="n">
        <f aca="false">INDEX(Equipment!$E$2:$E$153,MATCH(E55,Equipment!$A$2:$A$153,0))</f>
        <v>40</v>
      </c>
      <c r="AK55" s="33" t="n">
        <f aca="false">INDEX(Equipment!$F$2:$F$153,MATCH(E55,Equipment!$A$2:$A$153,0))</f>
        <v>0.5</v>
      </c>
      <c r="AL55" s="33" t="n">
        <f aca="false">INDEX(Equipment!$D$2:$D$153,MATCH(G55,Equipment!$A$2:$A$153,0))</f>
        <v>146</v>
      </c>
      <c r="AM55" s="33" t="n">
        <f aca="false">INDEX(Equipment!$E$2:$E$153,MATCH(G55,Equipment!$A$2:$A$153,0))</f>
        <v>46</v>
      </c>
      <c r="AN55" s="33" t="n">
        <f aca="false">INDEX(Equipment!$F$2:$F$153,MATCH(G55,Equipment!$A$2:$A$153,0))</f>
        <v>0.5</v>
      </c>
      <c r="AO55" s="33" t="n">
        <f aca="false">IF(INDEX(Raceways!$D$2:$D$18,MATCH(L55,Raceways!$A$2:$A$18,0))="",0,INDEX(Raceways!$D$2:$D$18,MATCH(L55,Raceways!$A$2:$A$18,0)))</f>
        <v>3</v>
      </c>
      <c r="AP55" s="34" t="n">
        <f aca="false">IF(INDEX(Raceways!$I$2:$I$18,MATCH(L55,Raceways!$A$2:$A$18,0))="","",INDEX(Raceways!$I$2:$I$18,MATCH(L55,Raceways!$A$2:$A$18,0)))</f>
        <v>1</v>
      </c>
      <c r="AQ55" s="27" t="n">
        <f aca="false">INDEX('Cable Types'!$D$2:$D$45,MATCH(I55,'Cable Types'!$A$2:$A$45,0))</f>
        <v>1</v>
      </c>
      <c r="AR55" s="27" t="str">
        <f aca="false">IF(INDEX('Cable Types'!$E$2:$E$45,MATCH(I55,'Cable Types'!$A$2:$A$45,0))="","",INDEX('Cable Types'!$E$2:$E$45,MATCH(I55,'Cable Types'!$A$2:$A$45,0)))</f>
        <v/>
      </c>
      <c r="AS55" s="27" t="n">
        <f aca="false">IF(INDEX('Cable Types'!$F$2:$F$45,MATCH(I55,'Cable Types'!$A$2:$A$45,0))="","",INDEX('Cable Types'!$F$2:$F$45,MATCH(I55,'Cable Types'!$A$2:$A$45,0)))</f>
        <v>4000</v>
      </c>
      <c r="AT55" s="35" t="str">
        <f aca="false">IF(INDEX('Cable Types'!$G$2:$G$45,MATCH(I55,'Cable Types'!$A$2:$A$45,0))="","",INDEX('Cable Types'!$G$2:$G$45,MATCH(I55,'Cable Types'!$A$2:$A$45,0)))</f>
        <v/>
      </c>
    </row>
    <row r="56" customFormat="false" ht="15" hidden="false" customHeight="false" outlineLevel="0" collapsed="false">
      <c r="A56" s="26" t="s">
        <v>809</v>
      </c>
      <c r="B56" s="26" t="s">
        <v>449</v>
      </c>
      <c r="C56" s="26" t="s">
        <v>68</v>
      </c>
      <c r="D56" s="26" t="s">
        <v>810</v>
      </c>
      <c r="E56" s="26" t="s">
        <v>470</v>
      </c>
      <c r="F56" s="27" t="str">
        <f aca="false">INDEX(Equipment!$B$2:$B$153,MATCH(E56,Equipment!$A$2:$A$153,0))</f>
        <v>Gas station transformer 13.8/0.48 kV 1.6 MVA</v>
      </c>
      <c r="G56" s="26" t="s">
        <v>473</v>
      </c>
      <c r="H56" s="27" t="str">
        <f aca="false">INDEX(Equipment!$B$2:$B$153,MATCH(G56,Equipment!$A$2:$A$153,0))</f>
        <v>Gas station MCC 480 V (shelter)</v>
      </c>
      <c r="I56" s="26" t="s">
        <v>551</v>
      </c>
      <c r="J56" s="27" t="str">
        <f aca="false">INDEX('Cable Types'!$B$2:$B$45,MATCH(I56,'Cable Types'!$A$2:$A$45,0))</f>
        <v>600 V busway 2500 A, Cu, 3-ph + ground, outdoor feeder</v>
      </c>
      <c r="K56" s="26" t="n">
        <v>1</v>
      </c>
      <c r="L56" s="26" t="s">
        <v>806</v>
      </c>
      <c r="M56" s="26" t="s">
        <v>703</v>
      </c>
      <c r="N56" s="26"/>
      <c r="O56" s="28" t="n">
        <f aca="false">IF(N56&lt;&gt;"",N56,IF(M56="D",ROUNDUP(SQRT((AL56-AI56)^2+(AM56-AJ56)^2+(AN56-AK56)^2)*(1+'Design Basis'!$C$6),0),ROUNDUP((ABS(AL56-AI56)+ABS(AM56-AJ56)+ABS(AO56-AK56)+ABS(AO56-AN56))*(1+'Design Basis'!$C$4)+2*'Design Basis'!$C$5,0)))</f>
        <v>25</v>
      </c>
      <c r="P56" s="28" t="n">
        <f aca="false">ROUND(O56*'Design Basis'!$C$10,0)</f>
        <v>82</v>
      </c>
      <c r="Q56" s="28" t="n">
        <f aca="false">O56*K56*AQ56</f>
        <v>25</v>
      </c>
      <c r="R56" s="28" t="n">
        <f aca="false">ROUND(Q56*'Design Basis'!$C$10,0)</f>
        <v>82</v>
      </c>
      <c r="S56" s="29" t="n">
        <v>480</v>
      </c>
      <c r="T56" s="26" t="n">
        <v>3</v>
      </c>
      <c r="U56" s="29" t="n">
        <v>1600</v>
      </c>
      <c r="V56" s="30" t="n">
        <v>1</v>
      </c>
      <c r="W56" s="28" t="n">
        <f aca="false">IF(OR(U56="",S56=""),"",IF(T56=3,U56*1000/(SQRT(3)*S56*V56),U56*1000/(S56*V56)))</f>
        <v>1924.50089729875</v>
      </c>
      <c r="X56" s="30" t="n">
        <v>1</v>
      </c>
      <c r="Y56" s="28" t="n">
        <f aca="false">IF(W56="","",W56*IF(X56="",1,X56))</f>
        <v>1924.50089729875</v>
      </c>
      <c r="Z56" s="28" t="n">
        <f aca="false">IF(OR(AS56="",AP56=""),"",AS56*AP56)</f>
        <v>2500</v>
      </c>
      <c r="AA56" s="28" t="n">
        <f aca="false">IF(Z56="","",Z56*K56)</f>
        <v>2500</v>
      </c>
      <c r="AB56" s="31" t="n">
        <f aca="false">IF(OR(Y56="",AA56=""),"",Y56/AA56)</f>
        <v>0.769800358919501</v>
      </c>
      <c r="AC56" s="31" t="str">
        <f aca="false">IF(OR(W56="",AT56=""),"",AT56*(W56/K56)*O56/1000/S56)</f>
        <v/>
      </c>
      <c r="AD56" s="31" t="str">
        <f aca="false">IF(W56="","",IFERROR(IF(INDEX('Design Basis'!$C$13:$C$21,MATCH(C56,'Design Basis'!$A$13:$A$21,0))="","",INDEX('Design Basis'!$C$13:$C$21,MATCH(C56,'Design Basis'!$A$13:$A$21,0))),""))</f>
        <v/>
      </c>
      <c r="AE56" s="32" t="str">
        <f aca="false">IF(W56="","n/a",IF(AA56="","CHECK",IF(AND(AB56&lt;=1,OR(AC56="",AD56="",AC56&lt;=AD56)),"OK","CHECK")))</f>
        <v>OK</v>
      </c>
      <c r="AF56" s="28" t="str">
        <f aca="false">IF(AR56="","",K56*AQ56*PI()/4*AR56^2)</f>
        <v/>
      </c>
      <c r="AG56" s="32"/>
      <c r="AI56" s="33" t="n">
        <f aca="false">INDEX(Equipment!$D$2:$D$153,MATCH(E56,Equipment!$A$2:$A$153,0))</f>
        <v>-12</v>
      </c>
      <c r="AJ56" s="33" t="n">
        <f aca="false">INDEX(Equipment!$E$2:$E$153,MATCH(E56,Equipment!$A$2:$A$153,0))</f>
        <v>16</v>
      </c>
      <c r="AK56" s="33" t="n">
        <f aca="false">INDEX(Equipment!$F$2:$F$153,MATCH(E56,Equipment!$A$2:$A$153,0))</f>
        <v>0.5</v>
      </c>
      <c r="AL56" s="33" t="n">
        <f aca="false">INDEX(Equipment!$D$2:$D$153,MATCH(G56,Equipment!$A$2:$A$153,0))</f>
        <v>-20</v>
      </c>
      <c r="AM56" s="33" t="n">
        <f aca="false">INDEX(Equipment!$E$2:$E$153,MATCH(G56,Equipment!$A$2:$A$153,0))</f>
        <v>12</v>
      </c>
      <c r="AN56" s="33" t="n">
        <f aca="false">INDEX(Equipment!$F$2:$F$153,MATCH(G56,Equipment!$A$2:$A$153,0))</f>
        <v>0.5</v>
      </c>
      <c r="AO56" s="33" t="n">
        <f aca="false">IF(INDEX(Raceways!$D$2:$D$18,MATCH(L56,Raceways!$A$2:$A$18,0))="",0,INDEX(Raceways!$D$2:$D$18,MATCH(L56,Raceways!$A$2:$A$18,0)))</f>
        <v>3</v>
      </c>
      <c r="AP56" s="34" t="n">
        <f aca="false">IF(INDEX(Raceways!$I$2:$I$18,MATCH(L56,Raceways!$A$2:$A$18,0))="","",INDEX(Raceways!$I$2:$I$18,MATCH(L56,Raceways!$A$2:$A$18,0)))</f>
        <v>1</v>
      </c>
      <c r="AQ56" s="27" t="n">
        <f aca="false">INDEX('Cable Types'!$D$2:$D$45,MATCH(I56,'Cable Types'!$A$2:$A$45,0))</f>
        <v>1</v>
      </c>
      <c r="AR56" s="27" t="str">
        <f aca="false">IF(INDEX('Cable Types'!$E$2:$E$45,MATCH(I56,'Cable Types'!$A$2:$A$45,0))="","",INDEX('Cable Types'!$E$2:$E$45,MATCH(I56,'Cable Types'!$A$2:$A$45,0)))</f>
        <v/>
      </c>
      <c r="AS56" s="27" t="n">
        <f aca="false">IF(INDEX('Cable Types'!$F$2:$F$45,MATCH(I56,'Cable Types'!$A$2:$A$45,0))="","",INDEX('Cable Types'!$F$2:$F$45,MATCH(I56,'Cable Types'!$A$2:$A$45,0)))</f>
        <v>2500</v>
      </c>
      <c r="AT56" s="35" t="str">
        <f aca="false">IF(INDEX('Cable Types'!$G$2:$G$45,MATCH(I56,'Cable Types'!$A$2:$A$45,0))="","",INDEX('Cable Types'!$G$2:$G$45,MATCH(I56,'Cable Types'!$A$2:$A$45,0)))</f>
        <v/>
      </c>
    </row>
    <row r="57" customFormat="false" ht="15" hidden="false" customHeight="false" outlineLevel="0" collapsed="false">
      <c r="A57" s="26" t="s">
        <v>811</v>
      </c>
      <c r="B57" s="26" t="s">
        <v>336</v>
      </c>
      <c r="C57" s="26" t="s">
        <v>68</v>
      </c>
      <c r="D57" s="26" t="s">
        <v>812</v>
      </c>
      <c r="E57" s="26" t="s">
        <v>338</v>
      </c>
      <c r="F57" s="27" t="str">
        <f aca="false">INDEX(Equipment!$B$2:$B$153,MATCH(E57,Equipment!$A$2:$A$153,0))</f>
        <v>CCS LV transformer 13.8/0.48 kV 2.5 MVA</v>
      </c>
      <c r="G57" s="26" t="s">
        <v>341</v>
      </c>
      <c r="H57" s="27" t="str">
        <f aca="false">INDEX(Equipment!$B$2:$B$153,MATCH(G57,Equipment!$A$2:$A$153,0))</f>
        <v>CCS power / motor control centre 480 V</v>
      </c>
      <c r="I57" s="26" t="s">
        <v>549</v>
      </c>
      <c r="J57" s="27" t="str">
        <f aca="false">INDEX('Cable Types'!$B$2:$B$45,MATCH(I57,'Cable Types'!$A$2:$A$45,0))</f>
        <v>600 V busway 4000 A, Cu, 3-ph + ground, outdoor feeder</v>
      </c>
      <c r="K57" s="26" t="n">
        <v>1</v>
      </c>
      <c r="L57" s="26" t="s">
        <v>806</v>
      </c>
      <c r="M57" s="26" t="s">
        <v>703</v>
      </c>
      <c r="N57" s="26"/>
      <c r="O57" s="28" t="n">
        <f aca="false">IF(N57&lt;&gt;"",N57,IF(M57="D",ROUNDUP(SQRT((AL57-AI57)^2+(AM57-AJ57)^2+(AN57-AK57)^2)*(1+'Design Basis'!$C$6),0),ROUNDUP((ABS(AL57-AI57)+ABS(AM57-AJ57)+ABS(AO57-AK57)+ABS(AO57-AN57))*(1+'Design Basis'!$C$4)+2*'Design Basis'!$C$5,0)))</f>
        <v>19</v>
      </c>
      <c r="P57" s="28" t="n">
        <f aca="false">ROUND(O57*'Design Basis'!$C$10,0)</f>
        <v>62</v>
      </c>
      <c r="Q57" s="28" t="n">
        <f aca="false">O57*K57*AQ57</f>
        <v>19</v>
      </c>
      <c r="R57" s="28" t="n">
        <f aca="false">ROUND(Q57*'Design Basis'!$C$10,0)</f>
        <v>62</v>
      </c>
      <c r="S57" s="29" t="n">
        <v>480</v>
      </c>
      <c r="T57" s="26" t="n">
        <v>3</v>
      </c>
      <c r="U57" s="29" t="n">
        <v>2500</v>
      </c>
      <c r="V57" s="30" t="n">
        <v>1</v>
      </c>
      <c r="W57" s="28" t="n">
        <f aca="false">IF(OR(U57="",S57=""),"",IF(T57=3,U57*1000/(SQRT(3)*S57*V57),U57*1000/(S57*V57)))</f>
        <v>3007.0326520293</v>
      </c>
      <c r="X57" s="30" t="n">
        <v>1</v>
      </c>
      <c r="Y57" s="28" t="n">
        <f aca="false">IF(W57="","",W57*IF(X57="",1,X57))</f>
        <v>3007.0326520293</v>
      </c>
      <c r="Z57" s="28" t="n">
        <f aca="false">IF(OR(AS57="",AP57=""),"",AS57*AP57)</f>
        <v>4000</v>
      </c>
      <c r="AA57" s="28" t="n">
        <f aca="false">IF(Z57="","",Z57*K57)</f>
        <v>4000</v>
      </c>
      <c r="AB57" s="31" t="n">
        <f aca="false">IF(OR(Y57="",AA57=""),"",Y57/AA57)</f>
        <v>0.751758163007325</v>
      </c>
      <c r="AC57" s="31" t="str">
        <f aca="false">IF(OR(W57="",AT57=""),"",AT57*(W57/K57)*O57/1000/S57)</f>
        <v/>
      </c>
      <c r="AD57" s="31" t="str">
        <f aca="false">IF(W57="","",IFERROR(IF(INDEX('Design Basis'!$C$13:$C$21,MATCH(C57,'Design Basis'!$A$13:$A$21,0))="","",INDEX('Design Basis'!$C$13:$C$21,MATCH(C57,'Design Basis'!$A$13:$A$21,0))),""))</f>
        <v/>
      </c>
      <c r="AE57" s="32" t="str">
        <f aca="false">IF(W57="","n/a",IF(AA57="","CHECK",IF(AND(AB57&lt;=1,OR(AC57="",AD57="",AC57&lt;=AD57)),"OK","CHECK")))</f>
        <v>OK</v>
      </c>
      <c r="AF57" s="28" t="str">
        <f aca="false">IF(AR57="","",K57*AQ57*PI()/4*AR57^2)</f>
        <v/>
      </c>
      <c r="AG57" s="32"/>
      <c r="AI57" s="33" t="n">
        <f aca="false">INDEX(Equipment!$D$2:$D$153,MATCH(E57,Equipment!$A$2:$A$153,0))</f>
        <v>182</v>
      </c>
      <c r="AJ57" s="33" t="n">
        <f aca="false">INDEX(Equipment!$E$2:$E$153,MATCH(E57,Equipment!$A$2:$A$153,0))</f>
        <v>60</v>
      </c>
      <c r="AK57" s="33" t="n">
        <f aca="false">INDEX(Equipment!$F$2:$F$153,MATCH(E57,Equipment!$A$2:$A$153,0))</f>
        <v>0.5</v>
      </c>
      <c r="AL57" s="33" t="n">
        <f aca="false">INDEX(Equipment!$D$2:$D$153,MATCH(G57,Equipment!$A$2:$A$153,0))</f>
        <v>176</v>
      </c>
      <c r="AM57" s="33" t="n">
        <f aca="false">INDEX(Equipment!$E$2:$E$153,MATCH(G57,Equipment!$A$2:$A$153,0))</f>
        <v>60</v>
      </c>
      <c r="AN57" s="33" t="n">
        <f aca="false">INDEX(Equipment!$F$2:$F$153,MATCH(G57,Equipment!$A$2:$A$153,0))</f>
        <v>0.5</v>
      </c>
      <c r="AO57" s="33" t="n">
        <f aca="false">IF(INDEX(Raceways!$D$2:$D$18,MATCH(L57,Raceways!$A$2:$A$18,0))="",0,INDEX(Raceways!$D$2:$D$18,MATCH(L57,Raceways!$A$2:$A$18,0)))</f>
        <v>3</v>
      </c>
      <c r="AP57" s="34" t="n">
        <f aca="false">IF(INDEX(Raceways!$I$2:$I$18,MATCH(L57,Raceways!$A$2:$A$18,0))="","",INDEX(Raceways!$I$2:$I$18,MATCH(L57,Raceways!$A$2:$A$18,0)))</f>
        <v>1</v>
      </c>
      <c r="AQ57" s="27" t="n">
        <f aca="false">INDEX('Cable Types'!$D$2:$D$45,MATCH(I57,'Cable Types'!$A$2:$A$45,0))</f>
        <v>1</v>
      </c>
      <c r="AR57" s="27" t="str">
        <f aca="false">IF(INDEX('Cable Types'!$E$2:$E$45,MATCH(I57,'Cable Types'!$A$2:$A$45,0))="","",INDEX('Cable Types'!$E$2:$E$45,MATCH(I57,'Cable Types'!$A$2:$A$45,0)))</f>
        <v/>
      </c>
      <c r="AS57" s="27" t="n">
        <f aca="false">IF(INDEX('Cable Types'!$F$2:$F$45,MATCH(I57,'Cable Types'!$A$2:$A$45,0))="","",INDEX('Cable Types'!$F$2:$F$45,MATCH(I57,'Cable Types'!$A$2:$A$45,0)))</f>
        <v>4000</v>
      </c>
      <c r="AT57" s="35" t="str">
        <f aca="false">IF(INDEX('Cable Types'!$G$2:$G$45,MATCH(I57,'Cable Types'!$A$2:$A$45,0))="","",INDEX('Cable Types'!$G$2:$G$45,MATCH(I57,'Cable Types'!$A$2:$A$45,0)))</f>
        <v/>
      </c>
    </row>
    <row r="58" customFormat="false" ht="15" hidden="false" customHeight="false" outlineLevel="0" collapsed="false">
      <c r="A58" s="26" t="s">
        <v>813</v>
      </c>
      <c r="B58" s="26" t="s">
        <v>133</v>
      </c>
      <c r="C58" s="26" t="s">
        <v>68</v>
      </c>
      <c r="D58" s="26" t="s">
        <v>814</v>
      </c>
      <c r="E58" s="26" t="s">
        <v>398</v>
      </c>
      <c r="F58" s="27" t="str">
        <f aca="false">INDEX(Equipment!$B$2:$B$153,MATCH(E58,Equipment!$A$2:$A$153,0))</f>
        <v>RICE auxiliary transformer 13.8/0.48 kV 1 MVA</v>
      </c>
      <c r="G58" s="26" t="s">
        <v>400</v>
      </c>
      <c r="H58" s="27" t="str">
        <f aca="false">INDEX(Equipment!$B$2:$B$153,MATCH(G58,Equipment!$A$2:$A$153,0))</f>
        <v>RICE auxiliary MCC 480 V</v>
      </c>
      <c r="I58" s="26" t="s">
        <v>551</v>
      </c>
      <c r="J58" s="27" t="str">
        <f aca="false">INDEX('Cable Types'!$B$2:$B$45,MATCH(I58,'Cable Types'!$A$2:$A$45,0))</f>
        <v>600 V busway 2500 A, Cu, 3-ph + ground, outdoor feeder</v>
      </c>
      <c r="K58" s="26" t="n">
        <v>1</v>
      </c>
      <c r="L58" s="26" t="s">
        <v>806</v>
      </c>
      <c r="M58" s="26" t="s">
        <v>703</v>
      </c>
      <c r="N58" s="26"/>
      <c r="O58" s="28" t="n">
        <f aca="false">IF(N58&lt;&gt;"",N58,IF(M58="D",ROUNDUP(SQRT((AL58-AI58)^2+(AM58-AJ58)^2+(AN58-AK58)^2)*(1+'Design Basis'!$C$6),0),ROUNDUP((ABS(AL58-AI58)+ABS(AM58-AJ58)+ABS(AO58-AK58)+ABS(AO58-AN58))*(1+'Design Basis'!$C$4)+2*'Design Basis'!$C$5,0)))</f>
        <v>24</v>
      </c>
      <c r="P58" s="28" t="n">
        <f aca="false">ROUND(O58*'Design Basis'!$C$10,0)</f>
        <v>79</v>
      </c>
      <c r="Q58" s="28" t="n">
        <f aca="false">O58*K58*AQ58</f>
        <v>24</v>
      </c>
      <c r="R58" s="28" t="n">
        <f aca="false">ROUND(Q58*'Design Basis'!$C$10,0)</f>
        <v>79</v>
      </c>
      <c r="S58" s="29" t="n">
        <v>480</v>
      </c>
      <c r="T58" s="26" t="n">
        <v>3</v>
      </c>
      <c r="U58" s="29" t="n">
        <v>1000</v>
      </c>
      <c r="V58" s="30" t="n">
        <v>1</v>
      </c>
      <c r="W58" s="28" t="n">
        <f aca="false">IF(OR(U58="",S58=""),"",IF(T58=3,U58*1000/(SQRT(3)*S58*V58),U58*1000/(S58*V58)))</f>
        <v>1202.81306081172</v>
      </c>
      <c r="X58" s="30" t="n">
        <v>1</v>
      </c>
      <c r="Y58" s="28" t="n">
        <f aca="false">IF(W58="","",W58*IF(X58="",1,X58))</f>
        <v>1202.81306081172</v>
      </c>
      <c r="Z58" s="28" t="n">
        <f aca="false">IF(OR(AS58="",AP58=""),"",AS58*AP58)</f>
        <v>2500</v>
      </c>
      <c r="AA58" s="28" t="n">
        <f aca="false">IF(Z58="","",Z58*K58)</f>
        <v>2500</v>
      </c>
      <c r="AB58" s="31" t="n">
        <f aca="false">IF(OR(Y58="",AA58=""),"",Y58/AA58)</f>
        <v>0.481125224324688</v>
      </c>
      <c r="AC58" s="31" t="str">
        <f aca="false">IF(OR(W58="",AT58=""),"",AT58*(W58/K58)*O58/1000/S58)</f>
        <v/>
      </c>
      <c r="AD58" s="31" t="str">
        <f aca="false">IF(W58="","",IFERROR(IF(INDEX('Design Basis'!$C$13:$C$21,MATCH(C58,'Design Basis'!$A$13:$A$21,0))="","",INDEX('Design Basis'!$C$13:$C$21,MATCH(C58,'Design Basis'!$A$13:$A$21,0))),""))</f>
        <v/>
      </c>
      <c r="AE58" s="32" t="str">
        <f aca="false">IF(W58="","n/a",IF(AA58="","CHECK",IF(AND(AB58&lt;=1,OR(AC58="",AD58="",AC58&lt;=AD58)),"OK","CHECK")))</f>
        <v>OK</v>
      </c>
      <c r="AF58" s="28" t="str">
        <f aca="false">IF(AR58="","",K58*AQ58*PI()/4*AR58^2)</f>
        <v/>
      </c>
      <c r="AG58" s="32"/>
      <c r="AI58" s="33" t="n">
        <f aca="false">INDEX(Equipment!$D$2:$D$153,MATCH(E58,Equipment!$A$2:$A$153,0))</f>
        <v>10</v>
      </c>
      <c r="AJ58" s="33" t="n">
        <f aca="false">INDEX(Equipment!$E$2:$E$153,MATCH(E58,Equipment!$A$2:$A$153,0))</f>
        <v>104</v>
      </c>
      <c r="AK58" s="33" t="n">
        <f aca="false">INDEX(Equipment!$F$2:$F$153,MATCH(E58,Equipment!$A$2:$A$153,0))</f>
        <v>0.5</v>
      </c>
      <c r="AL58" s="33" t="n">
        <f aca="false">INDEX(Equipment!$D$2:$D$153,MATCH(G58,Equipment!$A$2:$A$153,0))</f>
        <v>16</v>
      </c>
      <c r="AM58" s="33" t="n">
        <f aca="false">INDEX(Equipment!$E$2:$E$153,MATCH(G58,Equipment!$A$2:$A$153,0))</f>
        <v>99</v>
      </c>
      <c r="AN58" s="33" t="n">
        <f aca="false">INDEX(Equipment!$F$2:$F$153,MATCH(G58,Equipment!$A$2:$A$153,0))</f>
        <v>0.5</v>
      </c>
      <c r="AO58" s="33" t="n">
        <f aca="false">IF(INDEX(Raceways!$D$2:$D$18,MATCH(L58,Raceways!$A$2:$A$18,0))="",0,INDEX(Raceways!$D$2:$D$18,MATCH(L58,Raceways!$A$2:$A$18,0)))</f>
        <v>3</v>
      </c>
      <c r="AP58" s="34" t="n">
        <f aca="false">IF(INDEX(Raceways!$I$2:$I$18,MATCH(L58,Raceways!$A$2:$A$18,0))="","",INDEX(Raceways!$I$2:$I$18,MATCH(L58,Raceways!$A$2:$A$18,0)))</f>
        <v>1</v>
      </c>
      <c r="AQ58" s="27" t="n">
        <f aca="false">INDEX('Cable Types'!$D$2:$D$45,MATCH(I58,'Cable Types'!$A$2:$A$45,0))</f>
        <v>1</v>
      </c>
      <c r="AR58" s="27" t="str">
        <f aca="false">IF(INDEX('Cable Types'!$E$2:$E$45,MATCH(I58,'Cable Types'!$A$2:$A$45,0))="","",INDEX('Cable Types'!$E$2:$E$45,MATCH(I58,'Cable Types'!$A$2:$A$45,0)))</f>
        <v/>
      </c>
      <c r="AS58" s="27" t="n">
        <f aca="false">IF(INDEX('Cable Types'!$F$2:$F$45,MATCH(I58,'Cable Types'!$A$2:$A$45,0))="","",INDEX('Cable Types'!$F$2:$F$45,MATCH(I58,'Cable Types'!$A$2:$A$45,0)))</f>
        <v>2500</v>
      </c>
      <c r="AT58" s="35" t="str">
        <f aca="false">IF(INDEX('Cable Types'!$G$2:$G$45,MATCH(I58,'Cable Types'!$A$2:$A$45,0))="","",INDEX('Cable Types'!$G$2:$G$45,MATCH(I58,'Cable Types'!$A$2:$A$45,0)))</f>
        <v/>
      </c>
    </row>
    <row r="59" customFormat="false" ht="15" hidden="false" customHeight="false" outlineLevel="0" collapsed="false">
      <c r="A59" s="26" t="s">
        <v>815</v>
      </c>
      <c r="B59" s="26" t="s">
        <v>139</v>
      </c>
      <c r="C59" s="26" t="s">
        <v>74</v>
      </c>
      <c r="D59" s="26" t="s">
        <v>816</v>
      </c>
      <c r="E59" s="26" t="s">
        <v>507</v>
      </c>
      <c r="F59" s="27" t="str">
        <f aca="false">INDEX(Equipment!$B$2:$B$153,MATCH(E59,Equipment!$A$2:$A$153,0))</f>
        <v>Main power / motor control centre 480 V</v>
      </c>
      <c r="G59" s="26" t="s">
        <v>172</v>
      </c>
      <c r="H59" s="27" t="str">
        <f aca="false">INDEX(Equipment!$B$2:$B$153,MATCH(G59,Equipment!$A$2:$A$153,0))</f>
        <v>GT auxiliary MCC 480 V (in PEECC)</v>
      </c>
      <c r="I59" s="26" t="s">
        <v>583</v>
      </c>
      <c r="J59" s="27" t="str">
        <f aca="false">INDEX('Cable Types'!$B$2:$B$45,MATCH(I59,'Cable Types'!$A$2:$A$45,0))</f>
        <v>600 V 3/C 500 kcmil + G Cu XHHW-2, Type MC-HL, CCW Al armor (Armor-X type), PVC jkt</v>
      </c>
      <c r="K59" s="26" t="n">
        <v>2</v>
      </c>
      <c r="L59" s="26" t="s">
        <v>730</v>
      </c>
      <c r="M59" s="26" t="s">
        <v>703</v>
      </c>
      <c r="N59" s="26"/>
      <c r="O59" s="28" t="n">
        <f aca="false">IF(N59&lt;&gt;"",N59,IF(M59="D",ROUNDUP(SQRT((AL59-AI59)^2+(AM59-AJ59)^2+(AN59-AK59)^2)*(1+'Design Basis'!$C$6),0),ROUNDUP((ABS(AL59-AI59)+ABS(AM59-AJ59)+ABS(AO59-AK59)+ABS(AO59-AN59))*(1+'Design Basis'!$C$4)+2*'Design Basis'!$C$5,0)))</f>
        <v>85</v>
      </c>
      <c r="P59" s="28" t="n">
        <f aca="false">ROUND(O59*'Design Basis'!$C$10,0)</f>
        <v>279</v>
      </c>
      <c r="Q59" s="28" t="n">
        <f aca="false">O59*K59*AQ59</f>
        <v>170</v>
      </c>
      <c r="R59" s="28" t="n">
        <f aca="false">ROUND(Q59*'Design Basis'!$C$10,0)</f>
        <v>558</v>
      </c>
      <c r="S59" s="29" t="n">
        <v>480</v>
      </c>
      <c r="T59" s="26" t="n">
        <v>3</v>
      </c>
      <c r="U59" s="29" t="n">
        <v>350</v>
      </c>
      <c r="V59" s="30" t="n">
        <v>1</v>
      </c>
      <c r="W59" s="28" t="n">
        <f aca="false">IF(OR(U59="",S59=""),"",IF(T59=3,U59*1000/(SQRT(3)*S59*V59),U59*1000/(S59*V59)))</f>
        <v>420.984571284102</v>
      </c>
      <c r="X59" s="30" t="n">
        <v>1.25</v>
      </c>
      <c r="Y59" s="28" t="n">
        <f aca="false">IF(W59="","",W59*IF(X59="",1,X59))</f>
        <v>526.230714105128</v>
      </c>
      <c r="Z59" s="28" t="n">
        <f aca="false">IF(OR(AS59="",AP59=""),"",AS59*AP59)</f>
        <v>334.4</v>
      </c>
      <c r="AA59" s="28" t="n">
        <f aca="false">IF(Z59="","",Z59*K59)</f>
        <v>668.8</v>
      </c>
      <c r="AB59" s="31" t="n">
        <f aca="false">IF(OR(Y59="",AA59=""),"",Y59/AA59)</f>
        <v>0.786828220850969</v>
      </c>
      <c r="AC59" s="31" t="n">
        <f aca="false">IF(OR(W59="",AT59=""),"",AT59*(W59/K59)*O59/1000/S59)</f>
        <v>0.00827497797930313</v>
      </c>
      <c r="AD59" s="31" t="n">
        <f aca="false">IF(W59="","",IFERROR(IF(INDEX('Design Basis'!$C$13:$C$21,MATCH(C59,'Design Basis'!$A$13:$A$21,0))="","",INDEX('Design Basis'!$C$13:$C$21,MATCH(C59,'Design Basis'!$A$13:$A$21,0))),""))</f>
        <v>0.03</v>
      </c>
      <c r="AE59" s="32" t="str">
        <f aca="false">IF(W59="","n/a",IF(AA59="","CHECK",IF(AND(AB59&lt;=1,OR(AC59="",AD59="",AC59&lt;=AD59)),"OK","CHECK")))</f>
        <v>OK</v>
      </c>
      <c r="AF59" s="28" t="n">
        <f aca="false">IF(AR59="","",K59*AQ59*PI()/4*AR59^2)</f>
        <v>6842.38879951857</v>
      </c>
      <c r="AG59" s="32" t="s">
        <v>817</v>
      </c>
      <c r="AI59" s="33" t="n">
        <f aca="false">INDEX(Equipment!$D$2:$D$153,MATCH(E59,Equipment!$A$2:$A$153,0))</f>
        <v>44</v>
      </c>
      <c r="AJ59" s="33" t="n">
        <f aca="false">INDEX(Equipment!$E$2:$E$153,MATCH(E59,Equipment!$A$2:$A$153,0))</f>
        <v>52</v>
      </c>
      <c r="AK59" s="33" t="n">
        <f aca="false">INDEX(Equipment!$F$2:$F$153,MATCH(E59,Equipment!$A$2:$A$153,0))</f>
        <v>0.5</v>
      </c>
      <c r="AL59" s="33" t="n">
        <f aca="false">INDEX(Equipment!$D$2:$D$153,MATCH(G59,Equipment!$A$2:$A$153,0))</f>
        <v>48</v>
      </c>
      <c r="AM59" s="33" t="n">
        <f aca="false">INDEX(Equipment!$E$2:$E$153,MATCH(G59,Equipment!$A$2:$A$153,0))</f>
        <v>-6</v>
      </c>
      <c r="AN59" s="33" t="n">
        <f aca="false">INDEX(Equipment!$F$2:$F$153,MATCH(G59,Equipment!$A$2:$A$153,0))</f>
        <v>0.5</v>
      </c>
      <c r="AO59" s="33" t="n">
        <f aca="false">IF(INDEX(Raceways!$D$2:$D$18,MATCH(L59,Raceways!$A$2:$A$18,0))="",0,INDEX(Raceways!$D$2:$D$18,MATCH(L59,Raceways!$A$2:$A$18,0)))</f>
        <v>5</v>
      </c>
      <c r="AP59" s="34" t="n">
        <f aca="false">IF(INDEX(Raceways!$I$2:$I$18,MATCH(L59,Raceways!$A$2:$A$18,0))="","",INDEX(Raceways!$I$2:$I$18,MATCH(L59,Raceways!$A$2:$A$18,0)))</f>
        <v>0.88</v>
      </c>
      <c r="AQ59" s="27" t="n">
        <f aca="false">INDEX('Cable Types'!$D$2:$D$45,MATCH(I59,'Cable Types'!$A$2:$A$45,0))</f>
        <v>1</v>
      </c>
      <c r="AR59" s="27" t="n">
        <f aca="false">IF(INDEX('Cable Types'!$E$2:$E$45,MATCH(I59,'Cable Types'!$A$2:$A$45,0))="","",INDEX('Cable Types'!$E$2:$E$45,MATCH(I59,'Cable Types'!$A$2:$A$45,0)))</f>
        <v>66</v>
      </c>
      <c r="AS59" s="27" t="n">
        <f aca="false">IF(INDEX('Cable Types'!$F$2:$F$45,MATCH(I59,'Cable Types'!$A$2:$A$45,0))="","",INDEX('Cable Types'!$F$2:$F$45,MATCH(I59,'Cable Types'!$A$2:$A$45,0)))</f>
        <v>380</v>
      </c>
      <c r="AT59" s="35" t="n">
        <f aca="false">IF(INDEX('Cable Types'!$G$2:$G$45,MATCH(I59,'Cable Types'!$A$2:$A$45,0))="","",INDEX('Cable Types'!$G$2:$G$45,MATCH(I59,'Cable Types'!$A$2:$A$45,0)))</f>
        <v>0.222</v>
      </c>
    </row>
    <row r="60" customFormat="false" ht="15" hidden="false" customHeight="false" outlineLevel="0" collapsed="false">
      <c r="A60" s="26" t="s">
        <v>818</v>
      </c>
      <c r="B60" s="26" t="s">
        <v>139</v>
      </c>
      <c r="C60" s="26" t="s">
        <v>74</v>
      </c>
      <c r="D60" s="26" t="s">
        <v>819</v>
      </c>
      <c r="E60" s="26" t="s">
        <v>507</v>
      </c>
      <c r="F60" s="27" t="str">
        <f aca="false">INDEX(Equipment!$B$2:$B$153,MATCH(E60,Equipment!$A$2:$A$153,0))</f>
        <v>Main power / motor control centre 480 V</v>
      </c>
      <c r="G60" s="26" t="s">
        <v>191</v>
      </c>
      <c r="H60" s="27" t="str">
        <f aca="false">INDEX(Equipment!$B$2:$B$153,MATCH(G60,Equipment!$A$2:$A$153,0))</f>
        <v>HRSG auxiliary MCC 480 V</v>
      </c>
      <c r="I60" s="26" t="s">
        <v>581</v>
      </c>
      <c r="J60" s="27" t="str">
        <f aca="false">INDEX('Cable Types'!$B$2:$B$45,MATCH(I60,'Cable Types'!$A$2:$A$45,0))</f>
        <v>600 V 3/C 350 kcmil + G Cu XHHW-2, Type MC-HL, CCW Al armor (Armor-X type), PVC jkt</v>
      </c>
      <c r="K60" s="26" t="n">
        <v>2</v>
      </c>
      <c r="L60" s="26" t="s">
        <v>730</v>
      </c>
      <c r="M60" s="26" t="s">
        <v>703</v>
      </c>
      <c r="N60" s="26"/>
      <c r="O60" s="28" t="n">
        <f aca="false">IF(N60&lt;&gt;"",N60,IF(M60="D",ROUNDUP(SQRT((AL60-AI60)^2+(AM60-AJ60)^2+(AN60-AK60)^2)*(1+'Design Basis'!$C$6),0),ROUNDUP((ABS(AL60-AI60)+ABS(AM60-AJ60)+ABS(AO60-AK60)+ABS(AO60-AN60))*(1+'Design Basis'!$C$4)+2*'Design Basis'!$C$5,0)))</f>
        <v>123</v>
      </c>
      <c r="P60" s="28" t="n">
        <f aca="false">ROUND(O60*'Design Basis'!$C$10,0)</f>
        <v>404</v>
      </c>
      <c r="Q60" s="28" t="n">
        <f aca="false">O60*K60*AQ60</f>
        <v>246</v>
      </c>
      <c r="R60" s="28" t="n">
        <f aca="false">ROUND(Q60*'Design Basis'!$C$10,0)</f>
        <v>807</v>
      </c>
      <c r="S60" s="29" t="n">
        <v>480</v>
      </c>
      <c r="T60" s="26" t="n">
        <v>3</v>
      </c>
      <c r="U60" s="29" t="n">
        <v>250</v>
      </c>
      <c r="V60" s="30" t="n">
        <v>1</v>
      </c>
      <c r="W60" s="28" t="n">
        <f aca="false">IF(OR(U60="",S60=""),"",IF(T60=3,U60*1000/(SQRT(3)*S60*V60),U60*1000/(S60*V60)))</f>
        <v>300.70326520293</v>
      </c>
      <c r="X60" s="30" t="n">
        <v>1.25</v>
      </c>
      <c r="Y60" s="28" t="n">
        <f aca="false">IF(W60="","",W60*IF(X60="",1,X60))</f>
        <v>375.879081503663</v>
      </c>
      <c r="Z60" s="28" t="n">
        <f aca="false">IF(OR(AS60="",AP60=""),"",AS60*AP60)</f>
        <v>272.8</v>
      </c>
      <c r="AA60" s="28" t="n">
        <f aca="false">IF(Z60="","",Z60*K60)</f>
        <v>545.6</v>
      </c>
      <c r="AB60" s="31" t="n">
        <f aca="false">IF(OR(Y60="",AA60=""),"",Y60/AA60)</f>
        <v>0.6889279353073</v>
      </c>
      <c r="AC60" s="31" t="n">
        <f aca="false">IF(OR(W60="",AT60=""),"",AT60*(W60/K60)*O60/1000/S60)</f>
        <v>0.0105180363981762</v>
      </c>
      <c r="AD60" s="31" t="n">
        <f aca="false">IF(W60="","",IFERROR(IF(INDEX('Design Basis'!$C$13:$C$21,MATCH(C60,'Design Basis'!$A$13:$A$21,0))="","",INDEX('Design Basis'!$C$13:$C$21,MATCH(C60,'Design Basis'!$A$13:$A$21,0))),""))</f>
        <v>0.03</v>
      </c>
      <c r="AE60" s="32" t="str">
        <f aca="false">IF(W60="","n/a",IF(AA60="","CHECK",IF(AND(AB60&lt;=1,OR(AC60="",AD60="",AC60&lt;=AD60)),"OK","CHECK")))</f>
        <v>OK</v>
      </c>
      <c r="AF60" s="28" t="n">
        <f aca="false">IF(AR60="","",K60*AQ60*PI()/4*AR60^2)</f>
        <v>5103.51726575662</v>
      </c>
      <c r="AG60" s="32"/>
      <c r="AI60" s="33" t="n">
        <f aca="false">INDEX(Equipment!$D$2:$D$153,MATCH(E60,Equipment!$A$2:$A$153,0))</f>
        <v>44</v>
      </c>
      <c r="AJ60" s="33" t="n">
        <f aca="false">INDEX(Equipment!$E$2:$E$153,MATCH(E60,Equipment!$A$2:$A$153,0))</f>
        <v>52</v>
      </c>
      <c r="AK60" s="33" t="n">
        <f aca="false">INDEX(Equipment!$F$2:$F$153,MATCH(E60,Equipment!$A$2:$A$153,0))</f>
        <v>0.5</v>
      </c>
      <c r="AL60" s="33" t="n">
        <f aca="false">INDEX(Equipment!$D$2:$D$153,MATCH(G60,Equipment!$A$2:$A$153,0))</f>
        <v>80</v>
      </c>
      <c r="AM60" s="33" t="n">
        <f aca="false">INDEX(Equipment!$E$2:$E$153,MATCH(G60,Equipment!$A$2:$A$153,0))</f>
        <v>-9</v>
      </c>
      <c r="AN60" s="33" t="n">
        <f aca="false">INDEX(Equipment!$F$2:$F$153,MATCH(G60,Equipment!$A$2:$A$153,0))</f>
        <v>0.5</v>
      </c>
      <c r="AO60" s="33" t="n">
        <f aca="false">IF(INDEX(Raceways!$D$2:$D$18,MATCH(L60,Raceways!$A$2:$A$18,0))="",0,INDEX(Raceways!$D$2:$D$18,MATCH(L60,Raceways!$A$2:$A$18,0)))</f>
        <v>5</v>
      </c>
      <c r="AP60" s="34" t="n">
        <f aca="false">IF(INDEX(Raceways!$I$2:$I$18,MATCH(L60,Raceways!$A$2:$A$18,0))="","",INDEX(Raceways!$I$2:$I$18,MATCH(L60,Raceways!$A$2:$A$18,0)))</f>
        <v>0.88</v>
      </c>
      <c r="AQ60" s="27" t="n">
        <f aca="false">INDEX('Cable Types'!$D$2:$D$45,MATCH(I60,'Cable Types'!$A$2:$A$45,0))</f>
        <v>1</v>
      </c>
      <c r="AR60" s="27" t="n">
        <f aca="false">IF(INDEX('Cable Types'!$E$2:$E$45,MATCH(I60,'Cable Types'!$A$2:$A$45,0))="","",INDEX('Cable Types'!$E$2:$E$45,MATCH(I60,'Cable Types'!$A$2:$A$45,0)))</f>
        <v>57</v>
      </c>
      <c r="AS60" s="27" t="n">
        <f aca="false">IF(INDEX('Cable Types'!$F$2:$F$45,MATCH(I60,'Cable Types'!$A$2:$A$45,0))="","",INDEX('Cable Types'!$F$2:$F$45,MATCH(I60,'Cable Types'!$A$2:$A$45,0)))</f>
        <v>310</v>
      </c>
      <c r="AT60" s="35" t="n">
        <f aca="false">IF(INDEX('Cable Types'!$G$2:$G$45,MATCH(I60,'Cable Types'!$A$2:$A$45,0))="","",INDEX('Cable Types'!$G$2:$G$45,MATCH(I60,'Cable Types'!$A$2:$A$45,0)))</f>
        <v>0.273</v>
      </c>
    </row>
    <row r="61" customFormat="false" ht="15" hidden="false" customHeight="false" outlineLevel="0" collapsed="false">
      <c r="A61" s="26" t="s">
        <v>820</v>
      </c>
      <c r="B61" s="26" t="s">
        <v>139</v>
      </c>
      <c r="C61" s="26" t="s">
        <v>74</v>
      </c>
      <c r="D61" s="26" t="s">
        <v>821</v>
      </c>
      <c r="E61" s="26" t="s">
        <v>507</v>
      </c>
      <c r="F61" s="27" t="str">
        <f aca="false">INDEX(Equipment!$B$2:$B$153,MATCH(E61,Equipment!$A$2:$A$153,0))</f>
        <v>Main power / motor control centre 480 V</v>
      </c>
      <c r="G61" s="26" t="s">
        <v>215</v>
      </c>
      <c r="H61" s="27" t="str">
        <f aca="false">INDEX(Equipment!$B$2:$B$153,MATCH(G61,Equipment!$A$2:$A$153,0))</f>
        <v>ST auxiliary MCC 480 V</v>
      </c>
      <c r="I61" s="26" t="s">
        <v>583</v>
      </c>
      <c r="J61" s="27" t="str">
        <f aca="false">INDEX('Cable Types'!$B$2:$B$45,MATCH(I61,'Cable Types'!$A$2:$A$45,0))</f>
        <v>600 V 3/C 500 kcmil + G Cu XHHW-2, Type MC-HL, CCW Al armor (Armor-X type), PVC jkt</v>
      </c>
      <c r="K61" s="26" t="n">
        <v>2</v>
      </c>
      <c r="L61" s="26" t="s">
        <v>724</v>
      </c>
      <c r="M61" s="26" t="s">
        <v>703</v>
      </c>
      <c r="N61" s="26"/>
      <c r="O61" s="28" t="n">
        <f aca="false">IF(N61&lt;&gt;"",N61,IF(M61="D",ROUNDUP(SQRT((AL61-AI61)^2+(AM61-AJ61)^2+(AN61-AK61)^2)*(1+'Design Basis'!$C$6),0),ROUNDUP((ABS(AL61-AI61)+ABS(AM61-AJ61)+ABS(AO61-AK61)+ABS(AO61-AN61))*(1+'Design Basis'!$C$4)+2*'Design Basis'!$C$5,0)))</f>
        <v>89</v>
      </c>
      <c r="P61" s="28" t="n">
        <f aca="false">ROUND(O61*'Design Basis'!$C$10,0)</f>
        <v>292</v>
      </c>
      <c r="Q61" s="28" t="n">
        <f aca="false">O61*K61*AQ61</f>
        <v>178</v>
      </c>
      <c r="R61" s="28" t="n">
        <f aca="false">ROUND(Q61*'Design Basis'!$C$10,0)</f>
        <v>584</v>
      </c>
      <c r="S61" s="29" t="n">
        <v>480</v>
      </c>
      <c r="T61" s="26" t="n">
        <v>3</v>
      </c>
      <c r="U61" s="29" t="n">
        <v>300</v>
      </c>
      <c r="V61" s="30" t="n">
        <v>1</v>
      </c>
      <c r="W61" s="28" t="n">
        <f aca="false">IF(OR(U61="",S61=""),"",IF(T61=3,U61*1000/(SQRT(3)*S61*V61),U61*1000/(S61*V61)))</f>
        <v>360.843918243516</v>
      </c>
      <c r="X61" s="30" t="n">
        <v>1.25</v>
      </c>
      <c r="Y61" s="28" t="n">
        <f aca="false">IF(W61="","",W61*IF(X61="",1,X61))</f>
        <v>451.054897804395</v>
      </c>
      <c r="Z61" s="28" t="n">
        <f aca="false">IF(OR(AS61="",AP61=""),"",AS61*AP61)</f>
        <v>334.4</v>
      </c>
      <c r="AA61" s="28" t="n">
        <f aca="false">IF(Z61="","",Z61*K61)</f>
        <v>668.8</v>
      </c>
      <c r="AB61" s="31" t="n">
        <f aca="false">IF(OR(Y61="",AA61=""),"",Y61/AA61)</f>
        <v>0.67442418930083</v>
      </c>
      <c r="AC61" s="31" t="n">
        <f aca="false">IF(OR(W61="",AT61=""),"",AT61*(W61/K61)*O61/1000/S61)</f>
        <v>0.00742661889234937</v>
      </c>
      <c r="AD61" s="31" t="n">
        <f aca="false">IF(W61="","",IFERROR(IF(INDEX('Design Basis'!$C$13:$C$21,MATCH(C61,'Design Basis'!$A$13:$A$21,0))="","",INDEX('Design Basis'!$C$13:$C$21,MATCH(C61,'Design Basis'!$A$13:$A$21,0))),""))</f>
        <v>0.03</v>
      </c>
      <c r="AE61" s="32" t="str">
        <f aca="false">IF(W61="","n/a",IF(AA61="","CHECK",IF(AND(AB61&lt;=1,OR(AC61="",AD61="",AC61&lt;=AD61)),"OK","CHECK")))</f>
        <v>OK</v>
      </c>
      <c r="AF61" s="28" t="n">
        <f aca="false">IF(AR61="","",K61*AQ61*PI()/4*AR61^2)</f>
        <v>6842.38879951857</v>
      </c>
      <c r="AG61" s="32"/>
      <c r="AI61" s="33" t="n">
        <f aca="false">INDEX(Equipment!$D$2:$D$153,MATCH(E61,Equipment!$A$2:$A$153,0))</f>
        <v>44</v>
      </c>
      <c r="AJ61" s="33" t="n">
        <f aca="false">INDEX(Equipment!$E$2:$E$153,MATCH(E61,Equipment!$A$2:$A$153,0))</f>
        <v>52</v>
      </c>
      <c r="AK61" s="33" t="n">
        <f aca="false">INDEX(Equipment!$F$2:$F$153,MATCH(E61,Equipment!$A$2:$A$153,0))</f>
        <v>0.5</v>
      </c>
      <c r="AL61" s="33" t="n">
        <f aca="false">INDEX(Equipment!$D$2:$D$153,MATCH(G61,Equipment!$A$2:$A$153,0))</f>
        <v>88</v>
      </c>
      <c r="AM61" s="33" t="n">
        <f aca="false">INDEX(Equipment!$E$2:$E$153,MATCH(G61,Equipment!$A$2:$A$153,0))</f>
        <v>30</v>
      </c>
      <c r="AN61" s="33" t="n">
        <f aca="false">INDEX(Equipment!$F$2:$F$153,MATCH(G61,Equipment!$A$2:$A$153,0))</f>
        <v>0.5</v>
      </c>
      <c r="AO61" s="33" t="n">
        <f aca="false">IF(INDEX(Raceways!$D$2:$D$18,MATCH(L61,Raceways!$A$2:$A$18,0))="",0,INDEX(Raceways!$D$2:$D$18,MATCH(L61,Raceways!$A$2:$A$18,0)))</f>
        <v>5</v>
      </c>
      <c r="AP61" s="34" t="n">
        <f aca="false">IF(INDEX(Raceways!$I$2:$I$18,MATCH(L61,Raceways!$A$2:$A$18,0))="","",INDEX(Raceways!$I$2:$I$18,MATCH(L61,Raceways!$A$2:$A$18,0)))</f>
        <v>0.88</v>
      </c>
      <c r="AQ61" s="27" t="n">
        <f aca="false">INDEX('Cable Types'!$D$2:$D$45,MATCH(I61,'Cable Types'!$A$2:$A$45,0))</f>
        <v>1</v>
      </c>
      <c r="AR61" s="27" t="n">
        <f aca="false">IF(INDEX('Cable Types'!$E$2:$E$45,MATCH(I61,'Cable Types'!$A$2:$A$45,0))="","",INDEX('Cable Types'!$E$2:$E$45,MATCH(I61,'Cable Types'!$A$2:$A$45,0)))</f>
        <v>66</v>
      </c>
      <c r="AS61" s="27" t="n">
        <f aca="false">IF(INDEX('Cable Types'!$F$2:$F$45,MATCH(I61,'Cable Types'!$A$2:$A$45,0))="","",INDEX('Cable Types'!$F$2:$F$45,MATCH(I61,'Cable Types'!$A$2:$A$45,0)))</f>
        <v>380</v>
      </c>
      <c r="AT61" s="35" t="n">
        <f aca="false">IF(INDEX('Cable Types'!$G$2:$G$45,MATCH(I61,'Cable Types'!$A$2:$A$45,0))="","",INDEX('Cable Types'!$G$2:$G$45,MATCH(I61,'Cable Types'!$A$2:$A$45,0)))</f>
        <v>0.222</v>
      </c>
    </row>
    <row r="62" customFormat="false" ht="15" hidden="false" customHeight="false" outlineLevel="0" collapsed="false">
      <c r="A62" s="26" t="s">
        <v>822</v>
      </c>
      <c r="B62" s="26" t="s">
        <v>505</v>
      </c>
      <c r="C62" s="26" t="s">
        <v>74</v>
      </c>
      <c r="D62" s="26" t="s">
        <v>823</v>
      </c>
      <c r="E62" s="26" t="s">
        <v>507</v>
      </c>
      <c r="F62" s="27" t="str">
        <f aca="false">INDEX(Equipment!$B$2:$B$153,MATCH(E62,Equipment!$A$2:$A$153,0))</f>
        <v>Main power / motor control centre 480 V</v>
      </c>
      <c r="G62" s="26" t="s">
        <v>518</v>
      </c>
      <c r="H62" s="27" t="str">
        <f aca="false">INDEX(Equipment!$B$2:$B$153,MATCH(G62,Equipment!$A$2:$A$153,0))</f>
        <v>230 V AC UPS</v>
      </c>
      <c r="I62" s="26" t="s">
        <v>577</v>
      </c>
      <c r="J62" s="27" t="str">
        <f aca="false">INDEX('Cable Types'!$B$2:$B$45,MATCH(I62,'Cable Types'!$A$2:$A$45,0))</f>
        <v>600 V 3/C 1/0 AWG + G Cu XHHW-2, Type MC-HL, CCW Al armor (Armor-X type), PVC jkt</v>
      </c>
      <c r="K62" s="26" t="n">
        <v>1</v>
      </c>
      <c r="L62" s="26" t="s">
        <v>714</v>
      </c>
      <c r="M62" s="26" t="s">
        <v>703</v>
      </c>
      <c r="N62" s="26"/>
      <c r="O62" s="28" t="n">
        <f aca="false">IF(N62&lt;&gt;"",N62,IF(M62="D",ROUNDUP(SQRT((AL62-AI62)^2+(AM62-AJ62)^2+(AN62-AK62)^2)*(1+'Design Basis'!$C$6),0),ROUNDUP((ABS(AL62-AI62)+ABS(AM62-AJ62)+ABS(AO62-AK62)+ABS(AO62-AN62))*(1+'Design Basis'!$C$4)+2*'Design Basis'!$C$5,0)))</f>
        <v>12</v>
      </c>
      <c r="P62" s="28" t="n">
        <f aca="false">ROUND(O62*'Design Basis'!$C$10,0)</f>
        <v>39</v>
      </c>
      <c r="Q62" s="28" t="n">
        <f aca="false">O62*K62*AQ62</f>
        <v>12</v>
      </c>
      <c r="R62" s="28" t="n">
        <f aca="false">ROUND(Q62*'Design Basis'!$C$10,0)</f>
        <v>39</v>
      </c>
      <c r="S62" s="29" t="n">
        <v>480</v>
      </c>
      <c r="T62" s="26" t="n">
        <v>3</v>
      </c>
      <c r="U62" s="29" t="n">
        <v>80</v>
      </c>
      <c r="V62" s="30" t="n">
        <v>1</v>
      </c>
      <c r="W62" s="28" t="n">
        <f aca="false">IF(OR(U62="",S62=""),"",IF(T62=3,U62*1000/(SQRT(3)*S62*V62),U62*1000/(S62*V62)))</f>
        <v>96.2250448649376</v>
      </c>
      <c r="X62" s="30" t="n">
        <v>1.25</v>
      </c>
      <c r="Y62" s="28" t="n">
        <f aca="false">IF(W62="","",W62*IF(X62="",1,X62))</f>
        <v>120.281306081172</v>
      </c>
      <c r="Z62" s="28" t="n">
        <f aca="false">IF(OR(AS62="",AP62=""),"",AS62*AP62)</f>
        <v>132</v>
      </c>
      <c r="AA62" s="28" t="n">
        <f aca="false">IF(Z62="","",Z62*K62)</f>
        <v>132</v>
      </c>
      <c r="AB62" s="31" t="n">
        <f aca="false">IF(OR(Y62="",AA62=""),"",Y62/AA62)</f>
        <v>0.911222015766455</v>
      </c>
      <c r="AC62" s="31" t="n">
        <f aca="false">IF(OR(W62="",AT62=""),"",AT62*(W62/K62)*O62/1000/S62)</f>
        <v>0.00164063701494719</v>
      </c>
      <c r="AD62" s="31" t="n">
        <f aca="false">IF(W62="","",IFERROR(IF(INDEX('Design Basis'!$C$13:$C$21,MATCH(C62,'Design Basis'!$A$13:$A$21,0))="","",INDEX('Design Basis'!$C$13:$C$21,MATCH(C62,'Design Basis'!$A$13:$A$21,0))),""))</f>
        <v>0.03</v>
      </c>
      <c r="AE62" s="32" t="str">
        <f aca="false">IF(W62="","n/a",IF(AA62="","CHECK",IF(AND(AB62&lt;=1,OR(AC62="",AD62="",AC62&lt;=AD62)),"OK","CHECK")))</f>
        <v>OK</v>
      </c>
      <c r="AF62" s="28" t="n">
        <f aca="false">IF(AR62="","",K62*AQ62*PI()/4*AR62^2)</f>
        <v>1075.21008569111</v>
      </c>
      <c r="AG62" s="32"/>
      <c r="AI62" s="33" t="n">
        <f aca="false">INDEX(Equipment!$D$2:$D$153,MATCH(E62,Equipment!$A$2:$A$153,0))</f>
        <v>44</v>
      </c>
      <c r="AJ62" s="33" t="n">
        <f aca="false">INDEX(Equipment!$E$2:$E$153,MATCH(E62,Equipment!$A$2:$A$153,0))</f>
        <v>52</v>
      </c>
      <c r="AK62" s="33" t="n">
        <f aca="false">INDEX(Equipment!$F$2:$F$153,MATCH(E62,Equipment!$A$2:$A$153,0))</f>
        <v>0.5</v>
      </c>
      <c r="AL62" s="33" t="n">
        <f aca="false">INDEX(Equipment!$D$2:$D$153,MATCH(G62,Equipment!$A$2:$A$153,0))</f>
        <v>43</v>
      </c>
      <c r="AM62" s="33" t="n">
        <f aca="false">INDEX(Equipment!$E$2:$E$153,MATCH(G62,Equipment!$A$2:$A$153,0))</f>
        <v>55</v>
      </c>
      <c r="AN62" s="33" t="n">
        <f aca="false">INDEX(Equipment!$F$2:$F$153,MATCH(G62,Equipment!$A$2:$A$153,0))</f>
        <v>0.5</v>
      </c>
      <c r="AO62" s="33" t="n">
        <f aca="false">IF(INDEX(Raceways!$D$2:$D$18,MATCH(L62,Raceways!$A$2:$A$18,0))="",0,INDEX(Raceways!$D$2:$D$18,MATCH(L62,Raceways!$A$2:$A$18,0)))</f>
        <v>1</v>
      </c>
      <c r="AP62" s="34" t="n">
        <f aca="false">IF(INDEX(Raceways!$I$2:$I$18,MATCH(L62,Raceways!$A$2:$A$18,0))="","",INDEX(Raceways!$I$2:$I$18,MATCH(L62,Raceways!$A$2:$A$18,0)))</f>
        <v>0.88</v>
      </c>
      <c r="AQ62" s="27" t="n">
        <f aca="false">INDEX('Cable Types'!$D$2:$D$45,MATCH(I62,'Cable Types'!$A$2:$A$45,0))</f>
        <v>1</v>
      </c>
      <c r="AR62" s="27" t="n">
        <f aca="false">IF(INDEX('Cable Types'!$E$2:$E$45,MATCH(I62,'Cable Types'!$A$2:$A$45,0))="","",INDEX('Cable Types'!$E$2:$E$45,MATCH(I62,'Cable Types'!$A$2:$A$45,0)))</f>
        <v>37</v>
      </c>
      <c r="AS62" s="27" t="n">
        <f aca="false">IF(INDEX('Cable Types'!$F$2:$F$45,MATCH(I62,'Cable Types'!$A$2:$A$45,0))="","",INDEX('Cable Types'!$F$2:$F$45,MATCH(I62,'Cable Types'!$A$2:$A$45,0)))</f>
        <v>150</v>
      </c>
      <c r="AT62" s="35" t="n">
        <f aca="false">IF(INDEX('Cable Types'!$G$2:$G$45,MATCH(I62,'Cable Types'!$A$2:$A$45,0))="","",INDEX('Cable Types'!$G$2:$G$45,MATCH(I62,'Cable Types'!$A$2:$A$45,0)))</f>
        <v>0.682</v>
      </c>
    </row>
    <row r="63" customFormat="false" ht="15" hidden="false" customHeight="false" outlineLevel="0" collapsed="false">
      <c r="A63" s="26" t="s">
        <v>824</v>
      </c>
      <c r="B63" s="26" t="s">
        <v>505</v>
      </c>
      <c r="C63" s="26" t="s">
        <v>74</v>
      </c>
      <c r="D63" s="26" t="s">
        <v>825</v>
      </c>
      <c r="E63" s="26" t="s">
        <v>507</v>
      </c>
      <c r="F63" s="27" t="str">
        <f aca="false">INDEX(Equipment!$B$2:$B$153,MATCH(E63,Equipment!$A$2:$A$153,0))</f>
        <v>Main power / motor control centre 480 V</v>
      </c>
      <c r="G63" s="26" t="s">
        <v>516</v>
      </c>
      <c r="H63" s="27" t="str">
        <f aca="false">INDEX(Equipment!$B$2:$B$153,MATCH(G63,Equipment!$A$2:$A$153,0))</f>
        <v>125 V DC battery and chargers</v>
      </c>
      <c r="I63" s="26" t="s">
        <v>575</v>
      </c>
      <c r="J63" s="27" t="str">
        <f aca="false">INDEX('Cable Types'!$B$2:$B$45,MATCH(I63,'Cable Types'!$A$2:$A$45,0))</f>
        <v>600 V 3/C #2 AWG + G Cu XHHW-2, Type MC-HL, CCW Al armor (Armor-X type), PVC jkt</v>
      </c>
      <c r="K63" s="26" t="n">
        <v>1</v>
      </c>
      <c r="L63" s="26" t="s">
        <v>714</v>
      </c>
      <c r="M63" s="26" t="s">
        <v>703</v>
      </c>
      <c r="N63" s="26"/>
      <c r="O63" s="28" t="n">
        <f aca="false">IF(N63&lt;&gt;"",N63,IF(M63="D",ROUNDUP(SQRT((AL63-AI63)^2+(AM63-AJ63)^2+(AN63-AK63)^2)*(1+'Design Basis'!$C$6),0),ROUNDUP((ABS(AL63-AI63)+ABS(AM63-AJ63)+ABS(AO63-AK63)+ABS(AO63-AN63))*(1+'Design Basis'!$C$4)+2*'Design Basis'!$C$5,0)))</f>
        <v>13</v>
      </c>
      <c r="P63" s="28" t="n">
        <f aca="false">ROUND(O63*'Design Basis'!$C$10,0)</f>
        <v>43</v>
      </c>
      <c r="Q63" s="28" t="n">
        <f aca="false">O63*K63*AQ63</f>
        <v>13</v>
      </c>
      <c r="R63" s="28" t="n">
        <f aca="false">ROUND(Q63*'Design Basis'!$C$10,0)</f>
        <v>43</v>
      </c>
      <c r="S63" s="29" t="n">
        <v>480</v>
      </c>
      <c r="T63" s="26" t="n">
        <v>3</v>
      </c>
      <c r="U63" s="29" t="n">
        <v>60</v>
      </c>
      <c r="V63" s="30" t="n">
        <v>1</v>
      </c>
      <c r="W63" s="28" t="n">
        <f aca="false">IF(OR(U63="",S63=""),"",IF(T63=3,U63*1000/(SQRT(3)*S63*V63),U63*1000/(S63*V63)))</f>
        <v>72.1687836487032</v>
      </c>
      <c r="X63" s="30" t="n">
        <v>1.25</v>
      </c>
      <c r="Y63" s="28" t="n">
        <f aca="false">IF(W63="","",W63*IF(X63="",1,X63))</f>
        <v>90.210979560879</v>
      </c>
      <c r="Z63" s="28" t="n">
        <f aca="false">IF(OR(AS63="",AP63=""),"",AS63*AP63)</f>
        <v>101.2</v>
      </c>
      <c r="AA63" s="28" t="n">
        <f aca="false">IF(Z63="","",Z63*K63)</f>
        <v>101.2</v>
      </c>
      <c r="AB63" s="31" t="n">
        <f aca="false">IF(OR(Y63="",AA63=""),"",Y63/AA63)</f>
        <v>0.891412841510662</v>
      </c>
      <c r="AC63" s="31" t="n">
        <f aca="false">IF(OR(W63="",AT63=""),"",AT63*(W63/K63)*O63/1000/S63)</f>
        <v>0.00211093692172457</v>
      </c>
      <c r="AD63" s="31" t="n">
        <f aca="false">IF(W63="","",IFERROR(IF(INDEX('Design Basis'!$C$13:$C$21,MATCH(C63,'Design Basis'!$A$13:$A$21,0))="","",INDEX('Design Basis'!$C$13:$C$21,MATCH(C63,'Design Basis'!$A$13:$A$21,0))),""))</f>
        <v>0.03</v>
      </c>
      <c r="AE63" s="32" t="str">
        <f aca="false">IF(W63="","n/a",IF(AA63="","CHECK",IF(AND(AB63&lt;=1,OR(AC63="",AD63="",AC63&lt;=AD63)),"OK","CHECK")))</f>
        <v>OK</v>
      </c>
      <c r="AF63" s="28" t="n">
        <f aca="false">IF(AR63="","",K63*AQ63*PI()/4*AR63^2)</f>
        <v>754.767635024948</v>
      </c>
      <c r="AG63" s="32"/>
      <c r="AI63" s="33" t="n">
        <f aca="false">INDEX(Equipment!$D$2:$D$153,MATCH(E63,Equipment!$A$2:$A$153,0))</f>
        <v>44</v>
      </c>
      <c r="AJ63" s="33" t="n">
        <f aca="false">INDEX(Equipment!$E$2:$E$153,MATCH(E63,Equipment!$A$2:$A$153,0))</f>
        <v>52</v>
      </c>
      <c r="AK63" s="33" t="n">
        <f aca="false">INDEX(Equipment!$F$2:$F$153,MATCH(E63,Equipment!$A$2:$A$153,0))</f>
        <v>0.5</v>
      </c>
      <c r="AL63" s="33" t="n">
        <f aca="false">INDEX(Equipment!$D$2:$D$153,MATCH(G63,Equipment!$A$2:$A$153,0))</f>
        <v>42</v>
      </c>
      <c r="AM63" s="33" t="n">
        <f aca="false">INDEX(Equipment!$E$2:$E$153,MATCH(G63,Equipment!$A$2:$A$153,0))</f>
        <v>55</v>
      </c>
      <c r="AN63" s="33" t="n">
        <f aca="false">INDEX(Equipment!$F$2:$F$153,MATCH(G63,Equipment!$A$2:$A$153,0))</f>
        <v>0.5</v>
      </c>
      <c r="AO63" s="33" t="n">
        <f aca="false">IF(INDEX(Raceways!$D$2:$D$18,MATCH(L63,Raceways!$A$2:$A$18,0))="",0,INDEX(Raceways!$D$2:$D$18,MATCH(L63,Raceways!$A$2:$A$18,0)))</f>
        <v>1</v>
      </c>
      <c r="AP63" s="34" t="n">
        <f aca="false">IF(INDEX(Raceways!$I$2:$I$18,MATCH(L63,Raceways!$A$2:$A$18,0))="","",INDEX(Raceways!$I$2:$I$18,MATCH(L63,Raceways!$A$2:$A$18,0)))</f>
        <v>0.88</v>
      </c>
      <c r="AQ63" s="27" t="n">
        <f aca="false">INDEX('Cable Types'!$D$2:$D$45,MATCH(I63,'Cable Types'!$A$2:$A$45,0))</f>
        <v>1</v>
      </c>
      <c r="AR63" s="27" t="n">
        <f aca="false">IF(INDEX('Cable Types'!$E$2:$E$45,MATCH(I63,'Cable Types'!$A$2:$A$45,0))="","",INDEX('Cable Types'!$E$2:$E$45,MATCH(I63,'Cable Types'!$A$2:$A$45,0)))</f>
        <v>31</v>
      </c>
      <c r="AS63" s="27" t="n">
        <f aca="false">IF(INDEX('Cable Types'!$F$2:$F$45,MATCH(I63,'Cable Types'!$A$2:$A$45,0))="","",INDEX('Cable Types'!$F$2:$F$45,MATCH(I63,'Cable Types'!$A$2:$A$45,0)))</f>
        <v>115</v>
      </c>
      <c r="AT63" s="35" t="n">
        <f aca="false">IF(INDEX('Cable Types'!$G$2:$G$45,MATCH(I63,'Cable Types'!$A$2:$A$45,0))="","",INDEX('Cable Types'!$G$2:$G$45,MATCH(I63,'Cable Types'!$A$2:$A$45,0)))</f>
        <v>1.08</v>
      </c>
    </row>
    <row r="64" customFormat="false" ht="15" hidden="false" customHeight="false" outlineLevel="0" collapsed="false">
      <c r="A64" s="26" t="s">
        <v>826</v>
      </c>
      <c r="B64" s="26" t="s">
        <v>108</v>
      </c>
      <c r="C64" s="26" t="s">
        <v>74</v>
      </c>
      <c r="D64" s="26" t="s">
        <v>827</v>
      </c>
      <c r="E64" s="26" t="s">
        <v>507</v>
      </c>
      <c r="F64" s="27" t="str">
        <f aca="false">INDEX(Equipment!$B$2:$B$153,MATCH(E64,Equipment!$A$2:$A$153,0))</f>
        <v>Main power / motor control centre 480 V</v>
      </c>
      <c r="G64" s="26" t="s">
        <v>128</v>
      </c>
      <c r="H64" s="27" t="str">
        <f aca="false">INDEX(Equipment!$B$2:$B$153,MATCH(G64,Equipment!$A$2:$A$153,0))</f>
        <v>Switchyard relay &amp; control building</v>
      </c>
      <c r="I64" s="26" t="s">
        <v>579</v>
      </c>
      <c r="J64" s="27" t="str">
        <f aca="false">INDEX('Cable Types'!$B$2:$B$45,MATCH(I64,'Cable Types'!$A$2:$A$45,0))</f>
        <v>600 V 3/C 4/0 AWG + G Cu XHHW-2, Type MC-HL, CCW Al armor (Armor-X type), PVC jkt</v>
      </c>
      <c r="K64" s="26" t="n">
        <v>1</v>
      </c>
      <c r="L64" s="26" t="s">
        <v>828</v>
      </c>
      <c r="M64" s="26" t="s">
        <v>703</v>
      </c>
      <c r="N64" s="26"/>
      <c r="O64" s="28" t="n">
        <f aca="false">IF(N64&lt;&gt;"",N64,IF(M64="D",ROUNDUP(SQRT((AL64-AI64)^2+(AM64-AJ64)^2+(AN64-AK64)^2)*(1+'Design Basis'!$C$6),0),ROUNDUP((ABS(AL64-AI64)+ABS(AM64-AJ64)+ABS(AO64-AK64)+ABS(AO64-AN64))*(1+'Design Basis'!$C$4)+2*'Design Basis'!$C$5,0)))</f>
        <v>150</v>
      </c>
      <c r="P64" s="28" t="n">
        <f aca="false">ROUND(O64*'Design Basis'!$C$10,0)</f>
        <v>492</v>
      </c>
      <c r="Q64" s="28" t="n">
        <f aca="false">O64*K64*AQ64</f>
        <v>150</v>
      </c>
      <c r="R64" s="28" t="n">
        <f aca="false">ROUND(Q64*'Design Basis'!$C$10,0)</f>
        <v>492</v>
      </c>
      <c r="S64" s="29" t="n">
        <v>480</v>
      </c>
      <c r="T64" s="26" t="n">
        <v>3</v>
      </c>
      <c r="U64" s="29" t="n">
        <v>100</v>
      </c>
      <c r="V64" s="30" t="n">
        <v>1</v>
      </c>
      <c r="W64" s="28" t="n">
        <f aca="false">IF(OR(U64="",S64=""),"",IF(T64=3,U64*1000/(SQRT(3)*S64*V64),U64*1000/(S64*V64)))</f>
        <v>120.281306081172</v>
      </c>
      <c r="X64" s="30" t="n">
        <v>1.25</v>
      </c>
      <c r="Y64" s="28" t="n">
        <f aca="false">IF(W64="","",W64*IF(X64="",1,X64))</f>
        <v>150.351632601465</v>
      </c>
      <c r="Z64" s="28" t="n">
        <f aca="false">IF(OR(AS64="",AP64=""),"",AS64*AP64)</f>
        <v>161</v>
      </c>
      <c r="AA64" s="28" t="n">
        <f aca="false">IF(Z64="","",Z64*K64)</f>
        <v>161</v>
      </c>
      <c r="AB64" s="31" t="n">
        <f aca="false">IF(OR(Y64="",AA64=""),"",Y64/AA64)</f>
        <v>0.933861072058789</v>
      </c>
      <c r="AC64" s="31" t="n">
        <f aca="false">IF(OR(W64="",AT64=""),"",AT64*(W64/K64)*O64/1000/S64)</f>
        <v>0.0147344599949436</v>
      </c>
      <c r="AD64" s="31" t="n">
        <f aca="false">IF(W64="","",IFERROR(IF(INDEX('Design Basis'!$C$13:$C$21,MATCH(C64,'Design Basis'!$A$13:$A$21,0))="","",INDEX('Design Basis'!$C$13:$C$21,MATCH(C64,'Design Basis'!$A$13:$A$21,0))),""))</f>
        <v>0.03</v>
      </c>
      <c r="AE64" s="32" t="str">
        <f aca="false">IF(W64="","n/a",IF(AA64="","CHECK",IF(AND(AB64&lt;=1,OR(AC64="",AD64="",AC64&lt;=AD64)),"OK","CHECK")))</f>
        <v>OK</v>
      </c>
      <c r="AF64" s="28" t="n">
        <f aca="false">IF(AR64="","",K64*AQ64*PI()/4*AR64^2)</f>
        <v>1734.94454294496</v>
      </c>
      <c r="AG64" s="32" t="s">
        <v>829</v>
      </c>
      <c r="AI64" s="33" t="n">
        <f aca="false">INDEX(Equipment!$D$2:$D$153,MATCH(E64,Equipment!$A$2:$A$153,0))</f>
        <v>44</v>
      </c>
      <c r="AJ64" s="33" t="n">
        <f aca="false">INDEX(Equipment!$E$2:$E$153,MATCH(E64,Equipment!$A$2:$A$153,0))</f>
        <v>52</v>
      </c>
      <c r="AK64" s="33" t="n">
        <f aca="false">INDEX(Equipment!$F$2:$F$153,MATCH(E64,Equipment!$A$2:$A$153,0))</f>
        <v>0.5</v>
      </c>
      <c r="AL64" s="33" t="n">
        <f aca="false">INDEX(Equipment!$D$2:$D$153,MATCH(G64,Equipment!$A$2:$A$153,0))</f>
        <v>95</v>
      </c>
      <c r="AM64" s="33" t="n">
        <f aca="false">INDEX(Equipment!$E$2:$E$153,MATCH(G64,Equipment!$A$2:$A$153,0))</f>
        <v>128</v>
      </c>
      <c r="AN64" s="33" t="n">
        <f aca="false">INDEX(Equipment!$F$2:$F$153,MATCH(G64,Equipment!$A$2:$A$153,0))</f>
        <v>0.5</v>
      </c>
      <c r="AO64" s="33" t="n">
        <f aca="false">IF(INDEX(Raceways!$D$2:$D$18,MATCH(L64,Raceways!$A$2:$A$18,0))="",0,INDEX(Raceways!$D$2:$D$18,MATCH(L64,Raceways!$A$2:$A$18,0)))</f>
        <v>-1.2</v>
      </c>
      <c r="AP64" s="34" t="n">
        <f aca="false">IF(INDEX(Raceways!$I$2:$I$18,MATCH(L64,Raceways!$A$2:$A$18,0))="","",INDEX(Raceways!$I$2:$I$18,MATCH(L64,Raceways!$A$2:$A$18,0)))</f>
        <v>0.7</v>
      </c>
      <c r="AQ64" s="27" t="n">
        <f aca="false">INDEX('Cable Types'!$D$2:$D$45,MATCH(I64,'Cable Types'!$A$2:$A$45,0))</f>
        <v>1</v>
      </c>
      <c r="AR64" s="27" t="n">
        <f aca="false">IF(INDEX('Cable Types'!$E$2:$E$45,MATCH(I64,'Cable Types'!$A$2:$A$45,0))="","",INDEX('Cable Types'!$E$2:$E$45,MATCH(I64,'Cable Types'!$A$2:$A$45,0)))</f>
        <v>47</v>
      </c>
      <c r="AS64" s="27" t="n">
        <f aca="false">IF(INDEX('Cable Types'!$F$2:$F$45,MATCH(I64,'Cable Types'!$A$2:$A$45,0))="","",INDEX('Cable Types'!$F$2:$F$45,MATCH(I64,'Cable Types'!$A$2:$A$45,0)))</f>
        <v>230</v>
      </c>
      <c r="AT64" s="35" t="n">
        <f aca="false">IF(INDEX('Cable Types'!$G$2:$G$45,MATCH(I64,'Cable Types'!$A$2:$A$45,0))="","",INDEX('Cable Types'!$G$2:$G$45,MATCH(I64,'Cable Types'!$A$2:$A$45,0)))</f>
        <v>0.392</v>
      </c>
    </row>
    <row r="65" customFormat="false" ht="15" hidden="false" customHeight="false" outlineLevel="0" collapsed="false">
      <c r="A65" s="26" t="s">
        <v>830</v>
      </c>
      <c r="B65" s="26" t="s">
        <v>139</v>
      </c>
      <c r="C65" s="26" t="s">
        <v>74</v>
      </c>
      <c r="D65" s="26" t="s">
        <v>831</v>
      </c>
      <c r="E65" s="26" t="s">
        <v>507</v>
      </c>
      <c r="F65" s="27" t="str">
        <f aca="false">INDEX(Equipment!$B$2:$B$153,MATCH(E65,Equipment!$A$2:$A$153,0))</f>
        <v>Main power / motor control centre 480 V</v>
      </c>
      <c r="G65" s="26" t="s">
        <v>210</v>
      </c>
      <c r="H65" s="27" t="str">
        <f aca="false">INDEX(Equipment!$B$2:$B$153,MATCH(G65,Equipment!$A$2:$A$153,0))</f>
        <v>CEMS analyser shelter</v>
      </c>
      <c r="I65" s="26" t="s">
        <v>573</v>
      </c>
      <c r="J65" s="27" t="str">
        <f aca="false">INDEX('Cable Types'!$B$2:$B$45,MATCH(I65,'Cable Types'!$A$2:$A$45,0))</f>
        <v>600 V 3/C #6 AWG + G Cu XHHW-2, Type MC-HL, CCW Al armor (Armor-X type), PVC jkt</v>
      </c>
      <c r="K65" s="26" t="n">
        <v>1</v>
      </c>
      <c r="L65" s="26" t="s">
        <v>724</v>
      </c>
      <c r="M65" s="26" t="s">
        <v>703</v>
      </c>
      <c r="N65" s="26"/>
      <c r="O65" s="28" t="n">
        <f aca="false">IF(N65&lt;&gt;"",N65,IF(M65="D",ROUNDUP(SQRT((AL65-AI65)^2+(AM65-AJ65)^2+(AN65-AK65)^2)*(1+'Design Basis'!$C$6),0),ROUNDUP((ABS(AL65-AI65)+ABS(AM65-AJ65)+ABS(AO65-AK65)+ABS(AO65-AN65))*(1+'Design Basis'!$C$4)+2*'Design Basis'!$C$5,0)))</f>
        <v>168</v>
      </c>
      <c r="P65" s="28" t="n">
        <f aca="false">ROUND(O65*'Design Basis'!$C$10,0)</f>
        <v>551</v>
      </c>
      <c r="Q65" s="28" t="n">
        <f aca="false">O65*K65*AQ65</f>
        <v>168</v>
      </c>
      <c r="R65" s="28" t="n">
        <f aca="false">ROUND(Q65*'Design Basis'!$C$10,0)</f>
        <v>551</v>
      </c>
      <c r="S65" s="29" t="n">
        <v>480</v>
      </c>
      <c r="T65" s="26" t="n">
        <v>3</v>
      </c>
      <c r="U65" s="29" t="n">
        <v>20</v>
      </c>
      <c r="V65" s="30" t="n">
        <v>1</v>
      </c>
      <c r="W65" s="28" t="n">
        <f aca="false">IF(OR(U65="",S65=""),"",IF(T65=3,U65*1000/(SQRT(3)*S65*V65),U65*1000/(S65*V65)))</f>
        <v>24.0562612162344</v>
      </c>
      <c r="X65" s="30" t="n">
        <v>1.25</v>
      </c>
      <c r="Y65" s="28" t="n">
        <f aca="false">IF(W65="","",W65*IF(X65="",1,X65))</f>
        <v>30.070326520293</v>
      </c>
      <c r="Z65" s="28" t="n">
        <f aca="false">IF(OR(AS65="",AP65=""),"",AS65*AP65)</f>
        <v>57.2</v>
      </c>
      <c r="AA65" s="28" t="n">
        <f aca="false">IF(Z65="","",Z65*K65)</f>
        <v>57.2</v>
      </c>
      <c r="AB65" s="31" t="n">
        <f aca="false">IF(OR(Y65="",AA65=""),"",Y65/AA65)</f>
        <v>0.525705009096032</v>
      </c>
      <c r="AC65" s="31" t="n">
        <f aca="false">IF(OR(W65="",AT65=""),"",AT65*(W65/K65)*O65/1000/S65)</f>
        <v>0.021529150975469</v>
      </c>
      <c r="AD65" s="31" t="n">
        <f aca="false">IF(W65="","",IFERROR(IF(INDEX('Design Basis'!$C$13:$C$21,MATCH(C65,'Design Basis'!$A$13:$A$21,0))="","",INDEX('Design Basis'!$C$13:$C$21,MATCH(C65,'Design Basis'!$A$13:$A$21,0))),""))</f>
        <v>0.03</v>
      </c>
      <c r="AE65" s="32" t="str">
        <f aca="false">IF(W65="","n/a",IF(AA65="","CHECK",IF(AND(AB65&lt;=1,OR(AC65="",AD65="",AC65&lt;=AD65)),"OK","CHECK")))</f>
        <v>OK</v>
      </c>
      <c r="AF65" s="28" t="n">
        <f aca="false">IF(AR65="","",K65*AQ65*PI()/4*AR65^2)</f>
        <v>452.38934211693</v>
      </c>
      <c r="AG65" s="32"/>
      <c r="AI65" s="33" t="n">
        <f aca="false">INDEX(Equipment!$D$2:$D$153,MATCH(E65,Equipment!$A$2:$A$153,0))</f>
        <v>44</v>
      </c>
      <c r="AJ65" s="33" t="n">
        <f aca="false">INDEX(Equipment!$E$2:$E$153,MATCH(E65,Equipment!$A$2:$A$153,0))</f>
        <v>52</v>
      </c>
      <c r="AK65" s="33" t="n">
        <f aca="false">INDEX(Equipment!$F$2:$F$153,MATCH(E65,Equipment!$A$2:$A$153,0))</f>
        <v>0.5</v>
      </c>
      <c r="AL65" s="33" t="n">
        <f aca="false">INDEX(Equipment!$D$2:$D$153,MATCH(G65,Equipment!$A$2:$A$153,0))</f>
        <v>122</v>
      </c>
      <c r="AM65" s="33" t="n">
        <f aca="false">INDEX(Equipment!$E$2:$E$153,MATCH(G65,Equipment!$A$2:$A$153,0))</f>
        <v>-8</v>
      </c>
      <c r="AN65" s="33" t="n">
        <f aca="false">INDEX(Equipment!$F$2:$F$153,MATCH(G65,Equipment!$A$2:$A$153,0))</f>
        <v>0.5</v>
      </c>
      <c r="AO65" s="33" t="n">
        <f aca="false">IF(INDEX(Raceways!$D$2:$D$18,MATCH(L65,Raceways!$A$2:$A$18,0))="",0,INDEX(Raceways!$D$2:$D$18,MATCH(L65,Raceways!$A$2:$A$18,0)))</f>
        <v>5</v>
      </c>
      <c r="AP65" s="34" t="n">
        <f aca="false">IF(INDEX(Raceways!$I$2:$I$18,MATCH(L65,Raceways!$A$2:$A$18,0))="","",INDEX(Raceways!$I$2:$I$18,MATCH(L65,Raceways!$A$2:$A$18,0)))</f>
        <v>0.88</v>
      </c>
      <c r="AQ65" s="27" t="n">
        <f aca="false">INDEX('Cable Types'!$D$2:$D$45,MATCH(I65,'Cable Types'!$A$2:$A$45,0))</f>
        <v>1</v>
      </c>
      <c r="AR65" s="27" t="n">
        <f aca="false">IF(INDEX('Cable Types'!$E$2:$E$45,MATCH(I65,'Cable Types'!$A$2:$A$45,0))="","",INDEX('Cable Types'!$E$2:$E$45,MATCH(I65,'Cable Types'!$A$2:$A$45,0)))</f>
        <v>24</v>
      </c>
      <c r="AS65" s="27" t="n">
        <f aca="false">IF(INDEX('Cable Types'!$F$2:$F$45,MATCH(I65,'Cable Types'!$A$2:$A$45,0))="","",INDEX('Cable Types'!$F$2:$F$45,MATCH(I65,'Cable Types'!$A$2:$A$45,0)))</f>
        <v>65</v>
      </c>
      <c r="AT65" s="35" t="n">
        <f aca="false">IF(INDEX('Cable Types'!$G$2:$G$45,MATCH(I65,'Cable Types'!$A$2:$A$45,0))="","",INDEX('Cable Types'!$G$2:$G$45,MATCH(I65,'Cable Types'!$A$2:$A$45,0)))</f>
        <v>2.557</v>
      </c>
    </row>
    <row r="66" customFormat="false" ht="15" hidden="false" customHeight="false" outlineLevel="0" collapsed="false">
      <c r="A66" s="26" t="s">
        <v>832</v>
      </c>
      <c r="B66" s="26" t="s">
        <v>139</v>
      </c>
      <c r="C66" s="26" t="s">
        <v>74</v>
      </c>
      <c r="D66" s="26" t="s">
        <v>833</v>
      </c>
      <c r="E66" s="26" t="s">
        <v>172</v>
      </c>
      <c r="F66" s="27" t="str">
        <f aca="false">INDEX(Equipment!$B$2:$B$153,MATCH(E66,Equipment!$A$2:$A$153,0))</f>
        <v>GT auxiliary MCC 480 V (in PEECC)</v>
      </c>
      <c r="G66" s="26" t="s">
        <v>174</v>
      </c>
      <c r="H66" s="27" t="str">
        <f aca="false">INDEX(Equipment!$B$2:$B$153,MATCH(G66,Equipment!$A$2:$A$153,0))</f>
        <v>GT AC lube oil pump motor 75 kW</v>
      </c>
      <c r="I66" s="26" t="s">
        <v>579</v>
      </c>
      <c r="J66" s="27" t="str">
        <f aca="false">INDEX('Cable Types'!$B$2:$B$45,MATCH(I66,'Cable Types'!$A$2:$A$45,0))</f>
        <v>600 V 3/C 4/0 AWG + G Cu XHHW-2, Type MC-HL, CCW Al armor (Armor-X type), PVC jkt</v>
      </c>
      <c r="K66" s="26" t="n">
        <v>1</v>
      </c>
      <c r="L66" s="26" t="s">
        <v>714</v>
      </c>
      <c r="M66" s="26" t="s">
        <v>703</v>
      </c>
      <c r="N66" s="26"/>
      <c r="O66" s="28" t="n">
        <f aca="false">IF(N66&lt;&gt;"",N66,IF(M66="D",ROUNDUP(SQRT((AL66-AI66)^2+(AM66-AJ66)^2+(AN66-AK66)^2)*(1+'Design Basis'!$C$6),0),ROUNDUP((ABS(AL66-AI66)+ABS(AM66-AJ66)+ABS(AO66-AK66)+ABS(AO66-AN66))*(1+'Design Basis'!$C$4)+2*'Design Basis'!$C$5,0)))</f>
        <v>22</v>
      </c>
      <c r="P66" s="28" t="n">
        <f aca="false">ROUND(O66*'Design Basis'!$C$10,0)</f>
        <v>72</v>
      </c>
      <c r="Q66" s="28" t="n">
        <f aca="false">O66*K66*AQ66</f>
        <v>22</v>
      </c>
      <c r="R66" s="28" t="n">
        <f aca="false">ROUND(Q66*'Design Basis'!$C$10,0)</f>
        <v>72</v>
      </c>
      <c r="S66" s="29" t="n">
        <v>480</v>
      </c>
      <c r="T66" s="26" t="n">
        <v>3</v>
      </c>
      <c r="U66" s="29" t="n">
        <v>75</v>
      </c>
      <c r="V66" s="30" t="n">
        <v>0.8</v>
      </c>
      <c r="W66" s="28" t="n">
        <f aca="false">IF(OR(U66="",S66=""),"",IF(T66=3,U66*1000/(SQRT(3)*S66*V66),U66*1000/(S66*V66)))</f>
        <v>112.763724451099</v>
      </c>
      <c r="X66" s="30" t="n">
        <v>1.25</v>
      </c>
      <c r="Y66" s="28" t="n">
        <f aca="false">IF(W66="","",W66*IF(X66="",1,X66))</f>
        <v>140.954655563873</v>
      </c>
      <c r="Z66" s="28" t="n">
        <f aca="false">IF(OR(AS66="",AP66=""),"",AS66*AP66)</f>
        <v>202.4</v>
      </c>
      <c r="AA66" s="28" t="n">
        <f aca="false">IF(Z66="","",Z66*K66)</f>
        <v>202.4</v>
      </c>
      <c r="AB66" s="31" t="n">
        <f aca="false">IF(OR(Y66="",AA66=""),"",Y66/AA66)</f>
        <v>0.696416282430205</v>
      </c>
      <c r="AC66" s="31" t="n">
        <f aca="false">IF(OR(W66="",AT66=""),"",AT66*(W66/K66)*O66/1000/S66)</f>
        <v>0.00202598824930474</v>
      </c>
      <c r="AD66" s="31" t="n">
        <f aca="false">IF(W66="","",IFERROR(IF(INDEX('Design Basis'!$C$13:$C$21,MATCH(C66,'Design Basis'!$A$13:$A$21,0))="","",INDEX('Design Basis'!$C$13:$C$21,MATCH(C66,'Design Basis'!$A$13:$A$21,0))),""))</f>
        <v>0.03</v>
      </c>
      <c r="AE66" s="32" t="str">
        <f aca="false">IF(W66="","n/a",IF(AA66="","CHECK",IF(AND(AB66&lt;=1,OR(AC66="",AD66="",AC66&lt;=AD66)),"OK","CHECK")))</f>
        <v>OK</v>
      </c>
      <c r="AF66" s="28" t="n">
        <f aca="false">IF(AR66="","",K66*AQ66*PI()/4*AR66^2)</f>
        <v>1734.94454294496</v>
      </c>
      <c r="AG66" s="32" t="s">
        <v>736</v>
      </c>
      <c r="AI66" s="33" t="n">
        <f aca="false">INDEX(Equipment!$D$2:$D$153,MATCH(E66,Equipment!$A$2:$A$153,0))</f>
        <v>48</v>
      </c>
      <c r="AJ66" s="33" t="n">
        <f aca="false">INDEX(Equipment!$E$2:$E$153,MATCH(E66,Equipment!$A$2:$A$153,0))</f>
        <v>-6</v>
      </c>
      <c r="AK66" s="33" t="n">
        <f aca="false">INDEX(Equipment!$F$2:$F$153,MATCH(E66,Equipment!$A$2:$A$153,0))</f>
        <v>0.5</v>
      </c>
      <c r="AL66" s="33" t="n">
        <f aca="false">INDEX(Equipment!$D$2:$D$153,MATCH(G66,Equipment!$A$2:$A$153,0))</f>
        <v>60</v>
      </c>
      <c r="AM66" s="33" t="n">
        <f aca="false">INDEX(Equipment!$E$2:$E$153,MATCH(G66,Equipment!$A$2:$A$153,0))</f>
        <v>-5</v>
      </c>
      <c r="AN66" s="33" t="n">
        <f aca="false">INDEX(Equipment!$F$2:$F$153,MATCH(G66,Equipment!$A$2:$A$153,0))</f>
        <v>0.5</v>
      </c>
      <c r="AO66" s="33" t="n">
        <f aca="false">IF(INDEX(Raceways!$D$2:$D$18,MATCH(L66,Raceways!$A$2:$A$18,0))="",0,INDEX(Raceways!$D$2:$D$18,MATCH(L66,Raceways!$A$2:$A$18,0)))</f>
        <v>1</v>
      </c>
      <c r="AP66" s="34" t="n">
        <f aca="false">IF(INDEX(Raceways!$I$2:$I$18,MATCH(L66,Raceways!$A$2:$A$18,0))="","",INDEX(Raceways!$I$2:$I$18,MATCH(L66,Raceways!$A$2:$A$18,0)))</f>
        <v>0.88</v>
      </c>
      <c r="AQ66" s="27" t="n">
        <f aca="false">INDEX('Cable Types'!$D$2:$D$45,MATCH(I66,'Cable Types'!$A$2:$A$45,0))</f>
        <v>1</v>
      </c>
      <c r="AR66" s="27" t="n">
        <f aca="false">IF(INDEX('Cable Types'!$E$2:$E$45,MATCH(I66,'Cable Types'!$A$2:$A$45,0))="","",INDEX('Cable Types'!$E$2:$E$45,MATCH(I66,'Cable Types'!$A$2:$A$45,0)))</f>
        <v>47</v>
      </c>
      <c r="AS66" s="27" t="n">
        <f aca="false">IF(INDEX('Cable Types'!$F$2:$F$45,MATCH(I66,'Cable Types'!$A$2:$A$45,0))="","",INDEX('Cable Types'!$F$2:$F$45,MATCH(I66,'Cable Types'!$A$2:$A$45,0)))</f>
        <v>230</v>
      </c>
      <c r="AT66" s="35" t="n">
        <f aca="false">IF(INDEX('Cable Types'!$G$2:$G$45,MATCH(I66,'Cable Types'!$A$2:$A$45,0))="","",INDEX('Cable Types'!$G$2:$G$45,MATCH(I66,'Cable Types'!$A$2:$A$45,0)))</f>
        <v>0.392</v>
      </c>
    </row>
    <row r="67" customFormat="false" ht="15" hidden="false" customHeight="false" outlineLevel="0" collapsed="false">
      <c r="A67" s="26" t="s">
        <v>834</v>
      </c>
      <c r="B67" s="26" t="s">
        <v>139</v>
      </c>
      <c r="C67" s="26" t="s">
        <v>74</v>
      </c>
      <c r="D67" s="26" t="s">
        <v>835</v>
      </c>
      <c r="E67" s="26" t="s">
        <v>172</v>
      </c>
      <c r="F67" s="27" t="str">
        <f aca="false">INDEX(Equipment!$B$2:$B$153,MATCH(E67,Equipment!$A$2:$A$153,0))</f>
        <v>GT auxiliary MCC 480 V (in PEECC)</v>
      </c>
      <c r="G67" s="26" t="s">
        <v>180</v>
      </c>
      <c r="H67" s="27" t="str">
        <f aca="false">INDEX(Equipment!$B$2:$B$153,MATCH(G67,Equipment!$A$2:$A$153,0))</f>
        <v>GT enclosure ventilation fan A 45 kW</v>
      </c>
      <c r="I67" s="26" t="s">
        <v>575</v>
      </c>
      <c r="J67" s="27" t="str">
        <f aca="false">INDEX('Cable Types'!$B$2:$B$45,MATCH(I67,'Cable Types'!$A$2:$A$45,0))</f>
        <v>600 V 3/C #2 AWG + G Cu XHHW-2, Type MC-HL, CCW Al armor (Armor-X type), PVC jkt</v>
      </c>
      <c r="K67" s="26" t="n">
        <v>1</v>
      </c>
      <c r="L67" s="26" t="s">
        <v>714</v>
      </c>
      <c r="M67" s="26" t="s">
        <v>703</v>
      </c>
      <c r="N67" s="26"/>
      <c r="O67" s="28" t="n">
        <f aca="false">IF(N67&lt;&gt;"",N67,IF(M67="D",ROUNDUP(SQRT((AL67-AI67)^2+(AM67-AJ67)^2+(AN67-AK67)^2)*(1+'Design Basis'!$C$6),0),ROUNDUP((ABS(AL67-AI67)+ABS(AM67-AJ67)+ABS(AO67-AK67)+ABS(AO67-AN67))*(1+'Design Basis'!$C$4)+2*'Design Basis'!$C$5,0)))</f>
        <v>36</v>
      </c>
      <c r="P67" s="28" t="n">
        <f aca="false">ROUND(O67*'Design Basis'!$C$10,0)</f>
        <v>118</v>
      </c>
      <c r="Q67" s="28" t="n">
        <f aca="false">O67*K67*AQ67</f>
        <v>36</v>
      </c>
      <c r="R67" s="28" t="n">
        <f aca="false">ROUND(Q67*'Design Basis'!$C$10,0)</f>
        <v>118</v>
      </c>
      <c r="S67" s="29" t="n">
        <v>480</v>
      </c>
      <c r="T67" s="26" t="n">
        <v>3</v>
      </c>
      <c r="U67" s="29" t="n">
        <v>45</v>
      </c>
      <c r="V67" s="30" t="n">
        <v>0.8</v>
      </c>
      <c r="W67" s="28" t="n">
        <f aca="false">IF(OR(U67="",S67=""),"",IF(T67=3,U67*1000/(SQRT(3)*S67*V67),U67*1000/(S67*V67)))</f>
        <v>67.6582346706593</v>
      </c>
      <c r="X67" s="30" t="n">
        <v>1.25</v>
      </c>
      <c r="Y67" s="28" t="n">
        <f aca="false">IF(W67="","",W67*IF(X67="",1,X67))</f>
        <v>84.5727933383241</v>
      </c>
      <c r="Z67" s="28" t="n">
        <f aca="false">IF(OR(AS67="",AP67=""),"",AS67*AP67)</f>
        <v>101.2</v>
      </c>
      <c r="AA67" s="28" t="n">
        <f aca="false">IF(Z67="","",Z67*K67)</f>
        <v>101.2</v>
      </c>
      <c r="AB67" s="31" t="n">
        <f aca="false">IF(OR(Y67="",AA67=""),"",Y67/AA67)</f>
        <v>0.835699538916246</v>
      </c>
      <c r="AC67" s="31" t="n">
        <f aca="false">IF(OR(W67="",AT67=""),"",AT67*(W67/K67)*O67/1000/S67)</f>
        <v>0.0054803170083234</v>
      </c>
      <c r="AD67" s="31" t="n">
        <f aca="false">IF(W67="","",IFERROR(IF(INDEX('Design Basis'!$C$13:$C$21,MATCH(C67,'Design Basis'!$A$13:$A$21,0))="","",INDEX('Design Basis'!$C$13:$C$21,MATCH(C67,'Design Basis'!$A$13:$A$21,0))),""))</f>
        <v>0.03</v>
      </c>
      <c r="AE67" s="32" t="str">
        <f aca="false">IF(W67="","n/a",IF(AA67="","CHECK",IF(AND(AB67&lt;=1,OR(AC67="",AD67="",AC67&lt;=AD67)),"OK","CHECK")))</f>
        <v>OK</v>
      </c>
      <c r="AF67" s="28" t="n">
        <f aca="false">IF(AR67="","",K67*AQ67*PI()/4*AR67^2)</f>
        <v>754.767635024948</v>
      </c>
      <c r="AG67" s="32"/>
      <c r="AI67" s="33" t="n">
        <f aca="false">INDEX(Equipment!$D$2:$D$153,MATCH(E67,Equipment!$A$2:$A$153,0))</f>
        <v>48</v>
      </c>
      <c r="AJ67" s="33" t="n">
        <f aca="false">INDEX(Equipment!$E$2:$E$153,MATCH(E67,Equipment!$A$2:$A$153,0))</f>
        <v>-6</v>
      </c>
      <c r="AK67" s="33" t="n">
        <f aca="false">INDEX(Equipment!$F$2:$F$153,MATCH(E67,Equipment!$A$2:$A$153,0))</f>
        <v>0.5</v>
      </c>
      <c r="AL67" s="33" t="n">
        <f aca="false">INDEX(Equipment!$D$2:$D$153,MATCH(G67,Equipment!$A$2:$A$153,0))</f>
        <v>52</v>
      </c>
      <c r="AM67" s="33" t="n">
        <f aca="false">INDEX(Equipment!$E$2:$E$153,MATCH(G67,Equipment!$A$2:$A$153,0))</f>
        <v>6.5</v>
      </c>
      <c r="AN67" s="33" t="n">
        <f aca="false">INDEX(Equipment!$F$2:$F$153,MATCH(G67,Equipment!$A$2:$A$153,0))</f>
        <v>11</v>
      </c>
      <c r="AO67" s="33" t="n">
        <f aca="false">IF(INDEX(Raceways!$D$2:$D$18,MATCH(L67,Raceways!$A$2:$A$18,0))="",0,INDEX(Raceways!$D$2:$D$18,MATCH(L67,Raceways!$A$2:$A$18,0)))</f>
        <v>1</v>
      </c>
      <c r="AP67" s="34" t="n">
        <f aca="false">IF(INDEX(Raceways!$I$2:$I$18,MATCH(L67,Raceways!$A$2:$A$18,0))="","",INDEX(Raceways!$I$2:$I$18,MATCH(L67,Raceways!$A$2:$A$18,0)))</f>
        <v>0.88</v>
      </c>
      <c r="AQ67" s="27" t="n">
        <f aca="false">INDEX('Cable Types'!$D$2:$D$45,MATCH(I67,'Cable Types'!$A$2:$A$45,0))</f>
        <v>1</v>
      </c>
      <c r="AR67" s="27" t="n">
        <f aca="false">IF(INDEX('Cable Types'!$E$2:$E$45,MATCH(I67,'Cable Types'!$A$2:$A$45,0))="","",INDEX('Cable Types'!$E$2:$E$45,MATCH(I67,'Cable Types'!$A$2:$A$45,0)))</f>
        <v>31</v>
      </c>
      <c r="AS67" s="27" t="n">
        <f aca="false">IF(INDEX('Cable Types'!$F$2:$F$45,MATCH(I67,'Cable Types'!$A$2:$A$45,0))="","",INDEX('Cable Types'!$F$2:$F$45,MATCH(I67,'Cable Types'!$A$2:$A$45,0)))</f>
        <v>115</v>
      </c>
      <c r="AT67" s="35" t="n">
        <f aca="false">IF(INDEX('Cable Types'!$G$2:$G$45,MATCH(I67,'Cable Types'!$A$2:$A$45,0))="","",INDEX('Cable Types'!$G$2:$G$45,MATCH(I67,'Cable Types'!$A$2:$A$45,0)))</f>
        <v>1.08</v>
      </c>
    </row>
    <row r="68" customFormat="false" ht="15" hidden="false" customHeight="false" outlineLevel="0" collapsed="false">
      <c r="A68" s="26" t="s">
        <v>836</v>
      </c>
      <c r="B68" s="26" t="s">
        <v>139</v>
      </c>
      <c r="C68" s="26" t="s">
        <v>74</v>
      </c>
      <c r="D68" s="26" t="s">
        <v>837</v>
      </c>
      <c r="E68" s="26" t="s">
        <v>172</v>
      </c>
      <c r="F68" s="27" t="str">
        <f aca="false">INDEX(Equipment!$B$2:$B$153,MATCH(E68,Equipment!$A$2:$A$153,0))</f>
        <v>GT auxiliary MCC 480 V (in PEECC)</v>
      </c>
      <c r="G68" s="26" t="s">
        <v>183</v>
      </c>
      <c r="H68" s="27" t="str">
        <f aca="false">INDEX(Equipment!$B$2:$B$153,MATCH(G68,Equipment!$A$2:$A$153,0))</f>
        <v>GT enclosure ventilation fan B 45 kW</v>
      </c>
      <c r="I68" s="26" t="s">
        <v>575</v>
      </c>
      <c r="J68" s="27" t="str">
        <f aca="false">INDEX('Cable Types'!$B$2:$B$45,MATCH(I68,'Cable Types'!$A$2:$A$45,0))</f>
        <v>600 V 3/C #2 AWG + G Cu XHHW-2, Type MC-HL, CCW Al armor (Armor-X type), PVC jkt</v>
      </c>
      <c r="K68" s="26" t="n">
        <v>1</v>
      </c>
      <c r="L68" s="26" t="s">
        <v>714</v>
      </c>
      <c r="M68" s="26" t="s">
        <v>703</v>
      </c>
      <c r="N68" s="26"/>
      <c r="O68" s="28" t="n">
        <f aca="false">IF(N68&lt;&gt;"",N68,IF(M68="D",ROUNDUP(SQRT((AL68-AI68)^2+(AM68-AJ68)^2+(AN68-AK68)^2)*(1+'Design Basis'!$C$6),0),ROUNDUP((ABS(AL68-AI68)+ABS(AM68-AJ68)+ABS(AO68-AK68)+ABS(AO68-AN68))*(1+'Design Basis'!$C$4)+2*'Design Basis'!$C$5,0)))</f>
        <v>45</v>
      </c>
      <c r="P68" s="28" t="n">
        <f aca="false">ROUND(O68*'Design Basis'!$C$10,0)</f>
        <v>148</v>
      </c>
      <c r="Q68" s="28" t="n">
        <f aca="false">O68*K68*AQ68</f>
        <v>45</v>
      </c>
      <c r="R68" s="28" t="n">
        <f aca="false">ROUND(Q68*'Design Basis'!$C$10,0)</f>
        <v>148</v>
      </c>
      <c r="S68" s="29" t="n">
        <v>480</v>
      </c>
      <c r="T68" s="26" t="n">
        <v>3</v>
      </c>
      <c r="U68" s="29" t="n">
        <v>45</v>
      </c>
      <c r="V68" s="30" t="n">
        <v>0.8</v>
      </c>
      <c r="W68" s="28" t="n">
        <f aca="false">IF(OR(U68="",S68=""),"",IF(T68=3,U68*1000/(SQRT(3)*S68*V68),U68*1000/(S68*V68)))</f>
        <v>67.6582346706593</v>
      </c>
      <c r="X68" s="30" t="n">
        <v>1.25</v>
      </c>
      <c r="Y68" s="28" t="n">
        <f aca="false">IF(W68="","",W68*IF(X68="",1,X68))</f>
        <v>84.5727933383241</v>
      </c>
      <c r="Z68" s="28" t="n">
        <f aca="false">IF(OR(AS68="",AP68=""),"",AS68*AP68)</f>
        <v>101.2</v>
      </c>
      <c r="AA68" s="28" t="n">
        <f aca="false">IF(Z68="","",Z68*K68)</f>
        <v>101.2</v>
      </c>
      <c r="AB68" s="31" t="n">
        <f aca="false">IF(OR(Y68="",AA68=""),"",Y68/AA68)</f>
        <v>0.835699538916246</v>
      </c>
      <c r="AC68" s="31" t="n">
        <f aca="false">IF(OR(W68="",AT68=""),"",AT68*(W68/K68)*O68/1000/S68)</f>
        <v>0.00685039626040425</v>
      </c>
      <c r="AD68" s="31" t="n">
        <f aca="false">IF(W68="","",IFERROR(IF(INDEX('Design Basis'!$C$13:$C$21,MATCH(C68,'Design Basis'!$A$13:$A$21,0))="","",INDEX('Design Basis'!$C$13:$C$21,MATCH(C68,'Design Basis'!$A$13:$A$21,0))),""))</f>
        <v>0.03</v>
      </c>
      <c r="AE68" s="32" t="str">
        <f aca="false">IF(W68="","n/a",IF(AA68="","CHECK",IF(AND(AB68&lt;=1,OR(AC68="",AD68="",AC68&lt;=AD68)),"OK","CHECK")))</f>
        <v>OK</v>
      </c>
      <c r="AF68" s="28" t="n">
        <f aca="false">IF(AR68="","",K68*AQ68*PI()/4*AR68^2)</f>
        <v>754.767635024948</v>
      </c>
      <c r="AG68" s="32"/>
      <c r="AI68" s="33" t="n">
        <f aca="false">INDEX(Equipment!$D$2:$D$153,MATCH(E68,Equipment!$A$2:$A$153,0))</f>
        <v>48</v>
      </c>
      <c r="AJ68" s="33" t="n">
        <f aca="false">INDEX(Equipment!$E$2:$E$153,MATCH(E68,Equipment!$A$2:$A$153,0))</f>
        <v>-6</v>
      </c>
      <c r="AK68" s="33" t="n">
        <f aca="false">INDEX(Equipment!$F$2:$F$153,MATCH(E68,Equipment!$A$2:$A$153,0))</f>
        <v>0.5</v>
      </c>
      <c r="AL68" s="33" t="n">
        <f aca="false">INDEX(Equipment!$D$2:$D$153,MATCH(G68,Equipment!$A$2:$A$153,0))</f>
        <v>60</v>
      </c>
      <c r="AM68" s="33" t="n">
        <f aca="false">INDEX(Equipment!$E$2:$E$153,MATCH(G68,Equipment!$A$2:$A$153,0))</f>
        <v>6.5</v>
      </c>
      <c r="AN68" s="33" t="n">
        <f aca="false">INDEX(Equipment!$F$2:$F$153,MATCH(G68,Equipment!$A$2:$A$153,0))</f>
        <v>11</v>
      </c>
      <c r="AO68" s="33" t="n">
        <f aca="false">IF(INDEX(Raceways!$D$2:$D$18,MATCH(L68,Raceways!$A$2:$A$18,0))="",0,INDEX(Raceways!$D$2:$D$18,MATCH(L68,Raceways!$A$2:$A$18,0)))</f>
        <v>1</v>
      </c>
      <c r="AP68" s="34" t="n">
        <f aca="false">IF(INDEX(Raceways!$I$2:$I$18,MATCH(L68,Raceways!$A$2:$A$18,0))="","",INDEX(Raceways!$I$2:$I$18,MATCH(L68,Raceways!$A$2:$A$18,0)))</f>
        <v>0.88</v>
      </c>
      <c r="AQ68" s="27" t="n">
        <f aca="false">INDEX('Cable Types'!$D$2:$D$45,MATCH(I68,'Cable Types'!$A$2:$A$45,0))</f>
        <v>1</v>
      </c>
      <c r="AR68" s="27" t="n">
        <f aca="false">IF(INDEX('Cable Types'!$E$2:$E$45,MATCH(I68,'Cable Types'!$A$2:$A$45,0))="","",INDEX('Cable Types'!$E$2:$E$45,MATCH(I68,'Cable Types'!$A$2:$A$45,0)))</f>
        <v>31</v>
      </c>
      <c r="AS68" s="27" t="n">
        <f aca="false">IF(INDEX('Cable Types'!$F$2:$F$45,MATCH(I68,'Cable Types'!$A$2:$A$45,0))="","",INDEX('Cable Types'!$F$2:$F$45,MATCH(I68,'Cable Types'!$A$2:$A$45,0)))</f>
        <v>115</v>
      </c>
      <c r="AT68" s="35" t="n">
        <f aca="false">IF(INDEX('Cable Types'!$G$2:$G$45,MATCH(I68,'Cable Types'!$A$2:$A$45,0))="","",INDEX('Cable Types'!$G$2:$G$45,MATCH(I68,'Cable Types'!$A$2:$A$45,0)))</f>
        <v>1.08</v>
      </c>
    </row>
    <row r="69" customFormat="false" ht="15" hidden="false" customHeight="false" outlineLevel="0" collapsed="false">
      <c r="A69" s="26" t="s">
        <v>838</v>
      </c>
      <c r="B69" s="26" t="s">
        <v>139</v>
      </c>
      <c r="C69" s="26" t="s">
        <v>74</v>
      </c>
      <c r="D69" s="26" t="s">
        <v>839</v>
      </c>
      <c r="E69" s="26" t="s">
        <v>191</v>
      </c>
      <c r="F69" s="27" t="str">
        <f aca="false">INDEX(Equipment!$B$2:$B$153,MATCH(E69,Equipment!$A$2:$A$153,0))</f>
        <v>HRSG auxiliary MCC 480 V</v>
      </c>
      <c r="G69" s="26" t="s">
        <v>199</v>
      </c>
      <c r="H69" s="27" t="str">
        <f aca="false">INDEX(Equipment!$B$2:$B$153,MATCH(G69,Equipment!$A$2:$A$153,0))</f>
        <v>HRSG preheater recirculation pump motor 55 kW</v>
      </c>
      <c r="I69" s="26" t="s">
        <v>577</v>
      </c>
      <c r="J69" s="27" t="str">
        <f aca="false">INDEX('Cable Types'!$B$2:$B$45,MATCH(I69,'Cable Types'!$A$2:$A$45,0))</f>
        <v>600 V 3/C 1/0 AWG + G Cu XHHW-2, Type MC-HL, CCW Al armor (Armor-X type), PVC jkt</v>
      </c>
      <c r="K69" s="26" t="n">
        <v>1</v>
      </c>
      <c r="L69" s="26" t="s">
        <v>714</v>
      </c>
      <c r="M69" s="26" t="s">
        <v>703</v>
      </c>
      <c r="N69" s="26"/>
      <c r="O69" s="28" t="n">
        <f aca="false">IF(N69&lt;&gt;"",N69,IF(M69="D",ROUNDUP(SQRT((AL69-AI69)^2+(AM69-AJ69)^2+(AN69-AK69)^2)*(1+'Design Basis'!$C$6),0),ROUNDUP((ABS(AL69-AI69)+ABS(AM69-AJ69)+ABS(AO69-AK69)+ABS(AO69-AN69))*(1+'Design Basis'!$C$4)+2*'Design Basis'!$C$5,0)))</f>
        <v>31</v>
      </c>
      <c r="P69" s="28" t="n">
        <f aca="false">ROUND(O69*'Design Basis'!$C$10,0)</f>
        <v>102</v>
      </c>
      <c r="Q69" s="28" t="n">
        <f aca="false">O69*K69*AQ69</f>
        <v>31</v>
      </c>
      <c r="R69" s="28" t="n">
        <f aca="false">ROUND(Q69*'Design Basis'!$C$10,0)</f>
        <v>102</v>
      </c>
      <c r="S69" s="29" t="n">
        <v>480</v>
      </c>
      <c r="T69" s="26" t="n">
        <v>3</v>
      </c>
      <c r="U69" s="29" t="n">
        <v>55</v>
      </c>
      <c r="V69" s="30" t="n">
        <v>0.8</v>
      </c>
      <c r="W69" s="28" t="n">
        <f aca="false">IF(OR(U69="",S69=""),"",IF(T69=3,U69*1000/(SQRT(3)*S69*V69),U69*1000/(S69*V69)))</f>
        <v>82.6933979308058</v>
      </c>
      <c r="X69" s="30" t="n">
        <v>1.25</v>
      </c>
      <c r="Y69" s="28" t="n">
        <f aca="false">IF(W69="","",W69*IF(X69="",1,X69))</f>
        <v>103.366747413507</v>
      </c>
      <c r="Z69" s="28" t="n">
        <f aca="false">IF(OR(AS69="",AP69=""),"",AS69*AP69)</f>
        <v>132</v>
      </c>
      <c r="AA69" s="28" t="n">
        <f aca="false">IF(Z69="","",Z69*K69)</f>
        <v>132</v>
      </c>
      <c r="AB69" s="31" t="n">
        <f aca="false">IF(OR(Y69="",AA69=""),"",Y69/AA69)</f>
        <v>0.783081419799297</v>
      </c>
      <c r="AC69" s="31" t="n">
        <f aca="false">IF(OR(W69="",AT69=""),"",AT69*(W69/K69)*O69/1000/S69)</f>
        <v>0.00364229962302728</v>
      </c>
      <c r="AD69" s="31" t="n">
        <f aca="false">IF(W69="","",IFERROR(IF(INDEX('Design Basis'!$C$13:$C$21,MATCH(C69,'Design Basis'!$A$13:$A$21,0))="","",INDEX('Design Basis'!$C$13:$C$21,MATCH(C69,'Design Basis'!$A$13:$A$21,0))),""))</f>
        <v>0.03</v>
      </c>
      <c r="AE69" s="32" t="str">
        <f aca="false">IF(W69="","n/a",IF(AA69="","CHECK",IF(AND(AB69&lt;=1,OR(AC69="",AD69="",AC69&lt;=AD69)),"OK","CHECK")))</f>
        <v>OK</v>
      </c>
      <c r="AF69" s="28" t="n">
        <f aca="false">IF(AR69="","",K69*AQ69*PI()/4*AR69^2)</f>
        <v>1075.21008569111</v>
      </c>
      <c r="AG69" s="32"/>
      <c r="AI69" s="33" t="n">
        <f aca="false">INDEX(Equipment!$D$2:$D$153,MATCH(E69,Equipment!$A$2:$A$153,0))</f>
        <v>80</v>
      </c>
      <c r="AJ69" s="33" t="n">
        <f aca="false">INDEX(Equipment!$E$2:$E$153,MATCH(E69,Equipment!$A$2:$A$153,0))</f>
        <v>-9</v>
      </c>
      <c r="AK69" s="33" t="n">
        <f aca="false">INDEX(Equipment!$F$2:$F$153,MATCH(E69,Equipment!$A$2:$A$153,0))</f>
        <v>0.5</v>
      </c>
      <c r="AL69" s="33" t="n">
        <f aca="false">INDEX(Equipment!$D$2:$D$153,MATCH(G69,Equipment!$A$2:$A$153,0))</f>
        <v>100</v>
      </c>
      <c r="AM69" s="33" t="n">
        <f aca="false">INDEX(Equipment!$E$2:$E$153,MATCH(G69,Equipment!$A$2:$A$153,0))</f>
        <v>-8</v>
      </c>
      <c r="AN69" s="33" t="n">
        <f aca="false">INDEX(Equipment!$F$2:$F$153,MATCH(G69,Equipment!$A$2:$A$153,0))</f>
        <v>0.5</v>
      </c>
      <c r="AO69" s="33" t="n">
        <f aca="false">IF(INDEX(Raceways!$D$2:$D$18,MATCH(L69,Raceways!$A$2:$A$18,0))="",0,INDEX(Raceways!$D$2:$D$18,MATCH(L69,Raceways!$A$2:$A$18,0)))</f>
        <v>1</v>
      </c>
      <c r="AP69" s="34" t="n">
        <f aca="false">IF(INDEX(Raceways!$I$2:$I$18,MATCH(L69,Raceways!$A$2:$A$18,0))="","",INDEX(Raceways!$I$2:$I$18,MATCH(L69,Raceways!$A$2:$A$18,0)))</f>
        <v>0.88</v>
      </c>
      <c r="AQ69" s="27" t="n">
        <f aca="false">INDEX('Cable Types'!$D$2:$D$45,MATCH(I69,'Cable Types'!$A$2:$A$45,0))</f>
        <v>1</v>
      </c>
      <c r="AR69" s="27" t="n">
        <f aca="false">IF(INDEX('Cable Types'!$E$2:$E$45,MATCH(I69,'Cable Types'!$A$2:$A$45,0))="","",INDEX('Cable Types'!$E$2:$E$45,MATCH(I69,'Cable Types'!$A$2:$A$45,0)))</f>
        <v>37</v>
      </c>
      <c r="AS69" s="27" t="n">
        <f aca="false">IF(INDEX('Cable Types'!$F$2:$F$45,MATCH(I69,'Cable Types'!$A$2:$A$45,0))="","",INDEX('Cable Types'!$F$2:$F$45,MATCH(I69,'Cable Types'!$A$2:$A$45,0)))</f>
        <v>150</v>
      </c>
      <c r="AT69" s="35" t="n">
        <f aca="false">IF(INDEX('Cable Types'!$G$2:$G$45,MATCH(I69,'Cable Types'!$A$2:$A$45,0))="","",INDEX('Cable Types'!$G$2:$G$45,MATCH(I69,'Cable Types'!$A$2:$A$45,0)))</f>
        <v>0.682</v>
      </c>
    </row>
    <row r="70" customFormat="false" ht="15" hidden="false" customHeight="false" outlineLevel="0" collapsed="false">
      <c r="A70" s="26" t="s">
        <v>840</v>
      </c>
      <c r="B70" s="26" t="s">
        <v>139</v>
      </c>
      <c r="C70" s="26" t="s">
        <v>74</v>
      </c>
      <c r="D70" s="26" t="s">
        <v>841</v>
      </c>
      <c r="E70" s="26" t="s">
        <v>215</v>
      </c>
      <c r="F70" s="27" t="str">
        <f aca="false">INDEX(Equipment!$B$2:$B$153,MATCH(E70,Equipment!$A$2:$A$153,0))</f>
        <v>ST auxiliary MCC 480 V</v>
      </c>
      <c r="G70" s="26" t="s">
        <v>218</v>
      </c>
      <c r="H70" s="27" t="str">
        <f aca="false">INDEX(Equipment!$B$2:$B$153,MATCH(G70,Equipment!$A$2:$A$153,0))</f>
        <v>ST turning gear motor 37 kW</v>
      </c>
      <c r="I70" s="26" t="s">
        <v>575</v>
      </c>
      <c r="J70" s="27" t="str">
        <f aca="false">INDEX('Cable Types'!$B$2:$B$45,MATCH(I70,'Cable Types'!$A$2:$A$45,0))</f>
        <v>600 V 3/C #2 AWG + G Cu XHHW-2, Type MC-HL, CCW Al armor (Armor-X type), PVC jkt</v>
      </c>
      <c r="K70" s="26" t="n">
        <v>1</v>
      </c>
      <c r="L70" s="26" t="s">
        <v>714</v>
      </c>
      <c r="M70" s="26" t="s">
        <v>703</v>
      </c>
      <c r="N70" s="26"/>
      <c r="O70" s="28" t="n">
        <f aca="false">IF(N70&lt;&gt;"",N70,IF(M70="D",ROUNDUP(SQRT((AL70-AI70)^2+(AM70-AJ70)^2+(AN70-AK70)^2)*(1+'Design Basis'!$C$6),0),ROUNDUP((ABS(AL70-AI70)+ABS(AM70-AJ70)+ABS(AO70-AK70)+ABS(AO70-AN70))*(1+'Design Basis'!$C$4)+2*'Design Basis'!$C$5,0)))</f>
        <v>43</v>
      </c>
      <c r="P70" s="28" t="n">
        <f aca="false">ROUND(O70*'Design Basis'!$C$10,0)</f>
        <v>141</v>
      </c>
      <c r="Q70" s="28" t="n">
        <f aca="false">O70*K70*AQ70</f>
        <v>43</v>
      </c>
      <c r="R70" s="28" t="n">
        <f aca="false">ROUND(Q70*'Design Basis'!$C$10,0)</f>
        <v>141</v>
      </c>
      <c r="S70" s="29" t="n">
        <v>480</v>
      </c>
      <c r="T70" s="26" t="n">
        <v>3</v>
      </c>
      <c r="U70" s="29" t="n">
        <v>37</v>
      </c>
      <c r="V70" s="30" t="n">
        <v>0.78</v>
      </c>
      <c r="W70" s="28" t="n">
        <f aca="false">IF(OR(U70="",S70=""),"",IF(T70=3,U70*1000/(SQRT(3)*S70*V70),U70*1000/(S70*V70)))</f>
        <v>57.0565169872226</v>
      </c>
      <c r="X70" s="30" t="n">
        <v>1.25</v>
      </c>
      <c r="Y70" s="28" t="n">
        <f aca="false">IF(W70="","",W70*IF(X70="",1,X70))</f>
        <v>71.3206462340283</v>
      </c>
      <c r="Z70" s="28" t="n">
        <f aca="false">IF(OR(AS70="",AP70=""),"",AS70*AP70)</f>
        <v>101.2</v>
      </c>
      <c r="AA70" s="28" t="n">
        <f aca="false">IF(Z70="","",Z70*K70)</f>
        <v>101.2</v>
      </c>
      <c r="AB70" s="31" t="n">
        <f aca="false">IF(OR(Y70="",AA70=""),"",Y70/AA70)</f>
        <v>0.704749468715695</v>
      </c>
      <c r="AC70" s="31" t="n">
        <f aca="false">IF(OR(W70="",AT70=""),"",AT70*(W70/K70)*O70/1000/S70)</f>
        <v>0.00552021801851379</v>
      </c>
      <c r="AD70" s="31" t="n">
        <f aca="false">IF(W70="","",IFERROR(IF(INDEX('Design Basis'!$C$13:$C$21,MATCH(C70,'Design Basis'!$A$13:$A$21,0))="","",INDEX('Design Basis'!$C$13:$C$21,MATCH(C70,'Design Basis'!$A$13:$A$21,0))),""))</f>
        <v>0.03</v>
      </c>
      <c r="AE70" s="32" t="str">
        <f aca="false">IF(W70="","n/a",IF(AA70="","CHECK",IF(AND(AB70&lt;=1,OR(AC70="",AD70="",AC70&lt;=AD70)),"OK","CHECK")))</f>
        <v>OK</v>
      </c>
      <c r="AF70" s="28" t="n">
        <f aca="false">IF(AR70="","",K70*AQ70*PI()/4*AR70^2)</f>
        <v>754.767635024948</v>
      </c>
      <c r="AG70" s="32"/>
      <c r="AI70" s="33" t="n">
        <f aca="false">INDEX(Equipment!$D$2:$D$153,MATCH(E70,Equipment!$A$2:$A$153,0))</f>
        <v>88</v>
      </c>
      <c r="AJ70" s="33" t="n">
        <f aca="false">INDEX(Equipment!$E$2:$E$153,MATCH(E70,Equipment!$A$2:$A$153,0))</f>
        <v>30</v>
      </c>
      <c r="AK70" s="33" t="n">
        <f aca="false">INDEX(Equipment!$F$2:$F$153,MATCH(E70,Equipment!$A$2:$A$153,0))</f>
        <v>0.5</v>
      </c>
      <c r="AL70" s="33" t="n">
        <f aca="false">INDEX(Equipment!$D$2:$D$153,MATCH(G70,Equipment!$A$2:$A$153,0))</f>
        <v>66</v>
      </c>
      <c r="AM70" s="33" t="n">
        <f aca="false">INDEX(Equipment!$E$2:$E$153,MATCH(G70,Equipment!$A$2:$A$153,0))</f>
        <v>36</v>
      </c>
      <c r="AN70" s="33" t="n">
        <f aca="false">INDEX(Equipment!$F$2:$F$153,MATCH(G70,Equipment!$A$2:$A$153,0))</f>
        <v>6</v>
      </c>
      <c r="AO70" s="33" t="n">
        <f aca="false">IF(INDEX(Raceways!$D$2:$D$18,MATCH(L70,Raceways!$A$2:$A$18,0))="",0,INDEX(Raceways!$D$2:$D$18,MATCH(L70,Raceways!$A$2:$A$18,0)))</f>
        <v>1</v>
      </c>
      <c r="AP70" s="34" t="n">
        <f aca="false">IF(INDEX(Raceways!$I$2:$I$18,MATCH(L70,Raceways!$A$2:$A$18,0))="","",INDEX(Raceways!$I$2:$I$18,MATCH(L70,Raceways!$A$2:$A$18,0)))</f>
        <v>0.88</v>
      </c>
      <c r="AQ70" s="27" t="n">
        <f aca="false">INDEX('Cable Types'!$D$2:$D$45,MATCH(I70,'Cable Types'!$A$2:$A$45,0))</f>
        <v>1</v>
      </c>
      <c r="AR70" s="27" t="n">
        <f aca="false">IF(INDEX('Cable Types'!$E$2:$E$45,MATCH(I70,'Cable Types'!$A$2:$A$45,0))="","",INDEX('Cable Types'!$E$2:$E$45,MATCH(I70,'Cable Types'!$A$2:$A$45,0)))</f>
        <v>31</v>
      </c>
      <c r="AS70" s="27" t="n">
        <f aca="false">IF(INDEX('Cable Types'!$F$2:$F$45,MATCH(I70,'Cable Types'!$A$2:$A$45,0))="","",INDEX('Cable Types'!$F$2:$F$45,MATCH(I70,'Cable Types'!$A$2:$A$45,0)))</f>
        <v>115</v>
      </c>
      <c r="AT70" s="35" t="n">
        <f aca="false">IF(INDEX('Cable Types'!$G$2:$G$45,MATCH(I70,'Cable Types'!$A$2:$A$45,0))="","",INDEX('Cable Types'!$G$2:$G$45,MATCH(I70,'Cable Types'!$A$2:$A$45,0)))</f>
        <v>1.08</v>
      </c>
    </row>
    <row r="71" customFormat="false" ht="15" hidden="false" customHeight="false" outlineLevel="0" collapsed="false">
      <c r="A71" s="26" t="s">
        <v>842</v>
      </c>
      <c r="B71" s="26" t="s">
        <v>139</v>
      </c>
      <c r="C71" s="26" t="s">
        <v>74</v>
      </c>
      <c r="D71" s="26" t="s">
        <v>843</v>
      </c>
      <c r="E71" s="26" t="s">
        <v>215</v>
      </c>
      <c r="F71" s="27" t="str">
        <f aca="false">INDEX(Equipment!$B$2:$B$153,MATCH(E71,Equipment!$A$2:$A$153,0))</f>
        <v>ST auxiliary MCC 480 V</v>
      </c>
      <c r="G71" s="26" t="s">
        <v>221</v>
      </c>
      <c r="H71" s="27" t="str">
        <f aca="false">INDEX(Equipment!$B$2:$B$153,MATCH(G71,Equipment!$A$2:$A$153,0))</f>
        <v>ST AC lube oil pump motor 55 kW</v>
      </c>
      <c r="I71" s="26" t="s">
        <v>577</v>
      </c>
      <c r="J71" s="27" t="str">
        <f aca="false">INDEX('Cable Types'!$B$2:$B$45,MATCH(I71,'Cable Types'!$A$2:$A$45,0))</f>
        <v>600 V 3/C 1/0 AWG + G Cu XHHW-2, Type MC-HL, CCW Al armor (Armor-X type), PVC jkt</v>
      </c>
      <c r="K71" s="26" t="n">
        <v>1</v>
      </c>
      <c r="L71" s="26" t="s">
        <v>714</v>
      </c>
      <c r="M71" s="26" t="s">
        <v>703</v>
      </c>
      <c r="N71" s="26"/>
      <c r="O71" s="28" t="n">
        <f aca="false">IF(N71&lt;&gt;"",N71,IF(M71="D",ROUNDUP(SQRT((AL71-AI71)^2+(AM71-AJ71)^2+(AN71-AK71)^2)*(1+'Design Basis'!$C$6),0),ROUNDUP((ABS(AL71-AI71)+ABS(AM71-AJ71)+ABS(AO71-AK71)+ABS(AO71-AN71))*(1+'Design Basis'!$C$4)+2*'Design Basis'!$C$5,0)))</f>
        <v>27</v>
      </c>
      <c r="P71" s="28" t="n">
        <f aca="false">ROUND(O71*'Design Basis'!$C$10,0)</f>
        <v>89</v>
      </c>
      <c r="Q71" s="28" t="n">
        <f aca="false">O71*K71*AQ71</f>
        <v>27</v>
      </c>
      <c r="R71" s="28" t="n">
        <f aca="false">ROUND(Q71*'Design Basis'!$C$10,0)</f>
        <v>89</v>
      </c>
      <c r="S71" s="29" t="n">
        <v>480</v>
      </c>
      <c r="T71" s="26" t="n">
        <v>3</v>
      </c>
      <c r="U71" s="29" t="n">
        <v>55</v>
      </c>
      <c r="V71" s="30" t="n">
        <v>0.8</v>
      </c>
      <c r="W71" s="28" t="n">
        <f aca="false">IF(OR(U71="",S71=""),"",IF(T71=3,U71*1000/(SQRT(3)*S71*V71),U71*1000/(S71*V71)))</f>
        <v>82.6933979308058</v>
      </c>
      <c r="X71" s="30" t="n">
        <v>1.25</v>
      </c>
      <c r="Y71" s="28" t="n">
        <f aca="false">IF(W71="","",W71*IF(X71="",1,X71))</f>
        <v>103.366747413507</v>
      </c>
      <c r="Z71" s="28" t="n">
        <f aca="false">IF(OR(AS71="",AP71=""),"",AS71*AP71)</f>
        <v>132</v>
      </c>
      <c r="AA71" s="28" t="n">
        <f aca="false">IF(Z71="","",Z71*K71)</f>
        <v>132</v>
      </c>
      <c r="AB71" s="31" t="n">
        <f aca="false">IF(OR(Y71="",AA71=""),"",Y71/AA71)</f>
        <v>0.783081419799297</v>
      </c>
      <c r="AC71" s="31" t="n">
        <f aca="false">IF(OR(W71="",AT71=""),"",AT71*(W71/K71)*O71/1000/S71)</f>
        <v>0.00317232547812054</v>
      </c>
      <c r="AD71" s="31" t="n">
        <f aca="false">IF(W71="","",IFERROR(IF(INDEX('Design Basis'!$C$13:$C$21,MATCH(C71,'Design Basis'!$A$13:$A$21,0))="","",INDEX('Design Basis'!$C$13:$C$21,MATCH(C71,'Design Basis'!$A$13:$A$21,0))),""))</f>
        <v>0.03</v>
      </c>
      <c r="AE71" s="32" t="str">
        <f aca="false">IF(W71="","n/a",IF(AA71="","CHECK",IF(AND(AB71&lt;=1,OR(AC71="",AD71="",AC71&lt;=AD71)),"OK","CHECK")))</f>
        <v>OK</v>
      </c>
      <c r="AF71" s="28" t="n">
        <f aca="false">IF(AR71="","",K71*AQ71*PI()/4*AR71^2)</f>
        <v>1075.21008569111</v>
      </c>
      <c r="AG71" s="32"/>
      <c r="AI71" s="33" t="n">
        <f aca="false">INDEX(Equipment!$D$2:$D$153,MATCH(E71,Equipment!$A$2:$A$153,0))</f>
        <v>88</v>
      </c>
      <c r="AJ71" s="33" t="n">
        <f aca="false">INDEX(Equipment!$E$2:$E$153,MATCH(E71,Equipment!$A$2:$A$153,0))</f>
        <v>30</v>
      </c>
      <c r="AK71" s="33" t="n">
        <f aca="false">INDEX(Equipment!$F$2:$F$153,MATCH(E71,Equipment!$A$2:$A$153,0))</f>
        <v>0.5</v>
      </c>
      <c r="AL71" s="33" t="n">
        <f aca="false">INDEX(Equipment!$D$2:$D$153,MATCH(G71,Equipment!$A$2:$A$153,0))</f>
        <v>70</v>
      </c>
      <c r="AM71" s="33" t="n">
        <f aca="false">INDEX(Equipment!$E$2:$E$153,MATCH(G71,Equipment!$A$2:$A$153,0))</f>
        <v>30</v>
      </c>
      <c r="AN71" s="33" t="n">
        <f aca="false">INDEX(Equipment!$F$2:$F$153,MATCH(G71,Equipment!$A$2:$A$153,0))</f>
        <v>0.5</v>
      </c>
      <c r="AO71" s="33" t="n">
        <f aca="false">IF(INDEX(Raceways!$D$2:$D$18,MATCH(L71,Raceways!$A$2:$A$18,0))="",0,INDEX(Raceways!$D$2:$D$18,MATCH(L71,Raceways!$A$2:$A$18,0)))</f>
        <v>1</v>
      </c>
      <c r="AP71" s="34" t="n">
        <f aca="false">IF(INDEX(Raceways!$I$2:$I$18,MATCH(L71,Raceways!$A$2:$A$18,0))="","",INDEX(Raceways!$I$2:$I$18,MATCH(L71,Raceways!$A$2:$A$18,0)))</f>
        <v>0.88</v>
      </c>
      <c r="AQ71" s="27" t="n">
        <f aca="false">INDEX('Cable Types'!$D$2:$D$45,MATCH(I71,'Cable Types'!$A$2:$A$45,0))</f>
        <v>1</v>
      </c>
      <c r="AR71" s="27" t="n">
        <f aca="false">IF(INDEX('Cable Types'!$E$2:$E$45,MATCH(I71,'Cable Types'!$A$2:$A$45,0))="","",INDEX('Cable Types'!$E$2:$E$45,MATCH(I71,'Cable Types'!$A$2:$A$45,0)))</f>
        <v>37</v>
      </c>
      <c r="AS71" s="27" t="n">
        <f aca="false">IF(INDEX('Cable Types'!$F$2:$F$45,MATCH(I71,'Cable Types'!$A$2:$A$45,0))="","",INDEX('Cable Types'!$F$2:$F$45,MATCH(I71,'Cable Types'!$A$2:$A$45,0)))</f>
        <v>150</v>
      </c>
      <c r="AT71" s="35" t="n">
        <f aca="false">IF(INDEX('Cable Types'!$G$2:$G$45,MATCH(I71,'Cable Types'!$A$2:$A$45,0))="","",INDEX('Cable Types'!$G$2:$G$45,MATCH(I71,'Cable Types'!$A$2:$A$45,0)))</f>
        <v>0.682</v>
      </c>
    </row>
    <row r="72" customFormat="false" ht="15" hidden="false" customHeight="false" outlineLevel="0" collapsed="false">
      <c r="A72" s="26" t="s">
        <v>844</v>
      </c>
      <c r="B72" s="26" t="s">
        <v>236</v>
      </c>
      <c r="C72" s="26" t="s">
        <v>74</v>
      </c>
      <c r="D72" s="26" t="s">
        <v>845</v>
      </c>
      <c r="E72" s="26" t="s">
        <v>238</v>
      </c>
      <c r="F72" s="27" t="str">
        <f aca="false">INDEX(Equipment!$B$2:$B$153,MATCH(E72,Equipment!$A$2:$A$153,0))</f>
        <v>ACC fan VFD switchroom 480 V</v>
      </c>
      <c r="G72" s="26" t="s">
        <v>247</v>
      </c>
      <c r="H72" s="27" t="str">
        <f aca="false">INDEX(Equipment!$B$2:$B$153,MATCH(G72,Equipment!$A$2:$A$153,0))</f>
        <v>ACC fan 01 local disconnect switch (in sight of motor, NEC 430.102)</v>
      </c>
      <c r="I72" s="26" t="s">
        <v>585</v>
      </c>
      <c r="J72" s="27" t="str">
        <f aca="false">INDEX('Cable Types'!$B$2:$B$45,MATCH(I72,'Cable Types'!$A$2:$A$45,0))</f>
        <v>600/1000 V VFD 3/C 500 kcmil + 3 symmetrical G, Cu XLPE, Type MC-HL, CCW Al armor (Armor-X type), PVC jkt</v>
      </c>
      <c r="K72" s="26" t="n">
        <v>1</v>
      </c>
      <c r="L72" s="26" t="s">
        <v>846</v>
      </c>
      <c r="M72" s="26" t="s">
        <v>703</v>
      </c>
      <c r="N72" s="26"/>
      <c r="O72" s="28" t="n">
        <f aca="false">IF(N72&lt;&gt;"",N72,IF(M72="D",ROUNDUP(SQRT((AL72-AI72)^2+(AM72-AJ72)^2+(AN72-AK72)^2)*(1+'Design Basis'!$C$6),0),ROUNDUP((ABS(AL72-AI72)+ABS(AM72-AJ72)+ABS(AO72-AK72)+ABS(AO72-AN72))*(1+'Design Basis'!$C$4)+2*'Design Basis'!$C$5,0)))</f>
        <v>86</v>
      </c>
      <c r="P72" s="28" t="n">
        <f aca="false">ROUND(O72*'Design Basis'!$C$10,0)</f>
        <v>282</v>
      </c>
      <c r="Q72" s="28" t="n">
        <f aca="false">O72*K72*AQ72</f>
        <v>86</v>
      </c>
      <c r="R72" s="28" t="n">
        <f aca="false">ROUND(Q72*'Design Basis'!$C$10,0)</f>
        <v>282</v>
      </c>
      <c r="S72" s="29" t="n">
        <v>480</v>
      </c>
      <c r="T72" s="26" t="n">
        <v>3</v>
      </c>
      <c r="U72" s="29" t="n">
        <v>150</v>
      </c>
      <c r="V72" s="30" t="n">
        <v>0.85</v>
      </c>
      <c r="W72" s="28" t="n">
        <f aca="false">IF(OR(U72="",S72=""),"",IF(T72=3,U72*1000/(SQRT(3)*S72*V72),U72*1000/(S72*V72)))</f>
        <v>212.261128378539</v>
      </c>
      <c r="X72" s="30" t="n">
        <v>1.25</v>
      </c>
      <c r="Y72" s="28" t="n">
        <f aca="false">IF(W72="","",W72*IF(X72="",1,X72))</f>
        <v>265.326410473174</v>
      </c>
      <c r="Z72" s="28" t="n">
        <f aca="false">IF(OR(AS72="",AP72=""),"",AS72*AP72)</f>
        <v>334.4</v>
      </c>
      <c r="AA72" s="28" t="n">
        <f aca="false">IF(Z72="","",Z72*K72)</f>
        <v>334.4</v>
      </c>
      <c r="AB72" s="31" t="n">
        <f aca="false">IF(OR(Y72="",AA72=""),"",Y72/AA72)</f>
        <v>0.793440222706859</v>
      </c>
      <c r="AC72" s="31" t="n">
        <f aca="false">IF(OR(W72="",AT72=""),"",AT72*(W72/K72)*O72/1000/S72)</f>
        <v>0.00844268638125639</v>
      </c>
      <c r="AD72" s="31" t="n">
        <f aca="false">IF(W72="","",IFERROR(IF(INDEX('Design Basis'!$C$13:$C$21,MATCH(C72,'Design Basis'!$A$13:$A$21,0))="","",INDEX('Design Basis'!$C$13:$C$21,MATCH(C72,'Design Basis'!$A$13:$A$21,0))),""))</f>
        <v>0.03</v>
      </c>
      <c r="AE72" s="32" t="str">
        <f aca="false">IF(W72="","n/a",IF(AA72="","CHECK",IF(AND(AB72&lt;=1,OR(AC72="",AD72="",AC72&lt;=AD72)),"OK","CHECK")))</f>
        <v>OK</v>
      </c>
      <c r="AF72" s="28" t="n">
        <f aca="false">IF(AR72="","",K72*AQ72*PI()/4*AR72^2)</f>
        <v>3848.4510006475</v>
      </c>
      <c r="AG72" s="32" t="s">
        <v>847</v>
      </c>
      <c r="AI72" s="33" t="n">
        <f aca="false">INDEX(Equipment!$D$2:$D$153,MATCH(E72,Equipment!$A$2:$A$153,0))</f>
        <v>146</v>
      </c>
      <c r="AJ72" s="33" t="n">
        <f aca="false">INDEX(Equipment!$E$2:$E$153,MATCH(E72,Equipment!$A$2:$A$153,0))</f>
        <v>46</v>
      </c>
      <c r="AK72" s="33" t="n">
        <f aca="false">INDEX(Equipment!$F$2:$F$153,MATCH(E72,Equipment!$A$2:$A$153,0))</f>
        <v>0.5</v>
      </c>
      <c r="AL72" s="33" t="n">
        <f aca="false">INDEX(Equipment!$D$2:$D$153,MATCH(G72,Equipment!$A$2:$A$153,0))</f>
        <v>108</v>
      </c>
      <c r="AM72" s="33" t="n">
        <f aca="false">INDEX(Equipment!$E$2:$E$153,MATCH(G72,Equipment!$A$2:$A$153,0))</f>
        <v>32</v>
      </c>
      <c r="AN72" s="33" t="n">
        <f aca="false">INDEX(Equipment!$F$2:$F$153,MATCH(G72,Equipment!$A$2:$A$153,0))</f>
        <v>20.5</v>
      </c>
      <c r="AO72" s="33" t="n">
        <f aca="false">IF(INDEX(Raceways!$D$2:$D$18,MATCH(L72,Raceways!$A$2:$A$18,0))="",0,INDEX(Raceways!$D$2:$D$18,MATCH(L72,Raceways!$A$2:$A$18,0)))</f>
        <v>20</v>
      </c>
      <c r="AP72" s="34" t="n">
        <f aca="false">IF(INDEX(Raceways!$I$2:$I$18,MATCH(L72,Raceways!$A$2:$A$18,0))="","",INDEX(Raceways!$I$2:$I$18,MATCH(L72,Raceways!$A$2:$A$18,0)))</f>
        <v>0.88</v>
      </c>
      <c r="AQ72" s="27" t="n">
        <f aca="false">INDEX('Cable Types'!$D$2:$D$45,MATCH(I72,'Cable Types'!$A$2:$A$45,0))</f>
        <v>1</v>
      </c>
      <c r="AR72" s="27" t="n">
        <f aca="false">IF(INDEX('Cable Types'!$E$2:$E$45,MATCH(I72,'Cable Types'!$A$2:$A$45,0))="","",INDEX('Cable Types'!$E$2:$E$45,MATCH(I72,'Cable Types'!$A$2:$A$45,0)))</f>
        <v>70</v>
      </c>
      <c r="AS72" s="27" t="n">
        <f aca="false">IF(INDEX('Cable Types'!$F$2:$F$45,MATCH(I72,'Cable Types'!$A$2:$A$45,0))="","",INDEX('Cable Types'!$F$2:$F$45,MATCH(I72,'Cable Types'!$A$2:$A$45,0)))</f>
        <v>380</v>
      </c>
      <c r="AT72" s="35" t="n">
        <f aca="false">IF(INDEX('Cable Types'!$G$2:$G$45,MATCH(I72,'Cable Types'!$A$2:$A$45,0))="","",INDEX('Cable Types'!$G$2:$G$45,MATCH(I72,'Cable Types'!$A$2:$A$45,0)))</f>
        <v>0.222</v>
      </c>
    </row>
    <row r="73" customFormat="false" ht="15" hidden="false" customHeight="false" outlineLevel="0" collapsed="false">
      <c r="A73" s="26" t="s">
        <v>848</v>
      </c>
      <c r="B73" s="26" t="s">
        <v>236</v>
      </c>
      <c r="C73" s="26" t="s">
        <v>74</v>
      </c>
      <c r="D73" s="26" t="s">
        <v>849</v>
      </c>
      <c r="E73" s="26" t="s">
        <v>238</v>
      </c>
      <c r="F73" s="27" t="str">
        <f aca="false">INDEX(Equipment!$B$2:$B$153,MATCH(E73,Equipment!$A$2:$A$153,0))</f>
        <v>ACC fan VFD switchroom 480 V</v>
      </c>
      <c r="G73" s="26" t="s">
        <v>253</v>
      </c>
      <c r="H73" s="27" t="str">
        <f aca="false">INDEX(Equipment!$B$2:$B$153,MATCH(G73,Equipment!$A$2:$A$153,0))</f>
        <v>ACC fan 02 local disconnect switch (in sight of motor, NEC 430.102)</v>
      </c>
      <c r="I73" s="26" t="s">
        <v>585</v>
      </c>
      <c r="J73" s="27" t="str">
        <f aca="false">INDEX('Cable Types'!$B$2:$B$45,MATCH(I73,'Cable Types'!$A$2:$A$45,0))</f>
        <v>600/1000 V VFD 3/C 500 kcmil + 3 symmetrical G, Cu XLPE, Type MC-HL, CCW Al armor (Armor-X type), PVC jkt</v>
      </c>
      <c r="K73" s="26" t="n">
        <v>1</v>
      </c>
      <c r="L73" s="26" t="s">
        <v>846</v>
      </c>
      <c r="M73" s="26" t="s">
        <v>703</v>
      </c>
      <c r="N73" s="26"/>
      <c r="O73" s="28" t="n">
        <f aca="false">IF(N73&lt;&gt;"",N73,IF(M73="D",ROUNDUP(SQRT((AL73-AI73)^2+(AM73-AJ73)^2+(AN73-AK73)^2)*(1+'Design Basis'!$C$6),0),ROUNDUP((ABS(AL73-AI73)+ABS(AM73-AJ73)+ABS(AO73-AK73)+ABS(AO73-AN73))*(1+'Design Basis'!$C$4)+2*'Design Basis'!$C$5,0)))</f>
        <v>74</v>
      </c>
      <c r="P73" s="28" t="n">
        <f aca="false">ROUND(O73*'Design Basis'!$C$10,0)</f>
        <v>243</v>
      </c>
      <c r="Q73" s="28" t="n">
        <f aca="false">O73*K73*AQ73</f>
        <v>74</v>
      </c>
      <c r="R73" s="28" t="n">
        <f aca="false">ROUND(Q73*'Design Basis'!$C$10,0)</f>
        <v>243</v>
      </c>
      <c r="S73" s="29" t="n">
        <v>480</v>
      </c>
      <c r="T73" s="26" t="n">
        <v>3</v>
      </c>
      <c r="U73" s="29" t="n">
        <v>150</v>
      </c>
      <c r="V73" s="30" t="n">
        <v>0.85</v>
      </c>
      <c r="W73" s="28" t="n">
        <f aca="false">IF(OR(U73="",S73=""),"",IF(T73=3,U73*1000/(SQRT(3)*S73*V73),U73*1000/(S73*V73)))</f>
        <v>212.261128378539</v>
      </c>
      <c r="X73" s="30" t="n">
        <v>1.25</v>
      </c>
      <c r="Y73" s="28" t="n">
        <f aca="false">IF(W73="","",W73*IF(X73="",1,X73))</f>
        <v>265.326410473174</v>
      </c>
      <c r="Z73" s="28" t="n">
        <f aca="false">IF(OR(AS73="",AP73=""),"",AS73*AP73)</f>
        <v>334.4</v>
      </c>
      <c r="AA73" s="28" t="n">
        <f aca="false">IF(Z73="","",Z73*K73)</f>
        <v>334.4</v>
      </c>
      <c r="AB73" s="31" t="n">
        <f aca="false">IF(OR(Y73="",AA73=""),"",Y73/AA73)</f>
        <v>0.793440222706859</v>
      </c>
      <c r="AC73" s="31" t="n">
        <f aca="false">IF(OR(W73="",AT73=""),"",AT73*(W73/K73)*O73/1000/S73)</f>
        <v>0.00726463711875549</v>
      </c>
      <c r="AD73" s="31" t="n">
        <f aca="false">IF(W73="","",IFERROR(IF(INDEX('Design Basis'!$C$13:$C$21,MATCH(C73,'Design Basis'!$A$13:$A$21,0))="","",INDEX('Design Basis'!$C$13:$C$21,MATCH(C73,'Design Basis'!$A$13:$A$21,0))),""))</f>
        <v>0.03</v>
      </c>
      <c r="AE73" s="32" t="str">
        <f aca="false">IF(W73="","n/a",IF(AA73="","CHECK",IF(AND(AB73&lt;=1,OR(AC73="",AD73="",AC73&lt;=AD73)),"OK","CHECK")))</f>
        <v>OK</v>
      </c>
      <c r="AF73" s="28" t="n">
        <f aca="false">IF(AR73="","",K73*AQ73*PI()/4*AR73^2)</f>
        <v>3848.4510006475</v>
      </c>
      <c r="AG73" s="32" t="s">
        <v>847</v>
      </c>
      <c r="AI73" s="33" t="n">
        <f aca="false">INDEX(Equipment!$D$2:$D$153,MATCH(E73,Equipment!$A$2:$A$153,0))</f>
        <v>146</v>
      </c>
      <c r="AJ73" s="33" t="n">
        <f aca="false">INDEX(Equipment!$E$2:$E$153,MATCH(E73,Equipment!$A$2:$A$153,0))</f>
        <v>46</v>
      </c>
      <c r="AK73" s="33" t="n">
        <f aca="false">INDEX(Equipment!$F$2:$F$153,MATCH(E73,Equipment!$A$2:$A$153,0))</f>
        <v>0.5</v>
      </c>
      <c r="AL73" s="33" t="n">
        <f aca="false">INDEX(Equipment!$D$2:$D$153,MATCH(G73,Equipment!$A$2:$A$153,0))</f>
        <v>108</v>
      </c>
      <c r="AM73" s="33" t="n">
        <f aca="false">INDEX(Equipment!$E$2:$E$153,MATCH(G73,Equipment!$A$2:$A$153,0))</f>
        <v>43</v>
      </c>
      <c r="AN73" s="33" t="n">
        <f aca="false">INDEX(Equipment!$F$2:$F$153,MATCH(G73,Equipment!$A$2:$A$153,0))</f>
        <v>20.5</v>
      </c>
      <c r="AO73" s="33" t="n">
        <f aca="false">IF(INDEX(Raceways!$D$2:$D$18,MATCH(L73,Raceways!$A$2:$A$18,0))="",0,INDEX(Raceways!$D$2:$D$18,MATCH(L73,Raceways!$A$2:$A$18,0)))</f>
        <v>20</v>
      </c>
      <c r="AP73" s="34" t="n">
        <f aca="false">IF(INDEX(Raceways!$I$2:$I$18,MATCH(L73,Raceways!$A$2:$A$18,0))="","",INDEX(Raceways!$I$2:$I$18,MATCH(L73,Raceways!$A$2:$A$18,0)))</f>
        <v>0.88</v>
      </c>
      <c r="AQ73" s="27" t="n">
        <f aca="false">INDEX('Cable Types'!$D$2:$D$45,MATCH(I73,'Cable Types'!$A$2:$A$45,0))</f>
        <v>1</v>
      </c>
      <c r="AR73" s="27" t="n">
        <f aca="false">IF(INDEX('Cable Types'!$E$2:$E$45,MATCH(I73,'Cable Types'!$A$2:$A$45,0))="","",INDEX('Cable Types'!$E$2:$E$45,MATCH(I73,'Cable Types'!$A$2:$A$45,0)))</f>
        <v>70</v>
      </c>
      <c r="AS73" s="27" t="n">
        <f aca="false">IF(INDEX('Cable Types'!$F$2:$F$45,MATCH(I73,'Cable Types'!$A$2:$A$45,0))="","",INDEX('Cable Types'!$F$2:$F$45,MATCH(I73,'Cable Types'!$A$2:$A$45,0)))</f>
        <v>380</v>
      </c>
      <c r="AT73" s="35" t="n">
        <f aca="false">IF(INDEX('Cable Types'!$G$2:$G$45,MATCH(I73,'Cable Types'!$A$2:$A$45,0))="","",INDEX('Cable Types'!$G$2:$G$45,MATCH(I73,'Cable Types'!$A$2:$A$45,0)))</f>
        <v>0.222</v>
      </c>
    </row>
    <row r="74" customFormat="false" ht="15" hidden="false" customHeight="false" outlineLevel="0" collapsed="false">
      <c r="A74" s="26" t="s">
        <v>850</v>
      </c>
      <c r="B74" s="26" t="s">
        <v>236</v>
      </c>
      <c r="C74" s="26" t="s">
        <v>74</v>
      </c>
      <c r="D74" s="26" t="s">
        <v>851</v>
      </c>
      <c r="E74" s="26" t="s">
        <v>238</v>
      </c>
      <c r="F74" s="27" t="str">
        <f aca="false">INDEX(Equipment!$B$2:$B$153,MATCH(E74,Equipment!$A$2:$A$153,0))</f>
        <v>ACC fan VFD switchroom 480 V</v>
      </c>
      <c r="G74" s="26" t="s">
        <v>259</v>
      </c>
      <c r="H74" s="27" t="str">
        <f aca="false">INDEX(Equipment!$B$2:$B$153,MATCH(G74,Equipment!$A$2:$A$153,0))</f>
        <v>ACC fan 03 local disconnect switch (in sight of motor, NEC 430.102)</v>
      </c>
      <c r="I74" s="26" t="s">
        <v>585</v>
      </c>
      <c r="J74" s="27" t="str">
        <f aca="false">INDEX('Cable Types'!$B$2:$B$45,MATCH(I74,'Cable Types'!$A$2:$A$45,0))</f>
        <v>600/1000 V VFD 3/C 500 kcmil + 3 symmetrical G, Cu XLPE, Type MC-HL, CCW Al armor (Armor-X type), PVC jkt</v>
      </c>
      <c r="K74" s="26" t="n">
        <v>1</v>
      </c>
      <c r="L74" s="26" t="s">
        <v>846</v>
      </c>
      <c r="M74" s="26" t="s">
        <v>703</v>
      </c>
      <c r="N74" s="26"/>
      <c r="O74" s="28" t="n">
        <f aca="false">IF(N74&lt;&gt;"",N74,IF(M74="D",ROUNDUP(SQRT((AL74-AI74)^2+(AM74-AJ74)^2+(AN74-AK74)^2)*(1+'Design Basis'!$C$6),0),ROUNDUP((ABS(AL74-AI74)+ABS(AM74-AJ74)+ABS(AO74-AK74)+ABS(AO74-AN74))*(1+'Design Basis'!$C$4)+2*'Design Basis'!$C$5,0)))</f>
        <v>79</v>
      </c>
      <c r="P74" s="28" t="n">
        <f aca="false">ROUND(O74*'Design Basis'!$C$10,0)</f>
        <v>259</v>
      </c>
      <c r="Q74" s="28" t="n">
        <f aca="false">O74*K74*AQ74</f>
        <v>79</v>
      </c>
      <c r="R74" s="28" t="n">
        <f aca="false">ROUND(Q74*'Design Basis'!$C$10,0)</f>
        <v>259</v>
      </c>
      <c r="S74" s="29" t="n">
        <v>480</v>
      </c>
      <c r="T74" s="26" t="n">
        <v>3</v>
      </c>
      <c r="U74" s="29" t="n">
        <v>150</v>
      </c>
      <c r="V74" s="30" t="n">
        <v>0.85</v>
      </c>
      <c r="W74" s="28" t="n">
        <f aca="false">IF(OR(U74="",S74=""),"",IF(T74=3,U74*1000/(SQRT(3)*S74*V74),U74*1000/(S74*V74)))</f>
        <v>212.261128378539</v>
      </c>
      <c r="X74" s="30" t="n">
        <v>1.25</v>
      </c>
      <c r="Y74" s="28" t="n">
        <f aca="false">IF(W74="","",W74*IF(X74="",1,X74))</f>
        <v>265.326410473174</v>
      </c>
      <c r="Z74" s="28" t="n">
        <f aca="false">IF(OR(AS74="",AP74=""),"",AS74*AP74)</f>
        <v>334.4</v>
      </c>
      <c r="AA74" s="28" t="n">
        <f aca="false">IF(Z74="","",Z74*K74)</f>
        <v>334.4</v>
      </c>
      <c r="AB74" s="31" t="n">
        <f aca="false">IF(OR(Y74="",AA74=""),"",Y74/AA74)</f>
        <v>0.793440222706859</v>
      </c>
      <c r="AC74" s="31" t="n">
        <f aca="false">IF(OR(W74="",AT74=""),"",AT74*(W74/K74)*O74/1000/S74)</f>
        <v>0.00775549097813087</v>
      </c>
      <c r="AD74" s="31" t="n">
        <f aca="false">IF(W74="","",IFERROR(IF(INDEX('Design Basis'!$C$13:$C$21,MATCH(C74,'Design Basis'!$A$13:$A$21,0))="","",INDEX('Design Basis'!$C$13:$C$21,MATCH(C74,'Design Basis'!$A$13:$A$21,0))),""))</f>
        <v>0.03</v>
      </c>
      <c r="AE74" s="32" t="str">
        <f aca="false">IF(W74="","n/a",IF(AA74="","CHECK",IF(AND(AB74&lt;=1,OR(AC74="",AD74="",AC74&lt;=AD74)),"OK","CHECK")))</f>
        <v>OK</v>
      </c>
      <c r="AF74" s="28" t="n">
        <f aca="false">IF(AR74="","",K74*AQ74*PI()/4*AR74^2)</f>
        <v>3848.4510006475</v>
      </c>
      <c r="AG74" s="32" t="s">
        <v>847</v>
      </c>
      <c r="AI74" s="33" t="n">
        <f aca="false">INDEX(Equipment!$D$2:$D$153,MATCH(E74,Equipment!$A$2:$A$153,0))</f>
        <v>146</v>
      </c>
      <c r="AJ74" s="33" t="n">
        <f aca="false">INDEX(Equipment!$E$2:$E$153,MATCH(E74,Equipment!$A$2:$A$153,0))</f>
        <v>46</v>
      </c>
      <c r="AK74" s="33" t="n">
        <f aca="false">INDEX(Equipment!$F$2:$F$153,MATCH(E74,Equipment!$A$2:$A$153,0))</f>
        <v>0.5</v>
      </c>
      <c r="AL74" s="33" t="n">
        <f aca="false">INDEX(Equipment!$D$2:$D$153,MATCH(G74,Equipment!$A$2:$A$153,0))</f>
        <v>108</v>
      </c>
      <c r="AM74" s="33" t="n">
        <f aca="false">INDEX(Equipment!$E$2:$E$153,MATCH(G74,Equipment!$A$2:$A$153,0))</f>
        <v>54</v>
      </c>
      <c r="AN74" s="33" t="n">
        <f aca="false">INDEX(Equipment!$F$2:$F$153,MATCH(G74,Equipment!$A$2:$A$153,0))</f>
        <v>20.5</v>
      </c>
      <c r="AO74" s="33" t="n">
        <f aca="false">IF(INDEX(Raceways!$D$2:$D$18,MATCH(L74,Raceways!$A$2:$A$18,0))="",0,INDEX(Raceways!$D$2:$D$18,MATCH(L74,Raceways!$A$2:$A$18,0)))</f>
        <v>20</v>
      </c>
      <c r="AP74" s="34" t="n">
        <f aca="false">IF(INDEX(Raceways!$I$2:$I$18,MATCH(L74,Raceways!$A$2:$A$18,0))="","",INDEX(Raceways!$I$2:$I$18,MATCH(L74,Raceways!$A$2:$A$18,0)))</f>
        <v>0.88</v>
      </c>
      <c r="AQ74" s="27" t="n">
        <f aca="false">INDEX('Cable Types'!$D$2:$D$45,MATCH(I74,'Cable Types'!$A$2:$A$45,0))</f>
        <v>1</v>
      </c>
      <c r="AR74" s="27" t="n">
        <f aca="false">IF(INDEX('Cable Types'!$E$2:$E$45,MATCH(I74,'Cable Types'!$A$2:$A$45,0))="","",INDEX('Cable Types'!$E$2:$E$45,MATCH(I74,'Cable Types'!$A$2:$A$45,0)))</f>
        <v>70</v>
      </c>
      <c r="AS74" s="27" t="n">
        <f aca="false">IF(INDEX('Cable Types'!$F$2:$F$45,MATCH(I74,'Cable Types'!$A$2:$A$45,0))="","",INDEX('Cable Types'!$F$2:$F$45,MATCH(I74,'Cable Types'!$A$2:$A$45,0)))</f>
        <v>380</v>
      </c>
      <c r="AT74" s="35" t="n">
        <f aca="false">IF(INDEX('Cable Types'!$G$2:$G$45,MATCH(I74,'Cable Types'!$A$2:$A$45,0))="","",INDEX('Cable Types'!$G$2:$G$45,MATCH(I74,'Cable Types'!$A$2:$A$45,0)))</f>
        <v>0.222</v>
      </c>
    </row>
    <row r="75" customFormat="false" ht="15" hidden="false" customHeight="false" outlineLevel="0" collapsed="false">
      <c r="A75" s="26" t="s">
        <v>852</v>
      </c>
      <c r="B75" s="26" t="s">
        <v>236</v>
      </c>
      <c r="C75" s="26" t="s">
        <v>74</v>
      </c>
      <c r="D75" s="26" t="s">
        <v>853</v>
      </c>
      <c r="E75" s="26" t="s">
        <v>238</v>
      </c>
      <c r="F75" s="27" t="str">
        <f aca="false">INDEX(Equipment!$B$2:$B$153,MATCH(E75,Equipment!$A$2:$A$153,0))</f>
        <v>ACC fan VFD switchroom 480 V</v>
      </c>
      <c r="G75" s="26" t="s">
        <v>265</v>
      </c>
      <c r="H75" s="27" t="str">
        <f aca="false">INDEX(Equipment!$B$2:$B$153,MATCH(G75,Equipment!$A$2:$A$153,0))</f>
        <v>ACC fan 04 local disconnect switch (in sight of motor, NEC 430.102)</v>
      </c>
      <c r="I75" s="26" t="s">
        <v>585</v>
      </c>
      <c r="J75" s="27" t="str">
        <f aca="false">INDEX('Cable Types'!$B$2:$B$45,MATCH(I75,'Cable Types'!$A$2:$A$45,0))</f>
        <v>600/1000 V VFD 3/C 500 kcmil + 3 symmetrical G, Cu XLPE, Type MC-HL, CCW Al armor (Armor-X type), PVC jkt</v>
      </c>
      <c r="K75" s="26" t="n">
        <v>1</v>
      </c>
      <c r="L75" s="26" t="s">
        <v>846</v>
      </c>
      <c r="M75" s="26" t="s">
        <v>703</v>
      </c>
      <c r="N75" s="26"/>
      <c r="O75" s="28" t="n">
        <f aca="false">IF(N75&lt;&gt;"",N75,IF(M75="D",ROUNDUP(SQRT((AL75-AI75)^2+(AM75-AJ75)^2+(AN75-AK75)^2)*(1+'Design Basis'!$C$6),0),ROUNDUP((ABS(AL75-AI75)+ABS(AM75-AJ75)+ABS(AO75-AK75)+ABS(AO75-AN75))*(1+'Design Basis'!$C$4)+2*'Design Basis'!$C$5,0)))</f>
        <v>77</v>
      </c>
      <c r="P75" s="28" t="n">
        <f aca="false">ROUND(O75*'Design Basis'!$C$10,0)</f>
        <v>253</v>
      </c>
      <c r="Q75" s="28" t="n">
        <f aca="false">O75*K75*AQ75</f>
        <v>77</v>
      </c>
      <c r="R75" s="28" t="n">
        <f aca="false">ROUND(Q75*'Design Basis'!$C$10,0)</f>
        <v>253</v>
      </c>
      <c r="S75" s="29" t="n">
        <v>480</v>
      </c>
      <c r="T75" s="26" t="n">
        <v>3</v>
      </c>
      <c r="U75" s="29" t="n">
        <v>150</v>
      </c>
      <c r="V75" s="30" t="n">
        <v>0.85</v>
      </c>
      <c r="W75" s="28" t="n">
        <f aca="false">IF(OR(U75="",S75=""),"",IF(T75=3,U75*1000/(SQRT(3)*S75*V75),U75*1000/(S75*V75)))</f>
        <v>212.261128378539</v>
      </c>
      <c r="X75" s="30" t="n">
        <v>1.25</v>
      </c>
      <c r="Y75" s="28" t="n">
        <f aca="false">IF(W75="","",W75*IF(X75="",1,X75))</f>
        <v>265.326410473174</v>
      </c>
      <c r="Z75" s="28" t="n">
        <f aca="false">IF(OR(AS75="",AP75=""),"",AS75*AP75)</f>
        <v>334.4</v>
      </c>
      <c r="AA75" s="28" t="n">
        <f aca="false">IF(Z75="","",Z75*K75)</f>
        <v>334.4</v>
      </c>
      <c r="AB75" s="31" t="n">
        <f aca="false">IF(OR(Y75="",AA75=""),"",Y75/AA75)</f>
        <v>0.793440222706859</v>
      </c>
      <c r="AC75" s="31" t="n">
        <f aca="false">IF(OR(W75="",AT75=""),"",AT75*(W75/K75)*O75/1000/S75)</f>
        <v>0.00755914943438072</v>
      </c>
      <c r="AD75" s="31" t="n">
        <f aca="false">IF(W75="","",IFERROR(IF(INDEX('Design Basis'!$C$13:$C$21,MATCH(C75,'Design Basis'!$A$13:$A$21,0))="","",INDEX('Design Basis'!$C$13:$C$21,MATCH(C75,'Design Basis'!$A$13:$A$21,0))),""))</f>
        <v>0.03</v>
      </c>
      <c r="AE75" s="32" t="str">
        <f aca="false">IF(W75="","n/a",IF(AA75="","CHECK",IF(AND(AB75&lt;=1,OR(AC75="",AD75="",AC75&lt;=AD75)),"OK","CHECK")))</f>
        <v>OK</v>
      </c>
      <c r="AF75" s="28" t="n">
        <f aca="false">IF(AR75="","",K75*AQ75*PI()/4*AR75^2)</f>
        <v>3848.4510006475</v>
      </c>
      <c r="AG75" s="32" t="s">
        <v>847</v>
      </c>
      <c r="AI75" s="33" t="n">
        <f aca="false">INDEX(Equipment!$D$2:$D$153,MATCH(E75,Equipment!$A$2:$A$153,0))</f>
        <v>146</v>
      </c>
      <c r="AJ75" s="33" t="n">
        <f aca="false">INDEX(Equipment!$E$2:$E$153,MATCH(E75,Equipment!$A$2:$A$153,0))</f>
        <v>46</v>
      </c>
      <c r="AK75" s="33" t="n">
        <f aca="false">INDEX(Equipment!$F$2:$F$153,MATCH(E75,Equipment!$A$2:$A$153,0))</f>
        <v>0.5</v>
      </c>
      <c r="AL75" s="33" t="n">
        <f aca="false">INDEX(Equipment!$D$2:$D$153,MATCH(G75,Equipment!$A$2:$A$153,0))</f>
        <v>116</v>
      </c>
      <c r="AM75" s="33" t="n">
        <f aca="false">INDEX(Equipment!$E$2:$E$153,MATCH(G75,Equipment!$A$2:$A$153,0))</f>
        <v>32</v>
      </c>
      <c r="AN75" s="33" t="n">
        <f aca="false">INDEX(Equipment!$F$2:$F$153,MATCH(G75,Equipment!$A$2:$A$153,0))</f>
        <v>20.5</v>
      </c>
      <c r="AO75" s="33" t="n">
        <f aca="false">IF(INDEX(Raceways!$D$2:$D$18,MATCH(L75,Raceways!$A$2:$A$18,0))="",0,INDEX(Raceways!$D$2:$D$18,MATCH(L75,Raceways!$A$2:$A$18,0)))</f>
        <v>20</v>
      </c>
      <c r="AP75" s="34" t="n">
        <f aca="false">IF(INDEX(Raceways!$I$2:$I$18,MATCH(L75,Raceways!$A$2:$A$18,0))="","",INDEX(Raceways!$I$2:$I$18,MATCH(L75,Raceways!$A$2:$A$18,0)))</f>
        <v>0.88</v>
      </c>
      <c r="AQ75" s="27" t="n">
        <f aca="false">INDEX('Cable Types'!$D$2:$D$45,MATCH(I75,'Cable Types'!$A$2:$A$45,0))</f>
        <v>1</v>
      </c>
      <c r="AR75" s="27" t="n">
        <f aca="false">IF(INDEX('Cable Types'!$E$2:$E$45,MATCH(I75,'Cable Types'!$A$2:$A$45,0))="","",INDEX('Cable Types'!$E$2:$E$45,MATCH(I75,'Cable Types'!$A$2:$A$45,0)))</f>
        <v>70</v>
      </c>
      <c r="AS75" s="27" t="n">
        <f aca="false">IF(INDEX('Cable Types'!$F$2:$F$45,MATCH(I75,'Cable Types'!$A$2:$A$45,0))="","",INDEX('Cable Types'!$F$2:$F$45,MATCH(I75,'Cable Types'!$A$2:$A$45,0)))</f>
        <v>380</v>
      </c>
      <c r="AT75" s="35" t="n">
        <f aca="false">IF(INDEX('Cable Types'!$G$2:$G$45,MATCH(I75,'Cable Types'!$A$2:$A$45,0))="","",INDEX('Cable Types'!$G$2:$G$45,MATCH(I75,'Cable Types'!$A$2:$A$45,0)))</f>
        <v>0.222</v>
      </c>
    </row>
    <row r="76" customFormat="false" ht="15" hidden="false" customHeight="false" outlineLevel="0" collapsed="false">
      <c r="A76" s="26" t="s">
        <v>854</v>
      </c>
      <c r="B76" s="26" t="s">
        <v>236</v>
      </c>
      <c r="C76" s="26" t="s">
        <v>74</v>
      </c>
      <c r="D76" s="26" t="s">
        <v>855</v>
      </c>
      <c r="E76" s="26" t="s">
        <v>238</v>
      </c>
      <c r="F76" s="27" t="str">
        <f aca="false">INDEX(Equipment!$B$2:$B$153,MATCH(E76,Equipment!$A$2:$A$153,0))</f>
        <v>ACC fan VFD switchroom 480 V</v>
      </c>
      <c r="G76" s="26" t="s">
        <v>271</v>
      </c>
      <c r="H76" s="27" t="str">
        <f aca="false">INDEX(Equipment!$B$2:$B$153,MATCH(G76,Equipment!$A$2:$A$153,0))</f>
        <v>ACC fan 05 local disconnect switch (in sight of motor, NEC 430.102)</v>
      </c>
      <c r="I76" s="26" t="s">
        <v>585</v>
      </c>
      <c r="J76" s="27" t="str">
        <f aca="false">INDEX('Cable Types'!$B$2:$B$45,MATCH(I76,'Cable Types'!$A$2:$A$45,0))</f>
        <v>600/1000 V VFD 3/C 500 kcmil + 3 symmetrical G, Cu XLPE, Type MC-HL, CCW Al armor (Armor-X type), PVC jkt</v>
      </c>
      <c r="K76" s="26" t="n">
        <v>1</v>
      </c>
      <c r="L76" s="26" t="s">
        <v>846</v>
      </c>
      <c r="M76" s="26" t="s">
        <v>703</v>
      </c>
      <c r="N76" s="26"/>
      <c r="O76" s="28" t="n">
        <f aca="false">IF(N76&lt;&gt;"",N76,IF(M76="D",ROUNDUP(SQRT((AL76-AI76)^2+(AM76-AJ76)^2+(AN76-AK76)^2)*(1+'Design Basis'!$C$6),0),ROUNDUP((ABS(AL76-AI76)+ABS(AM76-AJ76)+ABS(AO76-AK76)+ABS(AO76-AN76))*(1+'Design Basis'!$C$4)+2*'Design Basis'!$C$5,0)))</f>
        <v>65</v>
      </c>
      <c r="P76" s="28" t="n">
        <f aca="false">ROUND(O76*'Design Basis'!$C$10,0)</f>
        <v>213</v>
      </c>
      <c r="Q76" s="28" t="n">
        <f aca="false">O76*K76*AQ76</f>
        <v>65</v>
      </c>
      <c r="R76" s="28" t="n">
        <f aca="false">ROUND(Q76*'Design Basis'!$C$10,0)</f>
        <v>213</v>
      </c>
      <c r="S76" s="29" t="n">
        <v>480</v>
      </c>
      <c r="T76" s="26" t="n">
        <v>3</v>
      </c>
      <c r="U76" s="29" t="n">
        <v>150</v>
      </c>
      <c r="V76" s="30" t="n">
        <v>0.85</v>
      </c>
      <c r="W76" s="28" t="n">
        <f aca="false">IF(OR(U76="",S76=""),"",IF(T76=3,U76*1000/(SQRT(3)*S76*V76),U76*1000/(S76*V76)))</f>
        <v>212.261128378539</v>
      </c>
      <c r="X76" s="30" t="n">
        <v>1.25</v>
      </c>
      <c r="Y76" s="28" t="n">
        <f aca="false">IF(W76="","",W76*IF(X76="",1,X76))</f>
        <v>265.326410473174</v>
      </c>
      <c r="Z76" s="28" t="n">
        <f aca="false">IF(OR(AS76="",AP76=""),"",AS76*AP76)</f>
        <v>334.4</v>
      </c>
      <c r="AA76" s="28" t="n">
        <f aca="false">IF(Z76="","",Z76*K76)</f>
        <v>334.4</v>
      </c>
      <c r="AB76" s="31" t="n">
        <f aca="false">IF(OR(Y76="",AA76=""),"",Y76/AA76)</f>
        <v>0.793440222706859</v>
      </c>
      <c r="AC76" s="31" t="n">
        <f aca="false">IF(OR(W76="",AT76=""),"",AT76*(W76/K76)*O76/1000/S76)</f>
        <v>0.00638110017187983</v>
      </c>
      <c r="AD76" s="31" t="n">
        <f aca="false">IF(W76="","",IFERROR(IF(INDEX('Design Basis'!$C$13:$C$21,MATCH(C76,'Design Basis'!$A$13:$A$21,0))="","",INDEX('Design Basis'!$C$13:$C$21,MATCH(C76,'Design Basis'!$A$13:$A$21,0))),""))</f>
        <v>0.03</v>
      </c>
      <c r="AE76" s="32" t="str">
        <f aca="false">IF(W76="","n/a",IF(AA76="","CHECK",IF(AND(AB76&lt;=1,OR(AC76="",AD76="",AC76&lt;=AD76)),"OK","CHECK")))</f>
        <v>OK</v>
      </c>
      <c r="AF76" s="28" t="n">
        <f aca="false">IF(AR76="","",K76*AQ76*PI()/4*AR76^2)</f>
        <v>3848.4510006475</v>
      </c>
      <c r="AG76" s="32" t="s">
        <v>847</v>
      </c>
      <c r="AI76" s="33" t="n">
        <f aca="false">INDEX(Equipment!$D$2:$D$153,MATCH(E76,Equipment!$A$2:$A$153,0))</f>
        <v>146</v>
      </c>
      <c r="AJ76" s="33" t="n">
        <f aca="false">INDEX(Equipment!$E$2:$E$153,MATCH(E76,Equipment!$A$2:$A$153,0))</f>
        <v>46</v>
      </c>
      <c r="AK76" s="33" t="n">
        <f aca="false">INDEX(Equipment!$F$2:$F$153,MATCH(E76,Equipment!$A$2:$A$153,0))</f>
        <v>0.5</v>
      </c>
      <c r="AL76" s="33" t="n">
        <f aca="false">INDEX(Equipment!$D$2:$D$153,MATCH(G76,Equipment!$A$2:$A$153,0))</f>
        <v>116</v>
      </c>
      <c r="AM76" s="33" t="n">
        <f aca="false">INDEX(Equipment!$E$2:$E$153,MATCH(G76,Equipment!$A$2:$A$153,0))</f>
        <v>43</v>
      </c>
      <c r="AN76" s="33" t="n">
        <f aca="false">INDEX(Equipment!$F$2:$F$153,MATCH(G76,Equipment!$A$2:$A$153,0))</f>
        <v>20.5</v>
      </c>
      <c r="AO76" s="33" t="n">
        <f aca="false">IF(INDEX(Raceways!$D$2:$D$18,MATCH(L76,Raceways!$A$2:$A$18,0))="",0,INDEX(Raceways!$D$2:$D$18,MATCH(L76,Raceways!$A$2:$A$18,0)))</f>
        <v>20</v>
      </c>
      <c r="AP76" s="34" t="n">
        <f aca="false">IF(INDEX(Raceways!$I$2:$I$18,MATCH(L76,Raceways!$A$2:$A$18,0))="","",INDEX(Raceways!$I$2:$I$18,MATCH(L76,Raceways!$A$2:$A$18,0)))</f>
        <v>0.88</v>
      </c>
      <c r="AQ76" s="27" t="n">
        <f aca="false">INDEX('Cable Types'!$D$2:$D$45,MATCH(I76,'Cable Types'!$A$2:$A$45,0))</f>
        <v>1</v>
      </c>
      <c r="AR76" s="27" t="n">
        <f aca="false">IF(INDEX('Cable Types'!$E$2:$E$45,MATCH(I76,'Cable Types'!$A$2:$A$45,0))="","",INDEX('Cable Types'!$E$2:$E$45,MATCH(I76,'Cable Types'!$A$2:$A$45,0)))</f>
        <v>70</v>
      </c>
      <c r="AS76" s="27" t="n">
        <f aca="false">IF(INDEX('Cable Types'!$F$2:$F$45,MATCH(I76,'Cable Types'!$A$2:$A$45,0))="","",INDEX('Cable Types'!$F$2:$F$45,MATCH(I76,'Cable Types'!$A$2:$A$45,0)))</f>
        <v>380</v>
      </c>
      <c r="AT76" s="35" t="n">
        <f aca="false">IF(INDEX('Cable Types'!$G$2:$G$45,MATCH(I76,'Cable Types'!$A$2:$A$45,0))="","",INDEX('Cable Types'!$G$2:$G$45,MATCH(I76,'Cable Types'!$A$2:$A$45,0)))</f>
        <v>0.222</v>
      </c>
    </row>
    <row r="77" customFormat="false" ht="15" hidden="false" customHeight="false" outlineLevel="0" collapsed="false">
      <c r="A77" s="26" t="s">
        <v>856</v>
      </c>
      <c r="B77" s="26" t="s">
        <v>236</v>
      </c>
      <c r="C77" s="26" t="s">
        <v>74</v>
      </c>
      <c r="D77" s="26" t="s">
        <v>857</v>
      </c>
      <c r="E77" s="26" t="s">
        <v>238</v>
      </c>
      <c r="F77" s="27" t="str">
        <f aca="false">INDEX(Equipment!$B$2:$B$153,MATCH(E77,Equipment!$A$2:$A$153,0))</f>
        <v>ACC fan VFD switchroom 480 V</v>
      </c>
      <c r="G77" s="26" t="s">
        <v>277</v>
      </c>
      <c r="H77" s="27" t="str">
        <f aca="false">INDEX(Equipment!$B$2:$B$153,MATCH(G77,Equipment!$A$2:$A$153,0))</f>
        <v>ACC fan 06 local disconnect switch (in sight of motor, NEC 430.102)</v>
      </c>
      <c r="I77" s="26" t="s">
        <v>585</v>
      </c>
      <c r="J77" s="27" t="str">
        <f aca="false">INDEX('Cable Types'!$B$2:$B$45,MATCH(I77,'Cable Types'!$A$2:$A$45,0))</f>
        <v>600/1000 V VFD 3/C 500 kcmil + 3 symmetrical G, Cu XLPE, Type MC-HL, CCW Al armor (Armor-X type), PVC jkt</v>
      </c>
      <c r="K77" s="26" t="n">
        <v>1</v>
      </c>
      <c r="L77" s="26" t="s">
        <v>846</v>
      </c>
      <c r="M77" s="26" t="s">
        <v>703</v>
      </c>
      <c r="N77" s="26"/>
      <c r="O77" s="28" t="n">
        <f aca="false">IF(N77&lt;&gt;"",N77,IF(M77="D",ROUNDUP(SQRT((AL77-AI77)^2+(AM77-AJ77)^2+(AN77-AK77)^2)*(1+'Design Basis'!$C$6),0),ROUNDUP((ABS(AL77-AI77)+ABS(AM77-AJ77)+ABS(AO77-AK77)+ABS(AO77-AN77))*(1+'Design Basis'!$C$4)+2*'Design Basis'!$C$5,0)))</f>
        <v>70</v>
      </c>
      <c r="P77" s="28" t="n">
        <f aca="false">ROUND(O77*'Design Basis'!$C$10,0)</f>
        <v>230</v>
      </c>
      <c r="Q77" s="28" t="n">
        <f aca="false">O77*K77*AQ77</f>
        <v>70</v>
      </c>
      <c r="R77" s="28" t="n">
        <f aca="false">ROUND(Q77*'Design Basis'!$C$10,0)</f>
        <v>230</v>
      </c>
      <c r="S77" s="29" t="n">
        <v>480</v>
      </c>
      <c r="T77" s="26" t="n">
        <v>3</v>
      </c>
      <c r="U77" s="29" t="n">
        <v>150</v>
      </c>
      <c r="V77" s="30" t="n">
        <v>0.85</v>
      </c>
      <c r="W77" s="28" t="n">
        <f aca="false">IF(OR(U77="",S77=""),"",IF(T77=3,U77*1000/(SQRT(3)*S77*V77),U77*1000/(S77*V77)))</f>
        <v>212.261128378539</v>
      </c>
      <c r="X77" s="30" t="n">
        <v>1.25</v>
      </c>
      <c r="Y77" s="28" t="n">
        <f aca="false">IF(W77="","",W77*IF(X77="",1,X77))</f>
        <v>265.326410473174</v>
      </c>
      <c r="Z77" s="28" t="n">
        <f aca="false">IF(OR(AS77="",AP77=""),"",AS77*AP77)</f>
        <v>334.4</v>
      </c>
      <c r="AA77" s="28" t="n">
        <f aca="false">IF(Z77="","",Z77*K77)</f>
        <v>334.4</v>
      </c>
      <c r="AB77" s="31" t="n">
        <f aca="false">IF(OR(Y77="",AA77=""),"",Y77/AA77)</f>
        <v>0.793440222706859</v>
      </c>
      <c r="AC77" s="31" t="n">
        <f aca="false">IF(OR(W77="",AT77=""),"",AT77*(W77/K77)*O77/1000/S77)</f>
        <v>0.0068719540312552</v>
      </c>
      <c r="AD77" s="31" t="n">
        <f aca="false">IF(W77="","",IFERROR(IF(INDEX('Design Basis'!$C$13:$C$21,MATCH(C77,'Design Basis'!$A$13:$A$21,0))="","",INDEX('Design Basis'!$C$13:$C$21,MATCH(C77,'Design Basis'!$A$13:$A$21,0))),""))</f>
        <v>0.03</v>
      </c>
      <c r="AE77" s="32" t="str">
        <f aca="false">IF(W77="","n/a",IF(AA77="","CHECK",IF(AND(AB77&lt;=1,OR(AC77="",AD77="",AC77&lt;=AD77)),"OK","CHECK")))</f>
        <v>OK</v>
      </c>
      <c r="AF77" s="28" t="n">
        <f aca="false">IF(AR77="","",K77*AQ77*PI()/4*AR77^2)</f>
        <v>3848.4510006475</v>
      </c>
      <c r="AG77" s="32" t="s">
        <v>847</v>
      </c>
      <c r="AI77" s="33" t="n">
        <f aca="false">INDEX(Equipment!$D$2:$D$153,MATCH(E77,Equipment!$A$2:$A$153,0))</f>
        <v>146</v>
      </c>
      <c r="AJ77" s="33" t="n">
        <f aca="false">INDEX(Equipment!$E$2:$E$153,MATCH(E77,Equipment!$A$2:$A$153,0))</f>
        <v>46</v>
      </c>
      <c r="AK77" s="33" t="n">
        <f aca="false">INDEX(Equipment!$F$2:$F$153,MATCH(E77,Equipment!$A$2:$A$153,0))</f>
        <v>0.5</v>
      </c>
      <c r="AL77" s="33" t="n">
        <f aca="false">INDEX(Equipment!$D$2:$D$153,MATCH(G77,Equipment!$A$2:$A$153,0))</f>
        <v>116</v>
      </c>
      <c r="AM77" s="33" t="n">
        <f aca="false">INDEX(Equipment!$E$2:$E$153,MATCH(G77,Equipment!$A$2:$A$153,0))</f>
        <v>54</v>
      </c>
      <c r="AN77" s="33" t="n">
        <f aca="false">INDEX(Equipment!$F$2:$F$153,MATCH(G77,Equipment!$A$2:$A$153,0))</f>
        <v>20.5</v>
      </c>
      <c r="AO77" s="33" t="n">
        <f aca="false">IF(INDEX(Raceways!$D$2:$D$18,MATCH(L77,Raceways!$A$2:$A$18,0))="",0,INDEX(Raceways!$D$2:$D$18,MATCH(L77,Raceways!$A$2:$A$18,0)))</f>
        <v>20</v>
      </c>
      <c r="AP77" s="34" t="n">
        <f aca="false">IF(INDEX(Raceways!$I$2:$I$18,MATCH(L77,Raceways!$A$2:$A$18,0))="","",INDEX(Raceways!$I$2:$I$18,MATCH(L77,Raceways!$A$2:$A$18,0)))</f>
        <v>0.88</v>
      </c>
      <c r="AQ77" s="27" t="n">
        <f aca="false">INDEX('Cable Types'!$D$2:$D$45,MATCH(I77,'Cable Types'!$A$2:$A$45,0))</f>
        <v>1</v>
      </c>
      <c r="AR77" s="27" t="n">
        <f aca="false">IF(INDEX('Cable Types'!$E$2:$E$45,MATCH(I77,'Cable Types'!$A$2:$A$45,0))="","",INDEX('Cable Types'!$E$2:$E$45,MATCH(I77,'Cable Types'!$A$2:$A$45,0)))</f>
        <v>70</v>
      </c>
      <c r="AS77" s="27" t="n">
        <f aca="false">IF(INDEX('Cable Types'!$F$2:$F$45,MATCH(I77,'Cable Types'!$A$2:$A$45,0))="","",INDEX('Cable Types'!$F$2:$F$45,MATCH(I77,'Cable Types'!$A$2:$A$45,0)))</f>
        <v>380</v>
      </c>
      <c r="AT77" s="35" t="n">
        <f aca="false">IF(INDEX('Cable Types'!$G$2:$G$45,MATCH(I77,'Cable Types'!$A$2:$A$45,0))="","",INDEX('Cable Types'!$G$2:$G$45,MATCH(I77,'Cable Types'!$A$2:$A$45,0)))</f>
        <v>0.222</v>
      </c>
    </row>
    <row r="78" customFormat="false" ht="15" hidden="false" customHeight="false" outlineLevel="0" collapsed="false">
      <c r="A78" s="26" t="s">
        <v>858</v>
      </c>
      <c r="B78" s="26" t="s">
        <v>236</v>
      </c>
      <c r="C78" s="26" t="s">
        <v>74</v>
      </c>
      <c r="D78" s="26" t="s">
        <v>859</v>
      </c>
      <c r="E78" s="26" t="s">
        <v>238</v>
      </c>
      <c r="F78" s="27" t="str">
        <f aca="false">INDEX(Equipment!$B$2:$B$153,MATCH(E78,Equipment!$A$2:$A$153,0))</f>
        <v>ACC fan VFD switchroom 480 V</v>
      </c>
      <c r="G78" s="26" t="s">
        <v>283</v>
      </c>
      <c r="H78" s="27" t="str">
        <f aca="false">INDEX(Equipment!$B$2:$B$153,MATCH(G78,Equipment!$A$2:$A$153,0))</f>
        <v>ACC fan 07 local disconnect switch (in sight of motor, NEC 430.102)</v>
      </c>
      <c r="I78" s="26" t="s">
        <v>585</v>
      </c>
      <c r="J78" s="27" t="str">
        <f aca="false">INDEX('Cable Types'!$B$2:$B$45,MATCH(I78,'Cable Types'!$A$2:$A$45,0))</f>
        <v>600/1000 V VFD 3/C 500 kcmil + 3 symmetrical G, Cu XLPE, Type MC-HL, CCW Al armor (Armor-X type), PVC jkt</v>
      </c>
      <c r="K78" s="26" t="n">
        <v>1</v>
      </c>
      <c r="L78" s="26" t="s">
        <v>846</v>
      </c>
      <c r="M78" s="26" t="s">
        <v>703</v>
      </c>
      <c r="N78" s="26"/>
      <c r="O78" s="28" t="n">
        <f aca="false">IF(N78&lt;&gt;"",N78,IF(M78="D",ROUNDUP(SQRT((AL78-AI78)^2+(AM78-AJ78)^2+(AN78-AK78)^2)*(1+'Design Basis'!$C$6),0),ROUNDUP((ABS(AL78-AI78)+ABS(AM78-AJ78)+ABS(AO78-AK78)+ABS(AO78-AN78))*(1+'Design Basis'!$C$4)+2*'Design Basis'!$C$5,0)))</f>
        <v>68</v>
      </c>
      <c r="P78" s="28" t="n">
        <f aca="false">ROUND(O78*'Design Basis'!$C$10,0)</f>
        <v>223</v>
      </c>
      <c r="Q78" s="28" t="n">
        <f aca="false">O78*K78*AQ78</f>
        <v>68</v>
      </c>
      <c r="R78" s="28" t="n">
        <f aca="false">ROUND(Q78*'Design Basis'!$C$10,0)</f>
        <v>223</v>
      </c>
      <c r="S78" s="29" t="n">
        <v>480</v>
      </c>
      <c r="T78" s="26" t="n">
        <v>3</v>
      </c>
      <c r="U78" s="29" t="n">
        <v>150</v>
      </c>
      <c r="V78" s="30" t="n">
        <v>0.85</v>
      </c>
      <c r="W78" s="28" t="n">
        <f aca="false">IF(OR(U78="",S78=""),"",IF(T78=3,U78*1000/(SQRT(3)*S78*V78),U78*1000/(S78*V78)))</f>
        <v>212.261128378539</v>
      </c>
      <c r="X78" s="30" t="n">
        <v>1.25</v>
      </c>
      <c r="Y78" s="28" t="n">
        <f aca="false">IF(W78="","",W78*IF(X78="",1,X78))</f>
        <v>265.326410473174</v>
      </c>
      <c r="Z78" s="28" t="n">
        <f aca="false">IF(OR(AS78="",AP78=""),"",AS78*AP78)</f>
        <v>334.4</v>
      </c>
      <c r="AA78" s="28" t="n">
        <f aca="false">IF(Z78="","",Z78*K78)</f>
        <v>334.4</v>
      </c>
      <c r="AB78" s="31" t="n">
        <f aca="false">IF(OR(Y78="",AA78=""),"",Y78/AA78)</f>
        <v>0.793440222706859</v>
      </c>
      <c r="AC78" s="31" t="n">
        <f aca="false">IF(OR(W78="",AT78=""),"",AT78*(W78/K78)*O78/1000/S78)</f>
        <v>0.00667561248750505</v>
      </c>
      <c r="AD78" s="31" t="n">
        <f aca="false">IF(W78="","",IFERROR(IF(INDEX('Design Basis'!$C$13:$C$21,MATCH(C78,'Design Basis'!$A$13:$A$21,0))="","",INDEX('Design Basis'!$C$13:$C$21,MATCH(C78,'Design Basis'!$A$13:$A$21,0))),""))</f>
        <v>0.03</v>
      </c>
      <c r="AE78" s="32" t="str">
        <f aca="false">IF(W78="","n/a",IF(AA78="","CHECK",IF(AND(AB78&lt;=1,OR(AC78="",AD78="",AC78&lt;=AD78)),"OK","CHECK")))</f>
        <v>OK</v>
      </c>
      <c r="AF78" s="28" t="n">
        <f aca="false">IF(AR78="","",K78*AQ78*PI()/4*AR78^2)</f>
        <v>3848.4510006475</v>
      </c>
      <c r="AG78" s="32" t="s">
        <v>847</v>
      </c>
      <c r="AI78" s="33" t="n">
        <f aca="false">INDEX(Equipment!$D$2:$D$153,MATCH(E78,Equipment!$A$2:$A$153,0))</f>
        <v>146</v>
      </c>
      <c r="AJ78" s="33" t="n">
        <f aca="false">INDEX(Equipment!$E$2:$E$153,MATCH(E78,Equipment!$A$2:$A$153,0))</f>
        <v>46</v>
      </c>
      <c r="AK78" s="33" t="n">
        <f aca="false">INDEX(Equipment!$F$2:$F$153,MATCH(E78,Equipment!$A$2:$A$153,0))</f>
        <v>0.5</v>
      </c>
      <c r="AL78" s="33" t="n">
        <f aca="false">INDEX(Equipment!$D$2:$D$153,MATCH(G78,Equipment!$A$2:$A$153,0))</f>
        <v>124</v>
      </c>
      <c r="AM78" s="33" t="n">
        <f aca="false">INDEX(Equipment!$E$2:$E$153,MATCH(G78,Equipment!$A$2:$A$153,0))</f>
        <v>32</v>
      </c>
      <c r="AN78" s="33" t="n">
        <f aca="false">INDEX(Equipment!$F$2:$F$153,MATCH(G78,Equipment!$A$2:$A$153,0))</f>
        <v>20.5</v>
      </c>
      <c r="AO78" s="33" t="n">
        <f aca="false">IF(INDEX(Raceways!$D$2:$D$18,MATCH(L78,Raceways!$A$2:$A$18,0))="",0,INDEX(Raceways!$D$2:$D$18,MATCH(L78,Raceways!$A$2:$A$18,0)))</f>
        <v>20</v>
      </c>
      <c r="AP78" s="34" t="n">
        <f aca="false">IF(INDEX(Raceways!$I$2:$I$18,MATCH(L78,Raceways!$A$2:$A$18,0))="","",INDEX(Raceways!$I$2:$I$18,MATCH(L78,Raceways!$A$2:$A$18,0)))</f>
        <v>0.88</v>
      </c>
      <c r="AQ78" s="27" t="n">
        <f aca="false">INDEX('Cable Types'!$D$2:$D$45,MATCH(I78,'Cable Types'!$A$2:$A$45,0))</f>
        <v>1</v>
      </c>
      <c r="AR78" s="27" t="n">
        <f aca="false">IF(INDEX('Cable Types'!$E$2:$E$45,MATCH(I78,'Cable Types'!$A$2:$A$45,0))="","",INDEX('Cable Types'!$E$2:$E$45,MATCH(I78,'Cable Types'!$A$2:$A$45,0)))</f>
        <v>70</v>
      </c>
      <c r="AS78" s="27" t="n">
        <f aca="false">IF(INDEX('Cable Types'!$F$2:$F$45,MATCH(I78,'Cable Types'!$A$2:$A$45,0))="","",INDEX('Cable Types'!$F$2:$F$45,MATCH(I78,'Cable Types'!$A$2:$A$45,0)))</f>
        <v>380</v>
      </c>
      <c r="AT78" s="35" t="n">
        <f aca="false">IF(INDEX('Cable Types'!$G$2:$G$45,MATCH(I78,'Cable Types'!$A$2:$A$45,0))="","",INDEX('Cable Types'!$G$2:$G$45,MATCH(I78,'Cable Types'!$A$2:$A$45,0)))</f>
        <v>0.222</v>
      </c>
    </row>
    <row r="79" customFormat="false" ht="15" hidden="false" customHeight="false" outlineLevel="0" collapsed="false">
      <c r="A79" s="26" t="s">
        <v>860</v>
      </c>
      <c r="B79" s="26" t="s">
        <v>236</v>
      </c>
      <c r="C79" s="26" t="s">
        <v>74</v>
      </c>
      <c r="D79" s="26" t="s">
        <v>861</v>
      </c>
      <c r="E79" s="26" t="s">
        <v>238</v>
      </c>
      <c r="F79" s="27" t="str">
        <f aca="false">INDEX(Equipment!$B$2:$B$153,MATCH(E79,Equipment!$A$2:$A$153,0))</f>
        <v>ACC fan VFD switchroom 480 V</v>
      </c>
      <c r="G79" s="26" t="s">
        <v>289</v>
      </c>
      <c r="H79" s="27" t="str">
        <f aca="false">INDEX(Equipment!$B$2:$B$153,MATCH(G79,Equipment!$A$2:$A$153,0))</f>
        <v>ACC fan 08 local disconnect switch (in sight of motor, NEC 430.102)</v>
      </c>
      <c r="I79" s="26" t="s">
        <v>585</v>
      </c>
      <c r="J79" s="27" t="str">
        <f aca="false">INDEX('Cable Types'!$B$2:$B$45,MATCH(I79,'Cable Types'!$A$2:$A$45,0))</f>
        <v>600/1000 V VFD 3/C 500 kcmil + 3 symmetrical G, Cu XLPE, Type MC-HL, CCW Al armor (Armor-X type), PVC jkt</v>
      </c>
      <c r="K79" s="26" t="n">
        <v>1</v>
      </c>
      <c r="L79" s="26" t="s">
        <v>846</v>
      </c>
      <c r="M79" s="26" t="s">
        <v>703</v>
      </c>
      <c r="N79" s="26"/>
      <c r="O79" s="28" t="n">
        <f aca="false">IF(N79&lt;&gt;"",N79,IF(M79="D",ROUNDUP(SQRT((AL79-AI79)^2+(AM79-AJ79)^2+(AN79-AK79)^2)*(1+'Design Basis'!$C$6),0),ROUNDUP((ABS(AL79-AI79)+ABS(AM79-AJ79)+ABS(AO79-AK79)+ABS(AO79-AN79))*(1+'Design Basis'!$C$4)+2*'Design Basis'!$C$5,0)))</f>
        <v>56</v>
      </c>
      <c r="P79" s="28" t="n">
        <f aca="false">ROUND(O79*'Design Basis'!$C$10,0)</f>
        <v>184</v>
      </c>
      <c r="Q79" s="28" t="n">
        <f aca="false">O79*K79*AQ79</f>
        <v>56</v>
      </c>
      <c r="R79" s="28" t="n">
        <f aca="false">ROUND(Q79*'Design Basis'!$C$10,0)</f>
        <v>184</v>
      </c>
      <c r="S79" s="29" t="n">
        <v>480</v>
      </c>
      <c r="T79" s="26" t="n">
        <v>3</v>
      </c>
      <c r="U79" s="29" t="n">
        <v>150</v>
      </c>
      <c r="V79" s="30" t="n">
        <v>0.85</v>
      </c>
      <c r="W79" s="28" t="n">
        <f aca="false">IF(OR(U79="",S79=""),"",IF(T79=3,U79*1000/(SQRT(3)*S79*V79),U79*1000/(S79*V79)))</f>
        <v>212.261128378539</v>
      </c>
      <c r="X79" s="30" t="n">
        <v>1.25</v>
      </c>
      <c r="Y79" s="28" t="n">
        <f aca="false">IF(W79="","",W79*IF(X79="",1,X79))</f>
        <v>265.326410473174</v>
      </c>
      <c r="Z79" s="28" t="n">
        <f aca="false">IF(OR(AS79="",AP79=""),"",AS79*AP79)</f>
        <v>334.4</v>
      </c>
      <c r="AA79" s="28" t="n">
        <f aca="false">IF(Z79="","",Z79*K79)</f>
        <v>334.4</v>
      </c>
      <c r="AB79" s="31" t="n">
        <f aca="false">IF(OR(Y79="",AA79=""),"",Y79/AA79)</f>
        <v>0.793440222706859</v>
      </c>
      <c r="AC79" s="31" t="n">
        <f aca="false">IF(OR(W79="",AT79=""),"",AT79*(W79/K79)*O79/1000/S79)</f>
        <v>0.00549756322500416</v>
      </c>
      <c r="AD79" s="31" t="n">
        <f aca="false">IF(W79="","",IFERROR(IF(INDEX('Design Basis'!$C$13:$C$21,MATCH(C79,'Design Basis'!$A$13:$A$21,0))="","",INDEX('Design Basis'!$C$13:$C$21,MATCH(C79,'Design Basis'!$A$13:$A$21,0))),""))</f>
        <v>0.03</v>
      </c>
      <c r="AE79" s="32" t="str">
        <f aca="false">IF(W79="","n/a",IF(AA79="","CHECK",IF(AND(AB79&lt;=1,OR(AC79="",AD79="",AC79&lt;=AD79)),"OK","CHECK")))</f>
        <v>OK</v>
      </c>
      <c r="AF79" s="28" t="n">
        <f aca="false">IF(AR79="","",K79*AQ79*PI()/4*AR79^2)</f>
        <v>3848.4510006475</v>
      </c>
      <c r="AG79" s="32" t="s">
        <v>847</v>
      </c>
      <c r="AI79" s="33" t="n">
        <f aca="false">INDEX(Equipment!$D$2:$D$153,MATCH(E79,Equipment!$A$2:$A$153,0))</f>
        <v>146</v>
      </c>
      <c r="AJ79" s="33" t="n">
        <f aca="false">INDEX(Equipment!$E$2:$E$153,MATCH(E79,Equipment!$A$2:$A$153,0))</f>
        <v>46</v>
      </c>
      <c r="AK79" s="33" t="n">
        <f aca="false">INDEX(Equipment!$F$2:$F$153,MATCH(E79,Equipment!$A$2:$A$153,0))</f>
        <v>0.5</v>
      </c>
      <c r="AL79" s="33" t="n">
        <f aca="false">INDEX(Equipment!$D$2:$D$153,MATCH(G79,Equipment!$A$2:$A$153,0))</f>
        <v>124</v>
      </c>
      <c r="AM79" s="33" t="n">
        <f aca="false">INDEX(Equipment!$E$2:$E$153,MATCH(G79,Equipment!$A$2:$A$153,0))</f>
        <v>43</v>
      </c>
      <c r="AN79" s="33" t="n">
        <f aca="false">INDEX(Equipment!$F$2:$F$153,MATCH(G79,Equipment!$A$2:$A$153,0))</f>
        <v>20.5</v>
      </c>
      <c r="AO79" s="33" t="n">
        <f aca="false">IF(INDEX(Raceways!$D$2:$D$18,MATCH(L79,Raceways!$A$2:$A$18,0))="",0,INDEX(Raceways!$D$2:$D$18,MATCH(L79,Raceways!$A$2:$A$18,0)))</f>
        <v>20</v>
      </c>
      <c r="AP79" s="34" t="n">
        <f aca="false">IF(INDEX(Raceways!$I$2:$I$18,MATCH(L79,Raceways!$A$2:$A$18,0))="","",INDEX(Raceways!$I$2:$I$18,MATCH(L79,Raceways!$A$2:$A$18,0)))</f>
        <v>0.88</v>
      </c>
      <c r="AQ79" s="27" t="n">
        <f aca="false">INDEX('Cable Types'!$D$2:$D$45,MATCH(I79,'Cable Types'!$A$2:$A$45,0))</f>
        <v>1</v>
      </c>
      <c r="AR79" s="27" t="n">
        <f aca="false">IF(INDEX('Cable Types'!$E$2:$E$45,MATCH(I79,'Cable Types'!$A$2:$A$45,0))="","",INDEX('Cable Types'!$E$2:$E$45,MATCH(I79,'Cable Types'!$A$2:$A$45,0)))</f>
        <v>70</v>
      </c>
      <c r="AS79" s="27" t="n">
        <f aca="false">IF(INDEX('Cable Types'!$F$2:$F$45,MATCH(I79,'Cable Types'!$A$2:$A$45,0))="","",INDEX('Cable Types'!$F$2:$F$45,MATCH(I79,'Cable Types'!$A$2:$A$45,0)))</f>
        <v>380</v>
      </c>
      <c r="AT79" s="35" t="n">
        <f aca="false">IF(INDEX('Cable Types'!$G$2:$G$45,MATCH(I79,'Cable Types'!$A$2:$A$45,0))="","",INDEX('Cable Types'!$G$2:$G$45,MATCH(I79,'Cable Types'!$A$2:$A$45,0)))</f>
        <v>0.222</v>
      </c>
    </row>
    <row r="80" customFormat="false" ht="15" hidden="false" customHeight="false" outlineLevel="0" collapsed="false">
      <c r="A80" s="26" t="s">
        <v>862</v>
      </c>
      <c r="B80" s="26" t="s">
        <v>236</v>
      </c>
      <c r="C80" s="26" t="s">
        <v>74</v>
      </c>
      <c r="D80" s="26" t="s">
        <v>863</v>
      </c>
      <c r="E80" s="26" t="s">
        <v>238</v>
      </c>
      <c r="F80" s="27" t="str">
        <f aca="false">INDEX(Equipment!$B$2:$B$153,MATCH(E80,Equipment!$A$2:$A$153,0))</f>
        <v>ACC fan VFD switchroom 480 V</v>
      </c>
      <c r="G80" s="26" t="s">
        <v>295</v>
      </c>
      <c r="H80" s="27" t="str">
        <f aca="false">INDEX(Equipment!$B$2:$B$153,MATCH(G80,Equipment!$A$2:$A$153,0))</f>
        <v>ACC fan 09 local disconnect switch (in sight of motor, NEC 430.102)</v>
      </c>
      <c r="I80" s="26" t="s">
        <v>585</v>
      </c>
      <c r="J80" s="27" t="str">
        <f aca="false">INDEX('Cable Types'!$B$2:$B$45,MATCH(I80,'Cable Types'!$A$2:$A$45,0))</f>
        <v>600/1000 V VFD 3/C 500 kcmil + 3 symmetrical G, Cu XLPE, Type MC-HL, CCW Al armor (Armor-X type), PVC jkt</v>
      </c>
      <c r="K80" s="26" t="n">
        <v>1</v>
      </c>
      <c r="L80" s="26" t="s">
        <v>846</v>
      </c>
      <c r="M80" s="26" t="s">
        <v>703</v>
      </c>
      <c r="N80" s="26"/>
      <c r="O80" s="28" t="n">
        <f aca="false">IF(N80&lt;&gt;"",N80,IF(M80="D",ROUNDUP(SQRT((AL80-AI80)^2+(AM80-AJ80)^2+(AN80-AK80)^2)*(1+'Design Basis'!$C$6),0),ROUNDUP((ABS(AL80-AI80)+ABS(AM80-AJ80)+ABS(AO80-AK80)+ABS(AO80-AN80))*(1+'Design Basis'!$C$4)+2*'Design Basis'!$C$5,0)))</f>
        <v>61</v>
      </c>
      <c r="P80" s="28" t="n">
        <f aca="false">ROUND(O80*'Design Basis'!$C$10,0)</f>
        <v>200</v>
      </c>
      <c r="Q80" s="28" t="n">
        <f aca="false">O80*K80*AQ80</f>
        <v>61</v>
      </c>
      <c r="R80" s="28" t="n">
        <f aca="false">ROUND(Q80*'Design Basis'!$C$10,0)</f>
        <v>200</v>
      </c>
      <c r="S80" s="29" t="n">
        <v>480</v>
      </c>
      <c r="T80" s="26" t="n">
        <v>3</v>
      </c>
      <c r="U80" s="29" t="n">
        <v>150</v>
      </c>
      <c r="V80" s="30" t="n">
        <v>0.85</v>
      </c>
      <c r="W80" s="28" t="n">
        <f aca="false">IF(OR(U80="",S80=""),"",IF(T80=3,U80*1000/(SQRT(3)*S80*V80),U80*1000/(S80*V80)))</f>
        <v>212.261128378539</v>
      </c>
      <c r="X80" s="30" t="n">
        <v>1.25</v>
      </c>
      <c r="Y80" s="28" t="n">
        <f aca="false">IF(W80="","",W80*IF(X80="",1,X80))</f>
        <v>265.326410473174</v>
      </c>
      <c r="Z80" s="28" t="n">
        <f aca="false">IF(OR(AS80="",AP80=""),"",AS80*AP80)</f>
        <v>334.4</v>
      </c>
      <c r="AA80" s="28" t="n">
        <f aca="false">IF(Z80="","",Z80*K80)</f>
        <v>334.4</v>
      </c>
      <c r="AB80" s="31" t="n">
        <f aca="false">IF(OR(Y80="",AA80=""),"",Y80/AA80)</f>
        <v>0.793440222706859</v>
      </c>
      <c r="AC80" s="31" t="n">
        <f aca="false">IF(OR(W80="",AT80=""),"",AT80*(W80/K80)*O80/1000/S80)</f>
        <v>0.00598841708437953</v>
      </c>
      <c r="AD80" s="31" t="n">
        <f aca="false">IF(W80="","",IFERROR(IF(INDEX('Design Basis'!$C$13:$C$21,MATCH(C80,'Design Basis'!$A$13:$A$21,0))="","",INDEX('Design Basis'!$C$13:$C$21,MATCH(C80,'Design Basis'!$A$13:$A$21,0))),""))</f>
        <v>0.03</v>
      </c>
      <c r="AE80" s="32" t="str">
        <f aca="false">IF(W80="","n/a",IF(AA80="","CHECK",IF(AND(AB80&lt;=1,OR(AC80="",AD80="",AC80&lt;=AD80)),"OK","CHECK")))</f>
        <v>OK</v>
      </c>
      <c r="AF80" s="28" t="n">
        <f aca="false">IF(AR80="","",K80*AQ80*PI()/4*AR80^2)</f>
        <v>3848.4510006475</v>
      </c>
      <c r="AG80" s="32" t="s">
        <v>847</v>
      </c>
      <c r="AI80" s="33" t="n">
        <f aca="false">INDEX(Equipment!$D$2:$D$153,MATCH(E80,Equipment!$A$2:$A$153,0))</f>
        <v>146</v>
      </c>
      <c r="AJ80" s="33" t="n">
        <f aca="false">INDEX(Equipment!$E$2:$E$153,MATCH(E80,Equipment!$A$2:$A$153,0))</f>
        <v>46</v>
      </c>
      <c r="AK80" s="33" t="n">
        <f aca="false">INDEX(Equipment!$F$2:$F$153,MATCH(E80,Equipment!$A$2:$A$153,0))</f>
        <v>0.5</v>
      </c>
      <c r="AL80" s="33" t="n">
        <f aca="false">INDEX(Equipment!$D$2:$D$153,MATCH(G80,Equipment!$A$2:$A$153,0))</f>
        <v>124</v>
      </c>
      <c r="AM80" s="33" t="n">
        <f aca="false">INDEX(Equipment!$E$2:$E$153,MATCH(G80,Equipment!$A$2:$A$153,0))</f>
        <v>54</v>
      </c>
      <c r="AN80" s="33" t="n">
        <f aca="false">INDEX(Equipment!$F$2:$F$153,MATCH(G80,Equipment!$A$2:$A$153,0))</f>
        <v>20.5</v>
      </c>
      <c r="AO80" s="33" t="n">
        <f aca="false">IF(INDEX(Raceways!$D$2:$D$18,MATCH(L80,Raceways!$A$2:$A$18,0))="",0,INDEX(Raceways!$D$2:$D$18,MATCH(L80,Raceways!$A$2:$A$18,0)))</f>
        <v>20</v>
      </c>
      <c r="AP80" s="34" t="n">
        <f aca="false">IF(INDEX(Raceways!$I$2:$I$18,MATCH(L80,Raceways!$A$2:$A$18,0))="","",INDEX(Raceways!$I$2:$I$18,MATCH(L80,Raceways!$A$2:$A$18,0)))</f>
        <v>0.88</v>
      </c>
      <c r="AQ80" s="27" t="n">
        <f aca="false">INDEX('Cable Types'!$D$2:$D$45,MATCH(I80,'Cable Types'!$A$2:$A$45,0))</f>
        <v>1</v>
      </c>
      <c r="AR80" s="27" t="n">
        <f aca="false">IF(INDEX('Cable Types'!$E$2:$E$45,MATCH(I80,'Cable Types'!$A$2:$A$45,0))="","",INDEX('Cable Types'!$E$2:$E$45,MATCH(I80,'Cable Types'!$A$2:$A$45,0)))</f>
        <v>70</v>
      </c>
      <c r="AS80" s="27" t="n">
        <f aca="false">IF(INDEX('Cable Types'!$F$2:$F$45,MATCH(I80,'Cable Types'!$A$2:$A$45,0))="","",INDEX('Cable Types'!$F$2:$F$45,MATCH(I80,'Cable Types'!$A$2:$A$45,0)))</f>
        <v>380</v>
      </c>
      <c r="AT80" s="35" t="n">
        <f aca="false">IF(INDEX('Cable Types'!$G$2:$G$45,MATCH(I80,'Cable Types'!$A$2:$A$45,0))="","",INDEX('Cable Types'!$G$2:$G$45,MATCH(I80,'Cable Types'!$A$2:$A$45,0)))</f>
        <v>0.222</v>
      </c>
    </row>
    <row r="81" customFormat="false" ht="15" hidden="false" customHeight="false" outlineLevel="0" collapsed="false">
      <c r="A81" s="26" t="s">
        <v>864</v>
      </c>
      <c r="B81" s="26" t="s">
        <v>236</v>
      </c>
      <c r="C81" s="26" t="s">
        <v>74</v>
      </c>
      <c r="D81" s="26" t="s">
        <v>865</v>
      </c>
      <c r="E81" s="26" t="s">
        <v>238</v>
      </c>
      <c r="F81" s="27" t="str">
        <f aca="false">INDEX(Equipment!$B$2:$B$153,MATCH(E81,Equipment!$A$2:$A$153,0))</f>
        <v>ACC fan VFD switchroom 480 V</v>
      </c>
      <c r="G81" s="26" t="s">
        <v>301</v>
      </c>
      <c r="H81" s="27" t="str">
        <f aca="false">INDEX(Equipment!$B$2:$B$153,MATCH(G81,Equipment!$A$2:$A$153,0))</f>
        <v>ACC fan 10 local disconnect switch (in sight of motor, NEC 430.102)</v>
      </c>
      <c r="I81" s="26" t="s">
        <v>585</v>
      </c>
      <c r="J81" s="27" t="str">
        <f aca="false">INDEX('Cable Types'!$B$2:$B$45,MATCH(I81,'Cable Types'!$A$2:$A$45,0))</f>
        <v>600/1000 V VFD 3/C 500 kcmil + 3 symmetrical G, Cu XLPE, Type MC-HL, CCW Al armor (Armor-X type), PVC jkt</v>
      </c>
      <c r="K81" s="26" t="n">
        <v>1</v>
      </c>
      <c r="L81" s="26" t="s">
        <v>846</v>
      </c>
      <c r="M81" s="26" t="s">
        <v>703</v>
      </c>
      <c r="N81" s="26"/>
      <c r="O81" s="28" t="n">
        <f aca="false">IF(N81&lt;&gt;"",N81,IF(M81="D",ROUNDUP(SQRT((AL81-AI81)^2+(AM81-AJ81)^2+(AN81-AK81)^2)*(1+'Design Basis'!$C$6),0),ROUNDUP((ABS(AL81-AI81)+ABS(AM81-AJ81)+ABS(AO81-AK81)+ABS(AO81-AN81))*(1+'Design Basis'!$C$4)+2*'Design Basis'!$C$5,0)))</f>
        <v>59</v>
      </c>
      <c r="P81" s="28" t="n">
        <f aca="false">ROUND(O81*'Design Basis'!$C$10,0)</f>
        <v>194</v>
      </c>
      <c r="Q81" s="28" t="n">
        <f aca="false">O81*K81*AQ81</f>
        <v>59</v>
      </c>
      <c r="R81" s="28" t="n">
        <f aca="false">ROUND(Q81*'Design Basis'!$C$10,0)</f>
        <v>194</v>
      </c>
      <c r="S81" s="29" t="n">
        <v>480</v>
      </c>
      <c r="T81" s="26" t="n">
        <v>3</v>
      </c>
      <c r="U81" s="29" t="n">
        <v>150</v>
      </c>
      <c r="V81" s="30" t="n">
        <v>0.85</v>
      </c>
      <c r="W81" s="28" t="n">
        <f aca="false">IF(OR(U81="",S81=""),"",IF(T81=3,U81*1000/(SQRT(3)*S81*V81),U81*1000/(S81*V81)))</f>
        <v>212.261128378539</v>
      </c>
      <c r="X81" s="30" t="n">
        <v>1.25</v>
      </c>
      <c r="Y81" s="28" t="n">
        <f aca="false">IF(W81="","",W81*IF(X81="",1,X81))</f>
        <v>265.326410473174</v>
      </c>
      <c r="Z81" s="28" t="n">
        <f aca="false">IF(OR(AS81="",AP81=""),"",AS81*AP81)</f>
        <v>334.4</v>
      </c>
      <c r="AA81" s="28" t="n">
        <f aca="false">IF(Z81="","",Z81*K81)</f>
        <v>334.4</v>
      </c>
      <c r="AB81" s="31" t="n">
        <f aca="false">IF(OR(Y81="",AA81=""),"",Y81/AA81)</f>
        <v>0.793440222706859</v>
      </c>
      <c r="AC81" s="31" t="n">
        <f aca="false">IF(OR(W81="",AT81=""),"",AT81*(W81/K81)*O81/1000/S81)</f>
        <v>0.00579207554062938</v>
      </c>
      <c r="AD81" s="31" t="n">
        <f aca="false">IF(W81="","",IFERROR(IF(INDEX('Design Basis'!$C$13:$C$21,MATCH(C81,'Design Basis'!$A$13:$A$21,0))="","",INDEX('Design Basis'!$C$13:$C$21,MATCH(C81,'Design Basis'!$A$13:$A$21,0))),""))</f>
        <v>0.03</v>
      </c>
      <c r="AE81" s="32" t="str">
        <f aca="false">IF(W81="","n/a",IF(AA81="","CHECK",IF(AND(AB81&lt;=1,OR(AC81="",AD81="",AC81&lt;=AD81)),"OK","CHECK")))</f>
        <v>OK</v>
      </c>
      <c r="AF81" s="28" t="n">
        <f aca="false">IF(AR81="","",K81*AQ81*PI()/4*AR81^2)</f>
        <v>3848.4510006475</v>
      </c>
      <c r="AG81" s="32" t="s">
        <v>847</v>
      </c>
      <c r="AI81" s="33" t="n">
        <f aca="false">INDEX(Equipment!$D$2:$D$153,MATCH(E81,Equipment!$A$2:$A$153,0))</f>
        <v>146</v>
      </c>
      <c r="AJ81" s="33" t="n">
        <f aca="false">INDEX(Equipment!$E$2:$E$153,MATCH(E81,Equipment!$A$2:$A$153,0))</f>
        <v>46</v>
      </c>
      <c r="AK81" s="33" t="n">
        <f aca="false">INDEX(Equipment!$F$2:$F$153,MATCH(E81,Equipment!$A$2:$A$153,0))</f>
        <v>0.5</v>
      </c>
      <c r="AL81" s="33" t="n">
        <f aca="false">INDEX(Equipment!$D$2:$D$153,MATCH(G81,Equipment!$A$2:$A$153,0))</f>
        <v>132</v>
      </c>
      <c r="AM81" s="33" t="n">
        <f aca="false">INDEX(Equipment!$E$2:$E$153,MATCH(G81,Equipment!$A$2:$A$153,0))</f>
        <v>32</v>
      </c>
      <c r="AN81" s="33" t="n">
        <f aca="false">INDEX(Equipment!$F$2:$F$153,MATCH(G81,Equipment!$A$2:$A$153,0))</f>
        <v>20.5</v>
      </c>
      <c r="AO81" s="33" t="n">
        <f aca="false">IF(INDEX(Raceways!$D$2:$D$18,MATCH(L81,Raceways!$A$2:$A$18,0))="",0,INDEX(Raceways!$D$2:$D$18,MATCH(L81,Raceways!$A$2:$A$18,0)))</f>
        <v>20</v>
      </c>
      <c r="AP81" s="34" t="n">
        <f aca="false">IF(INDEX(Raceways!$I$2:$I$18,MATCH(L81,Raceways!$A$2:$A$18,0))="","",INDEX(Raceways!$I$2:$I$18,MATCH(L81,Raceways!$A$2:$A$18,0)))</f>
        <v>0.88</v>
      </c>
      <c r="AQ81" s="27" t="n">
        <f aca="false">INDEX('Cable Types'!$D$2:$D$45,MATCH(I81,'Cable Types'!$A$2:$A$45,0))</f>
        <v>1</v>
      </c>
      <c r="AR81" s="27" t="n">
        <f aca="false">IF(INDEX('Cable Types'!$E$2:$E$45,MATCH(I81,'Cable Types'!$A$2:$A$45,0))="","",INDEX('Cable Types'!$E$2:$E$45,MATCH(I81,'Cable Types'!$A$2:$A$45,0)))</f>
        <v>70</v>
      </c>
      <c r="AS81" s="27" t="n">
        <f aca="false">IF(INDEX('Cable Types'!$F$2:$F$45,MATCH(I81,'Cable Types'!$A$2:$A$45,0))="","",INDEX('Cable Types'!$F$2:$F$45,MATCH(I81,'Cable Types'!$A$2:$A$45,0)))</f>
        <v>380</v>
      </c>
      <c r="AT81" s="35" t="n">
        <f aca="false">IF(INDEX('Cable Types'!$G$2:$G$45,MATCH(I81,'Cable Types'!$A$2:$A$45,0))="","",INDEX('Cable Types'!$G$2:$G$45,MATCH(I81,'Cable Types'!$A$2:$A$45,0)))</f>
        <v>0.222</v>
      </c>
    </row>
    <row r="82" customFormat="false" ht="15" hidden="false" customHeight="false" outlineLevel="0" collapsed="false">
      <c r="A82" s="26" t="s">
        <v>866</v>
      </c>
      <c r="B82" s="26" t="s">
        <v>236</v>
      </c>
      <c r="C82" s="26" t="s">
        <v>74</v>
      </c>
      <c r="D82" s="26" t="s">
        <v>867</v>
      </c>
      <c r="E82" s="26" t="s">
        <v>238</v>
      </c>
      <c r="F82" s="27" t="str">
        <f aca="false">INDEX(Equipment!$B$2:$B$153,MATCH(E82,Equipment!$A$2:$A$153,0))</f>
        <v>ACC fan VFD switchroom 480 V</v>
      </c>
      <c r="G82" s="26" t="s">
        <v>307</v>
      </c>
      <c r="H82" s="27" t="str">
        <f aca="false">INDEX(Equipment!$B$2:$B$153,MATCH(G82,Equipment!$A$2:$A$153,0))</f>
        <v>ACC fan 11 local disconnect switch (in sight of motor, NEC 430.102)</v>
      </c>
      <c r="I82" s="26" t="s">
        <v>585</v>
      </c>
      <c r="J82" s="27" t="str">
        <f aca="false">INDEX('Cable Types'!$B$2:$B$45,MATCH(I82,'Cable Types'!$A$2:$A$45,0))</f>
        <v>600/1000 V VFD 3/C 500 kcmil + 3 symmetrical G, Cu XLPE, Type MC-HL, CCW Al armor (Armor-X type), PVC jkt</v>
      </c>
      <c r="K82" s="26" t="n">
        <v>1</v>
      </c>
      <c r="L82" s="26" t="s">
        <v>846</v>
      </c>
      <c r="M82" s="26" t="s">
        <v>703</v>
      </c>
      <c r="N82" s="26"/>
      <c r="O82" s="28" t="n">
        <f aca="false">IF(N82&lt;&gt;"",N82,IF(M82="D",ROUNDUP(SQRT((AL82-AI82)^2+(AM82-AJ82)^2+(AN82-AK82)^2)*(1+'Design Basis'!$C$6),0),ROUNDUP((ABS(AL82-AI82)+ABS(AM82-AJ82)+ABS(AO82-AK82)+ABS(AO82-AN82))*(1+'Design Basis'!$C$4)+2*'Design Basis'!$C$5,0)))</f>
        <v>47</v>
      </c>
      <c r="P82" s="28" t="n">
        <f aca="false">ROUND(O82*'Design Basis'!$C$10,0)</f>
        <v>154</v>
      </c>
      <c r="Q82" s="28" t="n">
        <f aca="false">O82*K82*AQ82</f>
        <v>47</v>
      </c>
      <c r="R82" s="28" t="n">
        <f aca="false">ROUND(Q82*'Design Basis'!$C$10,0)</f>
        <v>154</v>
      </c>
      <c r="S82" s="29" t="n">
        <v>480</v>
      </c>
      <c r="T82" s="26" t="n">
        <v>3</v>
      </c>
      <c r="U82" s="29" t="n">
        <v>150</v>
      </c>
      <c r="V82" s="30" t="n">
        <v>0.85</v>
      </c>
      <c r="W82" s="28" t="n">
        <f aca="false">IF(OR(U82="",S82=""),"",IF(T82=3,U82*1000/(SQRT(3)*S82*V82),U82*1000/(S82*V82)))</f>
        <v>212.261128378539</v>
      </c>
      <c r="X82" s="30" t="n">
        <v>1.25</v>
      </c>
      <c r="Y82" s="28" t="n">
        <f aca="false">IF(W82="","",W82*IF(X82="",1,X82))</f>
        <v>265.326410473174</v>
      </c>
      <c r="Z82" s="28" t="n">
        <f aca="false">IF(OR(AS82="",AP82=""),"",AS82*AP82)</f>
        <v>334.4</v>
      </c>
      <c r="AA82" s="28" t="n">
        <f aca="false">IF(Z82="","",Z82*K82)</f>
        <v>334.4</v>
      </c>
      <c r="AB82" s="31" t="n">
        <f aca="false">IF(OR(Y82="",AA82=""),"",Y82/AA82)</f>
        <v>0.793440222706859</v>
      </c>
      <c r="AC82" s="31" t="n">
        <f aca="false">IF(OR(W82="",AT82=""),"",AT82*(W82/K82)*O82/1000/S82)</f>
        <v>0.00461402627812849</v>
      </c>
      <c r="AD82" s="31" t="n">
        <f aca="false">IF(W82="","",IFERROR(IF(INDEX('Design Basis'!$C$13:$C$21,MATCH(C82,'Design Basis'!$A$13:$A$21,0))="","",INDEX('Design Basis'!$C$13:$C$21,MATCH(C82,'Design Basis'!$A$13:$A$21,0))),""))</f>
        <v>0.03</v>
      </c>
      <c r="AE82" s="32" t="str">
        <f aca="false">IF(W82="","n/a",IF(AA82="","CHECK",IF(AND(AB82&lt;=1,OR(AC82="",AD82="",AC82&lt;=AD82)),"OK","CHECK")))</f>
        <v>OK</v>
      </c>
      <c r="AF82" s="28" t="n">
        <f aca="false">IF(AR82="","",K82*AQ82*PI()/4*AR82^2)</f>
        <v>3848.4510006475</v>
      </c>
      <c r="AG82" s="32" t="s">
        <v>847</v>
      </c>
      <c r="AI82" s="33" t="n">
        <f aca="false">INDEX(Equipment!$D$2:$D$153,MATCH(E82,Equipment!$A$2:$A$153,0))</f>
        <v>146</v>
      </c>
      <c r="AJ82" s="33" t="n">
        <f aca="false">INDEX(Equipment!$E$2:$E$153,MATCH(E82,Equipment!$A$2:$A$153,0))</f>
        <v>46</v>
      </c>
      <c r="AK82" s="33" t="n">
        <f aca="false">INDEX(Equipment!$F$2:$F$153,MATCH(E82,Equipment!$A$2:$A$153,0))</f>
        <v>0.5</v>
      </c>
      <c r="AL82" s="33" t="n">
        <f aca="false">INDEX(Equipment!$D$2:$D$153,MATCH(G82,Equipment!$A$2:$A$153,0))</f>
        <v>132</v>
      </c>
      <c r="AM82" s="33" t="n">
        <f aca="false">INDEX(Equipment!$E$2:$E$153,MATCH(G82,Equipment!$A$2:$A$153,0))</f>
        <v>43</v>
      </c>
      <c r="AN82" s="33" t="n">
        <f aca="false">INDEX(Equipment!$F$2:$F$153,MATCH(G82,Equipment!$A$2:$A$153,0))</f>
        <v>20.5</v>
      </c>
      <c r="AO82" s="33" t="n">
        <f aca="false">IF(INDEX(Raceways!$D$2:$D$18,MATCH(L82,Raceways!$A$2:$A$18,0))="",0,INDEX(Raceways!$D$2:$D$18,MATCH(L82,Raceways!$A$2:$A$18,0)))</f>
        <v>20</v>
      </c>
      <c r="AP82" s="34" t="n">
        <f aca="false">IF(INDEX(Raceways!$I$2:$I$18,MATCH(L82,Raceways!$A$2:$A$18,0))="","",INDEX(Raceways!$I$2:$I$18,MATCH(L82,Raceways!$A$2:$A$18,0)))</f>
        <v>0.88</v>
      </c>
      <c r="AQ82" s="27" t="n">
        <f aca="false">INDEX('Cable Types'!$D$2:$D$45,MATCH(I82,'Cable Types'!$A$2:$A$45,0))</f>
        <v>1</v>
      </c>
      <c r="AR82" s="27" t="n">
        <f aca="false">IF(INDEX('Cable Types'!$E$2:$E$45,MATCH(I82,'Cable Types'!$A$2:$A$45,0))="","",INDEX('Cable Types'!$E$2:$E$45,MATCH(I82,'Cable Types'!$A$2:$A$45,0)))</f>
        <v>70</v>
      </c>
      <c r="AS82" s="27" t="n">
        <f aca="false">IF(INDEX('Cable Types'!$F$2:$F$45,MATCH(I82,'Cable Types'!$A$2:$A$45,0))="","",INDEX('Cable Types'!$F$2:$F$45,MATCH(I82,'Cable Types'!$A$2:$A$45,0)))</f>
        <v>380</v>
      </c>
      <c r="AT82" s="35" t="n">
        <f aca="false">IF(INDEX('Cable Types'!$G$2:$G$45,MATCH(I82,'Cable Types'!$A$2:$A$45,0))="","",INDEX('Cable Types'!$G$2:$G$45,MATCH(I82,'Cable Types'!$A$2:$A$45,0)))</f>
        <v>0.222</v>
      </c>
    </row>
    <row r="83" customFormat="false" ht="15" hidden="false" customHeight="false" outlineLevel="0" collapsed="false">
      <c r="A83" s="26" t="s">
        <v>868</v>
      </c>
      <c r="B83" s="26" t="s">
        <v>236</v>
      </c>
      <c r="C83" s="26" t="s">
        <v>74</v>
      </c>
      <c r="D83" s="26" t="s">
        <v>869</v>
      </c>
      <c r="E83" s="26" t="s">
        <v>238</v>
      </c>
      <c r="F83" s="27" t="str">
        <f aca="false">INDEX(Equipment!$B$2:$B$153,MATCH(E83,Equipment!$A$2:$A$153,0))</f>
        <v>ACC fan VFD switchroom 480 V</v>
      </c>
      <c r="G83" s="26" t="s">
        <v>313</v>
      </c>
      <c r="H83" s="27" t="str">
        <f aca="false">INDEX(Equipment!$B$2:$B$153,MATCH(G83,Equipment!$A$2:$A$153,0))</f>
        <v>ACC fan 12 local disconnect switch (in sight of motor, NEC 430.102)</v>
      </c>
      <c r="I83" s="26" t="s">
        <v>585</v>
      </c>
      <c r="J83" s="27" t="str">
        <f aca="false">INDEX('Cable Types'!$B$2:$B$45,MATCH(I83,'Cable Types'!$A$2:$A$45,0))</f>
        <v>600/1000 V VFD 3/C 500 kcmil + 3 symmetrical G, Cu XLPE, Type MC-HL, CCW Al armor (Armor-X type), PVC jkt</v>
      </c>
      <c r="K83" s="26" t="n">
        <v>1</v>
      </c>
      <c r="L83" s="26" t="s">
        <v>846</v>
      </c>
      <c r="M83" s="26" t="s">
        <v>703</v>
      </c>
      <c r="N83" s="26"/>
      <c r="O83" s="28" t="n">
        <f aca="false">IF(N83&lt;&gt;"",N83,IF(M83="D",ROUNDUP(SQRT((AL83-AI83)^2+(AM83-AJ83)^2+(AN83-AK83)^2)*(1+'Design Basis'!$C$6),0),ROUNDUP((ABS(AL83-AI83)+ABS(AM83-AJ83)+ABS(AO83-AK83)+ABS(AO83-AN83))*(1+'Design Basis'!$C$4)+2*'Design Basis'!$C$5,0)))</f>
        <v>53</v>
      </c>
      <c r="P83" s="28" t="n">
        <f aca="false">ROUND(O83*'Design Basis'!$C$10,0)</f>
        <v>174</v>
      </c>
      <c r="Q83" s="28" t="n">
        <f aca="false">O83*K83*AQ83</f>
        <v>53</v>
      </c>
      <c r="R83" s="28" t="n">
        <f aca="false">ROUND(Q83*'Design Basis'!$C$10,0)</f>
        <v>174</v>
      </c>
      <c r="S83" s="29" t="n">
        <v>480</v>
      </c>
      <c r="T83" s="26" t="n">
        <v>3</v>
      </c>
      <c r="U83" s="29" t="n">
        <v>150</v>
      </c>
      <c r="V83" s="30" t="n">
        <v>0.85</v>
      </c>
      <c r="W83" s="28" t="n">
        <f aca="false">IF(OR(U83="",S83=""),"",IF(T83=3,U83*1000/(SQRT(3)*S83*V83),U83*1000/(S83*V83)))</f>
        <v>212.261128378539</v>
      </c>
      <c r="X83" s="30" t="n">
        <v>1.25</v>
      </c>
      <c r="Y83" s="28" t="n">
        <f aca="false">IF(W83="","",W83*IF(X83="",1,X83))</f>
        <v>265.326410473174</v>
      </c>
      <c r="Z83" s="28" t="n">
        <f aca="false">IF(OR(AS83="",AP83=""),"",AS83*AP83)</f>
        <v>334.4</v>
      </c>
      <c r="AA83" s="28" t="n">
        <f aca="false">IF(Z83="","",Z83*K83)</f>
        <v>334.4</v>
      </c>
      <c r="AB83" s="31" t="n">
        <f aca="false">IF(OR(Y83="",AA83=""),"",Y83/AA83)</f>
        <v>0.793440222706859</v>
      </c>
      <c r="AC83" s="31" t="n">
        <f aca="false">IF(OR(W83="",AT83=""),"",AT83*(W83/K83)*O83/1000/S83)</f>
        <v>0.00520305090937894</v>
      </c>
      <c r="AD83" s="31" t="n">
        <f aca="false">IF(W83="","",IFERROR(IF(INDEX('Design Basis'!$C$13:$C$21,MATCH(C83,'Design Basis'!$A$13:$A$21,0))="","",INDEX('Design Basis'!$C$13:$C$21,MATCH(C83,'Design Basis'!$A$13:$A$21,0))),""))</f>
        <v>0.03</v>
      </c>
      <c r="AE83" s="32" t="str">
        <f aca="false">IF(W83="","n/a",IF(AA83="","CHECK",IF(AND(AB83&lt;=1,OR(AC83="",AD83="",AC83&lt;=AD83)),"OK","CHECK")))</f>
        <v>OK</v>
      </c>
      <c r="AF83" s="28" t="n">
        <f aca="false">IF(AR83="","",K83*AQ83*PI()/4*AR83^2)</f>
        <v>3848.4510006475</v>
      </c>
      <c r="AG83" s="32" t="s">
        <v>847</v>
      </c>
      <c r="AI83" s="33" t="n">
        <f aca="false">INDEX(Equipment!$D$2:$D$153,MATCH(E83,Equipment!$A$2:$A$153,0))</f>
        <v>146</v>
      </c>
      <c r="AJ83" s="33" t="n">
        <f aca="false">INDEX(Equipment!$E$2:$E$153,MATCH(E83,Equipment!$A$2:$A$153,0))</f>
        <v>46</v>
      </c>
      <c r="AK83" s="33" t="n">
        <f aca="false">INDEX(Equipment!$F$2:$F$153,MATCH(E83,Equipment!$A$2:$A$153,0))</f>
        <v>0.5</v>
      </c>
      <c r="AL83" s="33" t="n">
        <f aca="false">INDEX(Equipment!$D$2:$D$153,MATCH(G83,Equipment!$A$2:$A$153,0))</f>
        <v>132</v>
      </c>
      <c r="AM83" s="33" t="n">
        <f aca="false">INDEX(Equipment!$E$2:$E$153,MATCH(G83,Equipment!$A$2:$A$153,0))</f>
        <v>54</v>
      </c>
      <c r="AN83" s="33" t="n">
        <f aca="false">INDEX(Equipment!$F$2:$F$153,MATCH(G83,Equipment!$A$2:$A$153,0))</f>
        <v>20.5</v>
      </c>
      <c r="AO83" s="33" t="n">
        <f aca="false">IF(INDEX(Raceways!$D$2:$D$18,MATCH(L83,Raceways!$A$2:$A$18,0))="",0,INDEX(Raceways!$D$2:$D$18,MATCH(L83,Raceways!$A$2:$A$18,0)))</f>
        <v>20</v>
      </c>
      <c r="AP83" s="34" t="n">
        <f aca="false">IF(INDEX(Raceways!$I$2:$I$18,MATCH(L83,Raceways!$A$2:$A$18,0))="","",INDEX(Raceways!$I$2:$I$18,MATCH(L83,Raceways!$A$2:$A$18,0)))</f>
        <v>0.88</v>
      </c>
      <c r="AQ83" s="27" t="n">
        <f aca="false">INDEX('Cable Types'!$D$2:$D$45,MATCH(I83,'Cable Types'!$A$2:$A$45,0))</f>
        <v>1</v>
      </c>
      <c r="AR83" s="27" t="n">
        <f aca="false">IF(INDEX('Cable Types'!$E$2:$E$45,MATCH(I83,'Cable Types'!$A$2:$A$45,0))="","",INDEX('Cable Types'!$E$2:$E$45,MATCH(I83,'Cable Types'!$A$2:$A$45,0)))</f>
        <v>70</v>
      </c>
      <c r="AS83" s="27" t="n">
        <f aca="false">IF(INDEX('Cable Types'!$F$2:$F$45,MATCH(I83,'Cable Types'!$A$2:$A$45,0))="","",INDEX('Cable Types'!$F$2:$F$45,MATCH(I83,'Cable Types'!$A$2:$A$45,0)))</f>
        <v>380</v>
      </c>
      <c r="AT83" s="35" t="n">
        <f aca="false">IF(INDEX('Cable Types'!$G$2:$G$45,MATCH(I83,'Cable Types'!$A$2:$A$45,0))="","",INDEX('Cable Types'!$G$2:$G$45,MATCH(I83,'Cable Types'!$A$2:$A$45,0)))</f>
        <v>0.222</v>
      </c>
    </row>
    <row r="84" customFormat="false" ht="15" hidden="false" customHeight="false" outlineLevel="0" collapsed="false">
      <c r="A84" s="26" t="s">
        <v>870</v>
      </c>
      <c r="B84" s="26" t="s">
        <v>236</v>
      </c>
      <c r="C84" s="26" t="s">
        <v>74</v>
      </c>
      <c r="D84" s="26" t="s">
        <v>871</v>
      </c>
      <c r="E84" s="26" t="s">
        <v>238</v>
      </c>
      <c r="F84" s="27" t="str">
        <f aca="false">INDEX(Equipment!$B$2:$B$153,MATCH(E84,Equipment!$A$2:$A$153,0))</f>
        <v>ACC fan VFD switchroom 480 V</v>
      </c>
      <c r="G84" s="26" t="s">
        <v>319</v>
      </c>
      <c r="H84" s="27" t="str">
        <f aca="false">INDEX(Equipment!$B$2:$B$153,MATCH(G84,Equipment!$A$2:$A$153,0))</f>
        <v>ACC fan 13 local disconnect switch (in sight of motor, NEC 430.102)</v>
      </c>
      <c r="I84" s="26" t="s">
        <v>585</v>
      </c>
      <c r="J84" s="27" t="str">
        <f aca="false">INDEX('Cable Types'!$B$2:$B$45,MATCH(I84,'Cable Types'!$A$2:$A$45,0))</f>
        <v>600/1000 V VFD 3/C 500 kcmil + 3 symmetrical G, Cu XLPE, Type MC-HL, CCW Al armor (Armor-X type), PVC jkt</v>
      </c>
      <c r="K84" s="26" t="n">
        <v>1</v>
      </c>
      <c r="L84" s="26" t="s">
        <v>846</v>
      </c>
      <c r="M84" s="26" t="s">
        <v>703</v>
      </c>
      <c r="N84" s="26"/>
      <c r="O84" s="28" t="n">
        <f aca="false">IF(N84&lt;&gt;"",N84,IF(M84="D",ROUNDUP(SQRT((AL84-AI84)^2+(AM84-AJ84)^2+(AN84-AK84)^2)*(1+'Design Basis'!$C$6),0),ROUNDUP((ABS(AL84-AI84)+ABS(AM84-AJ84)+ABS(AO84-AK84)+ABS(AO84-AN84))*(1+'Design Basis'!$C$4)+2*'Design Basis'!$C$5,0)))</f>
        <v>50</v>
      </c>
      <c r="P84" s="28" t="n">
        <f aca="false">ROUND(O84*'Design Basis'!$C$10,0)</f>
        <v>164</v>
      </c>
      <c r="Q84" s="28" t="n">
        <f aca="false">O84*K84*AQ84</f>
        <v>50</v>
      </c>
      <c r="R84" s="28" t="n">
        <f aca="false">ROUND(Q84*'Design Basis'!$C$10,0)</f>
        <v>164</v>
      </c>
      <c r="S84" s="29" t="n">
        <v>480</v>
      </c>
      <c r="T84" s="26" t="n">
        <v>3</v>
      </c>
      <c r="U84" s="29" t="n">
        <v>150</v>
      </c>
      <c r="V84" s="30" t="n">
        <v>0.85</v>
      </c>
      <c r="W84" s="28" t="n">
        <f aca="false">IF(OR(U84="",S84=""),"",IF(T84=3,U84*1000/(SQRT(3)*S84*V84),U84*1000/(S84*V84)))</f>
        <v>212.261128378539</v>
      </c>
      <c r="X84" s="30" t="n">
        <v>1.25</v>
      </c>
      <c r="Y84" s="28" t="n">
        <f aca="false">IF(W84="","",W84*IF(X84="",1,X84))</f>
        <v>265.326410473174</v>
      </c>
      <c r="Z84" s="28" t="n">
        <f aca="false">IF(OR(AS84="",AP84=""),"",AS84*AP84)</f>
        <v>334.4</v>
      </c>
      <c r="AA84" s="28" t="n">
        <f aca="false">IF(Z84="","",Z84*K84)</f>
        <v>334.4</v>
      </c>
      <c r="AB84" s="31" t="n">
        <f aca="false">IF(OR(Y84="",AA84=""),"",Y84/AA84)</f>
        <v>0.793440222706859</v>
      </c>
      <c r="AC84" s="31" t="n">
        <f aca="false">IF(OR(W84="",AT84=""),"",AT84*(W84/K84)*O84/1000/S84)</f>
        <v>0.00490853859375371</v>
      </c>
      <c r="AD84" s="31" t="n">
        <f aca="false">IF(W84="","",IFERROR(IF(INDEX('Design Basis'!$C$13:$C$21,MATCH(C84,'Design Basis'!$A$13:$A$21,0))="","",INDEX('Design Basis'!$C$13:$C$21,MATCH(C84,'Design Basis'!$A$13:$A$21,0))),""))</f>
        <v>0.03</v>
      </c>
      <c r="AE84" s="32" t="str">
        <f aca="false">IF(W84="","n/a",IF(AA84="","CHECK",IF(AND(AB84&lt;=1,OR(AC84="",AD84="",AC84&lt;=AD84)),"OK","CHECK")))</f>
        <v>OK</v>
      </c>
      <c r="AF84" s="28" t="n">
        <f aca="false">IF(AR84="","",K84*AQ84*PI()/4*AR84^2)</f>
        <v>3848.4510006475</v>
      </c>
      <c r="AG84" s="32" t="s">
        <v>847</v>
      </c>
      <c r="AI84" s="33" t="n">
        <f aca="false">INDEX(Equipment!$D$2:$D$153,MATCH(E84,Equipment!$A$2:$A$153,0))</f>
        <v>146</v>
      </c>
      <c r="AJ84" s="33" t="n">
        <f aca="false">INDEX(Equipment!$E$2:$E$153,MATCH(E84,Equipment!$A$2:$A$153,0))</f>
        <v>46</v>
      </c>
      <c r="AK84" s="33" t="n">
        <f aca="false">INDEX(Equipment!$F$2:$F$153,MATCH(E84,Equipment!$A$2:$A$153,0))</f>
        <v>0.5</v>
      </c>
      <c r="AL84" s="33" t="n">
        <f aca="false">INDEX(Equipment!$D$2:$D$153,MATCH(G84,Equipment!$A$2:$A$153,0))</f>
        <v>140</v>
      </c>
      <c r="AM84" s="33" t="n">
        <f aca="false">INDEX(Equipment!$E$2:$E$153,MATCH(G84,Equipment!$A$2:$A$153,0))</f>
        <v>32</v>
      </c>
      <c r="AN84" s="33" t="n">
        <f aca="false">INDEX(Equipment!$F$2:$F$153,MATCH(G84,Equipment!$A$2:$A$153,0))</f>
        <v>20.5</v>
      </c>
      <c r="AO84" s="33" t="n">
        <f aca="false">IF(INDEX(Raceways!$D$2:$D$18,MATCH(L84,Raceways!$A$2:$A$18,0))="",0,INDEX(Raceways!$D$2:$D$18,MATCH(L84,Raceways!$A$2:$A$18,0)))</f>
        <v>20</v>
      </c>
      <c r="AP84" s="34" t="n">
        <f aca="false">IF(INDEX(Raceways!$I$2:$I$18,MATCH(L84,Raceways!$A$2:$A$18,0))="","",INDEX(Raceways!$I$2:$I$18,MATCH(L84,Raceways!$A$2:$A$18,0)))</f>
        <v>0.88</v>
      </c>
      <c r="AQ84" s="27" t="n">
        <f aca="false">INDEX('Cable Types'!$D$2:$D$45,MATCH(I84,'Cable Types'!$A$2:$A$45,0))</f>
        <v>1</v>
      </c>
      <c r="AR84" s="27" t="n">
        <f aca="false">IF(INDEX('Cable Types'!$E$2:$E$45,MATCH(I84,'Cable Types'!$A$2:$A$45,0))="","",INDEX('Cable Types'!$E$2:$E$45,MATCH(I84,'Cable Types'!$A$2:$A$45,0)))</f>
        <v>70</v>
      </c>
      <c r="AS84" s="27" t="n">
        <f aca="false">IF(INDEX('Cable Types'!$F$2:$F$45,MATCH(I84,'Cable Types'!$A$2:$A$45,0))="","",INDEX('Cable Types'!$F$2:$F$45,MATCH(I84,'Cable Types'!$A$2:$A$45,0)))</f>
        <v>380</v>
      </c>
      <c r="AT84" s="35" t="n">
        <f aca="false">IF(INDEX('Cable Types'!$G$2:$G$45,MATCH(I84,'Cable Types'!$A$2:$A$45,0))="","",INDEX('Cable Types'!$G$2:$G$45,MATCH(I84,'Cable Types'!$A$2:$A$45,0)))</f>
        <v>0.222</v>
      </c>
    </row>
    <row r="85" customFormat="false" ht="15" hidden="false" customHeight="false" outlineLevel="0" collapsed="false">
      <c r="A85" s="26" t="s">
        <v>872</v>
      </c>
      <c r="B85" s="26" t="s">
        <v>236</v>
      </c>
      <c r="C85" s="26" t="s">
        <v>74</v>
      </c>
      <c r="D85" s="26" t="s">
        <v>873</v>
      </c>
      <c r="E85" s="26" t="s">
        <v>238</v>
      </c>
      <c r="F85" s="27" t="str">
        <f aca="false">INDEX(Equipment!$B$2:$B$153,MATCH(E85,Equipment!$A$2:$A$153,0))</f>
        <v>ACC fan VFD switchroom 480 V</v>
      </c>
      <c r="G85" s="26" t="s">
        <v>325</v>
      </c>
      <c r="H85" s="27" t="str">
        <f aca="false">INDEX(Equipment!$B$2:$B$153,MATCH(G85,Equipment!$A$2:$A$153,0))</f>
        <v>ACC fan 14 local disconnect switch (in sight of motor, NEC 430.102)</v>
      </c>
      <c r="I85" s="26" t="s">
        <v>585</v>
      </c>
      <c r="J85" s="27" t="str">
        <f aca="false">INDEX('Cable Types'!$B$2:$B$45,MATCH(I85,'Cable Types'!$A$2:$A$45,0))</f>
        <v>600/1000 V VFD 3/C 500 kcmil + 3 symmetrical G, Cu XLPE, Type MC-HL, CCW Al armor (Armor-X type), PVC jkt</v>
      </c>
      <c r="K85" s="26" t="n">
        <v>1</v>
      </c>
      <c r="L85" s="26" t="s">
        <v>846</v>
      </c>
      <c r="M85" s="26" t="s">
        <v>703</v>
      </c>
      <c r="N85" s="26"/>
      <c r="O85" s="28" t="n">
        <f aca="false">IF(N85&lt;&gt;"",N85,IF(M85="D",ROUNDUP(SQRT((AL85-AI85)^2+(AM85-AJ85)^2+(AN85-AK85)^2)*(1+'Design Basis'!$C$6),0),ROUNDUP((ABS(AL85-AI85)+ABS(AM85-AJ85)+ABS(AO85-AK85)+ABS(AO85-AN85))*(1+'Design Basis'!$C$4)+2*'Design Basis'!$C$5,0)))</f>
        <v>38</v>
      </c>
      <c r="P85" s="28" t="n">
        <f aca="false">ROUND(O85*'Design Basis'!$C$10,0)</f>
        <v>125</v>
      </c>
      <c r="Q85" s="28" t="n">
        <f aca="false">O85*K85*AQ85</f>
        <v>38</v>
      </c>
      <c r="R85" s="28" t="n">
        <f aca="false">ROUND(Q85*'Design Basis'!$C$10,0)</f>
        <v>125</v>
      </c>
      <c r="S85" s="29" t="n">
        <v>480</v>
      </c>
      <c r="T85" s="26" t="n">
        <v>3</v>
      </c>
      <c r="U85" s="29" t="n">
        <v>150</v>
      </c>
      <c r="V85" s="30" t="n">
        <v>0.85</v>
      </c>
      <c r="W85" s="28" t="n">
        <f aca="false">IF(OR(U85="",S85=""),"",IF(T85=3,U85*1000/(SQRT(3)*S85*V85),U85*1000/(S85*V85)))</f>
        <v>212.261128378539</v>
      </c>
      <c r="X85" s="30" t="n">
        <v>1.25</v>
      </c>
      <c r="Y85" s="28" t="n">
        <f aca="false">IF(W85="","",W85*IF(X85="",1,X85))</f>
        <v>265.326410473174</v>
      </c>
      <c r="Z85" s="28" t="n">
        <f aca="false">IF(OR(AS85="",AP85=""),"",AS85*AP85)</f>
        <v>334.4</v>
      </c>
      <c r="AA85" s="28" t="n">
        <f aca="false">IF(Z85="","",Z85*K85)</f>
        <v>334.4</v>
      </c>
      <c r="AB85" s="31" t="n">
        <f aca="false">IF(OR(Y85="",AA85=""),"",Y85/AA85)</f>
        <v>0.793440222706859</v>
      </c>
      <c r="AC85" s="31" t="n">
        <f aca="false">IF(OR(W85="",AT85=""),"",AT85*(W85/K85)*O85/1000/S85)</f>
        <v>0.00373048933125282</v>
      </c>
      <c r="AD85" s="31" t="n">
        <f aca="false">IF(W85="","",IFERROR(IF(INDEX('Design Basis'!$C$13:$C$21,MATCH(C85,'Design Basis'!$A$13:$A$21,0))="","",INDEX('Design Basis'!$C$13:$C$21,MATCH(C85,'Design Basis'!$A$13:$A$21,0))),""))</f>
        <v>0.03</v>
      </c>
      <c r="AE85" s="32" t="str">
        <f aca="false">IF(W85="","n/a",IF(AA85="","CHECK",IF(AND(AB85&lt;=1,OR(AC85="",AD85="",AC85&lt;=AD85)),"OK","CHECK")))</f>
        <v>OK</v>
      </c>
      <c r="AF85" s="28" t="n">
        <f aca="false">IF(AR85="","",K85*AQ85*PI()/4*AR85^2)</f>
        <v>3848.4510006475</v>
      </c>
      <c r="AG85" s="32" t="s">
        <v>847</v>
      </c>
      <c r="AI85" s="33" t="n">
        <f aca="false">INDEX(Equipment!$D$2:$D$153,MATCH(E85,Equipment!$A$2:$A$153,0))</f>
        <v>146</v>
      </c>
      <c r="AJ85" s="33" t="n">
        <f aca="false">INDEX(Equipment!$E$2:$E$153,MATCH(E85,Equipment!$A$2:$A$153,0))</f>
        <v>46</v>
      </c>
      <c r="AK85" s="33" t="n">
        <f aca="false">INDEX(Equipment!$F$2:$F$153,MATCH(E85,Equipment!$A$2:$A$153,0))</f>
        <v>0.5</v>
      </c>
      <c r="AL85" s="33" t="n">
        <f aca="false">INDEX(Equipment!$D$2:$D$153,MATCH(G85,Equipment!$A$2:$A$153,0))</f>
        <v>140</v>
      </c>
      <c r="AM85" s="33" t="n">
        <f aca="false">INDEX(Equipment!$E$2:$E$153,MATCH(G85,Equipment!$A$2:$A$153,0))</f>
        <v>43</v>
      </c>
      <c r="AN85" s="33" t="n">
        <f aca="false">INDEX(Equipment!$F$2:$F$153,MATCH(G85,Equipment!$A$2:$A$153,0))</f>
        <v>20.5</v>
      </c>
      <c r="AO85" s="33" t="n">
        <f aca="false">IF(INDEX(Raceways!$D$2:$D$18,MATCH(L85,Raceways!$A$2:$A$18,0))="",0,INDEX(Raceways!$D$2:$D$18,MATCH(L85,Raceways!$A$2:$A$18,0)))</f>
        <v>20</v>
      </c>
      <c r="AP85" s="34" t="n">
        <f aca="false">IF(INDEX(Raceways!$I$2:$I$18,MATCH(L85,Raceways!$A$2:$A$18,0))="","",INDEX(Raceways!$I$2:$I$18,MATCH(L85,Raceways!$A$2:$A$18,0)))</f>
        <v>0.88</v>
      </c>
      <c r="AQ85" s="27" t="n">
        <f aca="false">INDEX('Cable Types'!$D$2:$D$45,MATCH(I85,'Cable Types'!$A$2:$A$45,0))</f>
        <v>1</v>
      </c>
      <c r="AR85" s="27" t="n">
        <f aca="false">IF(INDEX('Cable Types'!$E$2:$E$45,MATCH(I85,'Cable Types'!$A$2:$A$45,0))="","",INDEX('Cable Types'!$E$2:$E$45,MATCH(I85,'Cable Types'!$A$2:$A$45,0)))</f>
        <v>70</v>
      </c>
      <c r="AS85" s="27" t="n">
        <f aca="false">IF(INDEX('Cable Types'!$F$2:$F$45,MATCH(I85,'Cable Types'!$A$2:$A$45,0))="","",INDEX('Cable Types'!$F$2:$F$45,MATCH(I85,'Cable Types'!$A$2:$A$45,0)))</f>
        <v>380</v>
      </c>
      <c r="AT85" s="35" t="n">
        <f aca="false">IF(INDEX('Cable Types'!$G$2:$G$45,MATCH(I85,'Cable Types'!$A$2:$A$45,0))="","",INDEX('Cable Types'!$G$2:$G$45,MATCH(I85,'Cable Types'!$A$2:$A$45,0)))</f>
        <v>0.222</v>
      </c>
    </row>
    <row r="86" customFormat="false" ht="15" hidden="false" customHeight="false" outlineLevel="0" collapsed="false">
      <c r="A86" s="26" t="s">
        <v>874</v>
      </c>
      <c r="B86" s="26" t="s">
        <v>236</v>
      </c>
      <c r="C86" s="26" t="s">
        <v>74</v>
      </c>
      <c r="D86" s="26" t="s">
        <v>875</v>
      </c>
      <c r="E86" s="26" t="s">
        <v>238</v>
      </c>
      <c r="F86" s="27" t="str">
        <f aca="false">INDEX(Equipment!$B$2:$B$153,MATCH(E86,Equipment!$A$2:$A$153,0))</f>
        <v>ACC fan VFD switchroom 480 V</v>
      </c>
      <c r="G86" s="26" t="s">
        <v>331</v>
      </c>
      <c r="H86" s="27" t="str">
        <f aca="false">INDEX(Equipment!$B$2:$B$153,MATCH(G86,Equipment!$A$2:$A$153,0))</f>
        <v>ACC fan 15 local disconnect switch (in sight of motor, NEC 430.102)</v>
      </c>
      <c r="I86" s="26" t="s">
        <v>585</v>
      </c>
      <c r="J86" s="27" t="str">
        <f aca="false">INDEX('Cable Types'!$B$2:$B$45,MATCH(I86,'Cable Types'!$A$2:$A$45,0))</f>
        <v>600/1000 V VFD 3/C 500 kcmil + 3 symmetrical G, Cu XLPE, Type MC-HL, CCW Al armor (Armor-X type), PVC jkt</v>
      </c>
      <c r="K86" s="26" t="n">
        <v>1</v>
      </c>
      <c r="L86" s="26" t="s">
        <v>846</v>
      </c>
      <c r="M86" s="26" t="s">
        <v>703</v>
      </c>
      <c r="N86" s="26"/>
      <c r="O86" s="28" t="n">
        <f aca="false">IF(N86&lt;&gt;"",N86,IF(M86="D",ROUNDUP(SQRT((AL86-AI86)^2+(AM86-AJ86)^2+(AN86-AK86)^2)*(1+'Design Basis'!$C$6),0),ROUNDUP((ABS(AL86-AI86)+ABS(AM86-AJ86)+ABS(AO86-AK86)+ABS(AO86-AN86))*(1+'Design Basis'!$C$4)+2*'Design Basis'!$C$5,0)))</f>
        <v>44</v>
      </c>
      <c r="P86" s="28" t="n">
        <f aca="false">ROUND(O86*'Design Basis'!$C$10,0)</f>
        <v>144</v>
      </c>
      <c r="Q86" s="28" t="n">
        <f aca="false">O86*K86*AQ86</f>
        <v>44</v>
      </c>
      <c r="R86" s="28" t="n">
        <f aca="false">ROUND(Q86*'Design Basis'!$C$10,0)</f>
        <v>144</v>
      </c>
      <c r="S86" s="29" t="n">
        <v>480</v>
      </c>
      <c r="T86" s="26" t="n">
        <v>3</v>
      </c>
      <c r="U86" s="29" t="n">
        <v>150</v>
      </c>
      <c r="V86" s="30" t="n">
        <v>0.85</v>
      </c>
      <c r="W86" s="28" t="n">
        <f aca="false">IF(OR(U86="",S86=""),"",IF(T86=3,U86*1000/(SQRT(3)*S86*V86),U86*1000/(S86*V86)))</f>
        <v>212.261128378539</v>
      </c>
      <c r="X86" s="30" t="n">
        <v>1.25</v>
      </c>
      <c r="Y86" s="28" t="n">
        <f aca="false">IF(W86="","",W86*IF(X86="",1,X86))</f>
        <v>265.326410473174</v>
      </c>
      <c r="Z86" s="28" t="n">
        <f aca="false">IF(OR(AS86="",AP86=""),"",AS86*AP86)</f>
        <v>334.4</v>
      </c>
      <c r="AA86" s="28" t="n">
        <f aca="false">IF(Z86="","",Z86*K86)</f>
        <v>334.4</v>
      </c>
      <c r="AB86" s="31" t="n">
        <f aca="false">IF(OR(Y86="",AA86=""),"",Y86/AA86)</f>
        <v>0.793440222706859</v>
      </c>
      <c r="AC86" s="31" t="n">
        <f aca="false">IF(OR(W86="",AT86=""),"",AT86*(W86/K86)*O86/1000/S86)</f>
        <v>0.00431951396250327</v>
      </c>
      <c r="AD86" s="31" t="n">
        <f aca="false">IF(W86="","",IFERROR(IF(INDEX('Design Basis'!$C$13:$C$21,MATCH(C86,'Design Basis'!$A$13:$A$21,0))="","",INDEX('Design Basis'!$C$13:$C$21,MATCH(C86,'Design Basis'!$A$13:$A$21,0))),""))</f>
        <v>0.03</v>
      </c>
      <c r="AE86" s="32" t="str">
        <f aca="false">IF(W86="","n/a",IF(AA86="","CHECK",IF(AND(AB86&lt;=1,OR(AC86="",AD86="",AC86&lt;=AD86)),"OK","CHECK")))</f>
        <v>OK</v>
      </c>
      <c r="AF86" s="28" t="n">
        <f aca="false">IF(AR86="","",K86*AQ86*PI()/4*AR86^2)</f>
        <v>3848.4510006475</v>
      </c>
      <c r="AG86" s="32" t="s">
        <v>847</v>
      </c>
      <c r="AI86" s="33" t="n">
        <f aca="false">INDEX(Equipment!$D$2:$D$153,MATCH(E86,Equipment!$A$2:$A$153,0))</f>
        <v>146</v>
      </c>
      <c r="AJ86" s="33" t="n">
        <f aca="false">INDEX(Equipment!$E$2:$E$153,MATCH(E86,Equipment!$A$2:$A$153,0))</f>
        <v>46</v>
      </c>
      <c r="AK86" s="33" t="n">
        <f aca="false">INDEX(Equipment!$F$2:$F$153,MATCH(E86,Equipment!$A$2:$A$153,0))</f>
        <v>0.5</v>
      </c>
      <c r="AL86" s="33" t="n">
        <f aca="false">INDEX(Equipment!$D$2:$D$153,MATCH(G86,Equipment!$A$2:$A$153,0))</f>
        <v>140</v>
      </c>
      <c r="AM86" s="33" t="n">
        <f aca="false">INDEX(Equipment!$E$2:$E$153,MATCH(G86,Equipment!$A$2:$A$153,0))</f>
        <v>54</v>
      </c>
      <c r="AN86" s="33" t="n">
        <f aca="false">INDEX(Equipment!$F$2:$F$153,MATCH(G86,Equipment!$A$2:$A$153,0))</f>
        <v>20.5</v>
      </c>
      <c r="AO86" s="33" t="n">
        <f aca="false">IF(INDEX(Raceways!$D$2:$D$18,MATCH(L86,Raceways!$A$2:$A$18,0))="",0,INDEX(Raceways!$D$2:$D$18,MATCH(L86,Raceways!$A$2:$A$18,0)))</f>
        <v>20</v>
      </c>
      <c r="AP86" s="34" t="n">
        <f aca="false">IF(INDEX(Raceways!$I$2:$I$18,MATCH(L86,Raceways!$A$2:$A$18,0))="","",INDEX(Raceways!$I$2:$I$18,MATCH(L86,Raceways!$A$2:$A$18,0)))</f>
        <v>0.88</v>
      </c>
      <c r="AQ86" s="27" t="n">
        <f aca="false">INDEX('Cable Types'!$D$2:$D$45,MATCH(I86,'Cable Types'!$A$2:$A$45,0))</f>
        <v>1</v>
      </c>
      <c r="AR86" s="27" t="n">
        <f aca="false">IF(INDEX('Cable Types'!$E$2:$E$45,MATCH(I86,'Cable Types'!$A$2:$A$45,0))="","",INDEX('Cable Types'!$E$2:$E$45,MATCH(I86,'Cable Types'!$A$2:$A$45,0)))</f>
        <v>70</v>
      </c>
      <c r="AS86" s="27" t="n">
        <f aca="false">IF(INDEX('Cable Types'!$F$2:$F$45,MATCH(I86,'Cable Types'!$A$2:$A$45,0))="","",INDEX('Cable Types'!$F$2:$F$45,MATCH(I86,'Cable Types'!$A$2:$A$45,0)))</f>
        <v>380</v>
      </c>
      <c r="AT86" s="35" t="n">
        <f aca="false">IF(INDEX('Cable Types'!$G$2:$G$45,MATCH(I86,'Cable Types'!$A$2:$A$45,0))="","",INDEX('Cable Types'!$G$2:$G$45,MATCH(I86,'Cable Types'!$A$2:$A$45,0)))</f>
        <v>0.222</v>
      </c>
    </row>
    <row r="87" customFormat="false" ht="15" hidden="false" customHeight="false" outlineLevel="0" collapsed="false">
      <c r="A87" s="26" t="s">
        <v>876</v>
      </c>
      <c r="B87" s="26" t="s">
        <v>236</v>
      </c>
      <c r="C87" s="26" t="s">
        <v>74</v>
      </c>
      <c r="D87" s="26" t="s">
        <v>877</v>
      </c>
      <c r="E87" s="26" t="s">
        <v>247</v>
      </c>
      <c r="F87" s="27" t="str">
        <f aca="false">INDEX(Equipment!$B$2:$B$153,MATCH(E87,Equipment!$A$2:$A$153,0))</f>
        <v>ACC fan 01 local disconnect switch (in sight of motor, NEC 430.102)</v>
      </c>
      <c r="G87" s="26" t="s">
        <v>244</v>
      </c>
      <c r="H87" s="27" t="str">
        <f aca="false">INDEX(Equipment!$B$2:$B$153,MATCH(G87,Equipment!$A$2:$A$153,0))</f>
        <v>ACC fan motor 01, 150 kW 480 V (VFD)</v>
      </c>
      <c r="I87" s="26" t="s">
        <v>587</v>
      </c>
      <c r="J87" s="27" t="str">
        <f aca="false">INDEX('Cable Types'!$B$2:$B$45,MATCH(I87,'Cable Types'!$A$2:$A$45,0))</f>
        <v>1000 V 3/C 2/0 AWG + 3 symmetrical G, flexible tinned Cu XHHW-2, foil + braid shield, TPE jkt, Type TC-ER, NFPA 79 (Machine Flex type)</v>
      </c>
      <c r="K87" s="26" t="n">
        <v>2</v>
      </c>
      <c r="L87" s="26" t="s">
        <v>714</v>
      </c>
      <c r="M87" s="26" t="s">
        <v>703</v>
      </c>
      <c r="N87" s="26" t="n">
        <v>6</v>
      </c>
      <c r="O87" s="28" t="n">
        <f aca="false">IF(N87&lt;&gt;"",N87,IF(M87="D",ROUNDUP(SQRT((AL87-AI87)^2+(AM87-AJ87)^2+(AN87-AK87)^2)*(1+'Design Basis'!$C$6),0),ROUNDUP((ABS(AL87-AI87)+ABS(AM87-AJ87)+ABS(AO87-AK87)+ABS(AO87-AN87))*(1+'Design Basis'!$C$4)+2*'Design Basis'!$C$5,0)))</f>
        <v>6</v>
      </c>
      <c r="P87" s="28" t="n">
        <f aca="false">ROUND(O87*'Design Basis'!$C$10,0)</f>
        <v>20</v>
      </c>
      <c r="Q87" s="28" t="n">
        <f aca="false">O87*K87*AQ87</f>
        <v>12</v>
      </c>
      <c r="R87" s="28" t="n">
        <f aca="false">ROUND(Q87*'Design Basis'!$C$10,0)</f>
        <v>39</v>
      </c>
      <c r="S87" s="29" t="n">
        <v>480</v>
      </c>
      <c r="T87" s="26" t="n">
        <v>3</v>
      </c>
      <c r="U87" s="29" t="n">
        <v>150</v>
      </c>
      <c r="V87" s="30" t="n">
        <v>0.85</v>
      </c>
      <c r="W87" s="28" t="n">
        <f aca="false">IF(OR(U87="",S87=""),"",IF(T87=3,U87*1000/(SQRT(3)*S87*V87),U87*1000/(S87*V87)))</f>
        <v>212.261128378539</v>
      </c>
      <c r="X87" s="30" t="n">
        <v>1.25</v>
      </c>
      <c r="Y87" s="28" t="n">
        <f aca="false">IF(W87="","",W87*IF(X87="",1,X87))</f>
        <v>265.326410473174</v>
      </c>
      <c r="Z87" s="28" t="n">
        <f aca="false">IF(OR(AS87="",AP87=""),"",AS87*AP87)</f>
        <v>154</v>
      </c>
      <c r="AA87" s="28" t="n">
        <f aca="false">IF(Z87="","",Z87*K87)</f>
        <v>308</v>
      </c>
      <c r="AB87" s="31" t="n">
        <f aca="false">IF(OR(Y87="",AA87=""),"",Y87/AA87)</f>
        <v>0.861449384653161</v>
      </c>
      <c r="AC87" s="31" t="n">
        <f aca="false">IF(OR(W87="",AT87=""),"",AT87*(W87/K87)*O87/1000/S87)</f>
        <v>0.000753527005743813</v>
      </c>
      <c r="AD87" s="31" t="n">
        <f aca="false">IF(W87="","",IFERROR(IF(INDEX('Design Basis'!$C$13:$C$21,MATCH(C87,'Design Basis'!$A$13:$A$21,0))="","",INDEX('Design Basis'!$C$13:$C$21,MATCH(C87,'Design Basis'!$A$13:$A$21,0))),""))</f>
        <v>0.03</v>
      </c>
      <c r="AE87" s="32" t="str">
        <f aca="false">IF(W87="","n/a",IF(AA87="","CHECK",IF(AND(AB87&lt;=1,OR(AC87="",AD87="",AC87&lt;=AD87)),"OK","CHECK")))</f>
        <v>OK</v>
      </c>
      <c r="AF87" s="28" t="n">
        <f aca="false">IF(AR87="","",K87*AQ87*PI()/4*AR87^2)</f>
        <v>2268.22989589183</v>
      </c>
      <c r="AG87" s="32" t="s">
        <v>878</v>
      </c>
      <c r="AI87" s="33" t="n">
        <f aca="false">INDEX(Equipment!$D$2:$D$153,MATCH(E87,Equipment!$A$2:$A$153,0))</f>
        <v>108</v>
      </c>
      <c r="AJ87" s="33" t="n">
        <f aca="false">INDEX(Equipment!$E$2:$E$153,MATCH(E87,Equipment!$A$2:$A$153,0))</f>
        <v>32</v>
      </c>
      <c r="AK87" s="33" t="n">
        <f aca="false">INDEX(Equipment!$F$2:$F$153,MATCH(E87,Equipment!$A$2:$A$153,0))</f>
        <v>20.5</v>
      </c>
      <c r="AL87" s="33" t="n">
        <f aca="false">INDEX(Equipment!$D$2:$D$153,MATCH(G87,Equipment!$A$2:$A$153,0))</f>
        <v>104</v>
      </c>
      <c r="AM87" s="33" t="n">
        <f aca="false">INDEX(Equipment!$E$2:$E$153,MATCH(G87,Equipment!$A$2:$A$153,0))</f>
        <v>32</v>
      </c>
      <c r="AN87" s="33" t="n">
        <f aca="false">INDEX(Equipment!$F$2:$F$153,MATCH(G87,Equipment!$A$2:$A$153,0))</f>
        <v>20.5</v>
      </c>
      <c r="AO87" s="33" t="n">
        <f aca="false">IF(INDEX(Raceways!$D$2:$D$18,MATCH(L87,Raceways!$A$2:$A$18,0))="",0,INDEX(Raceways!$D$2:$D$18,MATCH(L87,Raceways!$A$2:$A$18,0)))</f>
        <v>1</v>
      </c>
      <c r="AP87" s="34" t="n">
        <f aca="false">IF(INDEX(Raceways!$I$2:$I$18,MATCH(L87,Raceways!$A$2:$A$18,0))="","",INDEX(Raceways!$I$2:$I$18,MATCH(L87,Raceways!$A$2:$A$18,0)))</f>
        <v>0.88</v>
      </c>
      <c r="AQ87" s="27" t="n">
        <f aca="false">INDEX('Cable Types'!$D$2:$D$45,MATCH(I87,'Cable Types'!$A$2:$A$45,0))</f>
        <v>1</v>
      </c>
      <c r="AR87" s="27" t="n">
        <f aca="false">IF(INDEX('Cable Types'!$E$2:$E$45,MATCH(I87,'Cable Types'!$A$2:$A$45,0))="","",INDEX('Cable Types'!$E$2:$E$45,MATCH(I87,'Cable Types'!$A$2:$A$45,0)))</f>
        <v>38</v>
      </c>
      <c r="AS87" s="27" t="n">
        <f aca="false">IF(INDEX('Cable Types'!$F$2:$F$45,MATCH(I87,'Cable Types'!$A$2:$A$45,0))="","",INDEX('Cable Types'!$F$2:$F$45,MATCH(I87,'Cable Types'!$A$2:$A$45,0)))</f>
        <v>175</v>
      </c>
      <c r="AT87" s="35" t="n">
        <f aca="false">IF(INDEX('Cable Types'!$G$2:$G$45,MATCH(I87,'Cable Types'!$A$2:$A$45,0))="","",INDEX('Cable Types'!$G$2:$G$45,MATCH(I87,'Cable Types'!$A$2:$A$45,0)))</f>
        <v>0.568</v>
      </c>
    </row>
    <row r="88" customFormat="false" ht="15" hidden="false" customHeight="false" outlineLevel="0" collapsed="false">
      <c r="A88" s="26" t="s">
        <v>879</v>
      </c>
      <c r="B88" s="26" t="s">
        <v>236</v>
      </c>
      <c r="C88" s="26" t="s">
        <v>74</v>
      </c>
      <c r="D88" s="26" t="s">
        <v>880</v>
      </c>
      <c r="E88" s="26" t="s">
        <v>253</v>
      </c>
      <c r="F88" s="27" t="str">
        <f aca="false">INDEX(Equipment!$B$2:$B$153,MATCH(E88,Equipment!$A$2:$A$153,0))</f>
        <v>ACC fan 02 local disconnect switch (in sight of motor, NEC 430.102)</v>
      </c>
      <c r="G88" s="26" t="s">
        <v>250</v>
      </c>
      <c r="H88" s="27" t="str">
        <f aca="false">INDEX(Equipment!$B$2:$B$153,MATCH(G88,Equipment!$A$2:$A$153,0))</f>
        <v>ACC fan motor 02, 150 kW 480 V (VFD)</v>
      </c>
      <c r="I88" s="26" t="s">
        <v>587</v>
      </c>
      <c r="J88" s="27" t="str">
        <f aca="false">INDEX('Cable Types'!$B$2:$B$45,MATCH(I88,'Cable Types'!$A$2:$A$45,0))</f>
        <v>1000 V 3/C 2/0 AWG + 3 symmetrical G, flexible tinned Cu XHHW-2, foil + braid shield, TPE jkt, Type TC-ER, NFPA 79 (Machine Flex type)</v>
      </c>
      <c r="K88" s="26" t="n">
        <v>2</v>
      </c>
      <c r="L88" s="26" t="s">
        <v>714</v>
      </c>
      <c r="M88" s="26" t="s">
        <v>703</v>
      </c>
      <c r="N88" s="26" t="n">
        <v>6</v>
      </c>
      <c r="O88" s="28" t="n">
        <f aca="false">IF(N88&lt;&gt;"",N88,IF(M88="D",ROUNDUP(SQRT((AL88-AI88)^2+(AM88-AJ88)^2+(AN88-AK88)^2)*(1+'Design Basis'!$C$6),0),ROUNDUP((ABS(AL88-AI88)+ABS(AM88-AJ88)+ABS(AO88-AK88)+ABS(AO88-AN88))*(1+'Design Basis'!$C$4)+2*'Design Basis'!$C$5,0)))</f>
        <v>6</v>
      </c>
      <c r="P88" s="28" t="n">
        <f aca="false">ROUND(O88*'Design Basis'!$C$10,0)</f>
        <v>20</v>
      </c>
      <c r="Q88" s="28" t="n">
        <f aca="false">O88*K88*AQ88</f>
        <v>12</v>
      </c>
      <c r="R88" s="28" t="n">
        <f aca="false">ROUND(Q88*'Design Basis'!$C$10,0)</f>
        <v>39</v>
      </c>
      <c r="S88" s="29" t="n">
        <v>480</v>
      </c>
      <c r="T88" s="26" t="n">
        <v>3</v>
      </c>
      <c r="U88" s="29" t="n">
        <v>150</v>
      </c>
      <c r="V88" s="30" t="n">
        <v>0.85</v>
      </c>
      <c r="W88" s="28" t="n">
        <f aca="false">IF(OR(U88="",S88=""),"",IF(T88=3,U88*1000/(SQRT(3)*S88*V88),U88*1000/(S88*V88)))</f>
        <v>212.261128378539</v>
      </c>
      <c r="X88" s="30" t="n">
        <v>1.25</v>
      </c>
      <c r="Y88" s="28" t="n">
        <f aca="false">IF(W88="","",W88*IF(X88="",1,X88))</f>
        <v>265.326410473174</v>
      </c>
      <c r="Z88" s="28" t="n">
        <f aca="false">IF(OR(AS88="",AP88=""),"",AS88*AP88)</f>
        <v>154</v>
      </c>
      <c r="AA88" s="28" t="n">
        <f aca="false">IF(Z88="","",Z88*K88)</f>
        <v>308</v>
      </c>
      <c r="AB88" s="31" t="n">
        <f aca="false">IF(OR(Y88="",AA88=""),"",Y88/AA88)</f>
        <v>0.861449384653161</v>
      </c>
      <c r="AC88" s="31" t="n">
        <f aca="false">IF(OR(W88="",AT88=""),"",AT88*(W88/K88)*O88/1000/S88)</f>
        <v>0.000753527005743813</v>
      </c>
      <c r="AD88" s="31" t="n">
        <f aca="false">IF(W88="","",IFERROR(IF(INDEX('Design Basis'!$C$13:$C$21,MATCH(C88,'Design Basis'!$A$13:$A$21,0))="","",INDEX('Design Basis'!$C$13:$C$21,MATCH(C88,'Design Basis'!$A$13:$A$21,0))),""))</f>
        <v>0.03</v>
      </c>
      <c r="AE88" s="32" t="str">
        <f aca="false">IF(W88="","n/a",IF(AA88="","CHECK",IF(AND(AB88&lt;=1,OR(AC88="",AD88="",AC88&lt;=AD88)),"OK","CHECK")))</f>
        <v>OK</v>
      </c>
      <c r="AF88" s="28" t="n">
        <f aca="false">IF(AR88="","",K88*AQ88*PI()/4*AR88^2)</f>
        <v>2268.22989589183</v>
      </c>
      <c r="AG88" s="32" t="s">
        <v>878</v>
      </c>
      <c r="AI88" s="33" t="n">
        <f aca="false">INDEX(Equipment!$D$2:$D$153,MATCH(E88,Equipment!$A$2:$A$153,0))</f>
        <v>108</v>
      </c>
      <c r="AJ88" s="33" t="n">
        <f aca="false">INDEX(Equipment!$E$2:$E$153,MATCH(E88,Equipment!$A$2:$A$153,0))</f>
        <v>43</v>
      </c>
      <c r="AK88" s="33" t="n">
        <f aca="false">INDEX(Equipment!$F$2:$F$153,MATCH(E88,Equipment!$A$2:$A$153,0))</f>
        <v>20.5</v>
      </c>
      <c r="AL88" s="33" t="n">
        <f aca="false">INDEX(Equipment!$D$2:$D$153,MATCH(G88,Equipment!$A$2:$A$153,0))</f>
        <v>104</v>
      </c>
      <c r="AM88" s="33" t="n">
        <f aca="false">INDEX(Equipment!$E$2:$E$153,MATCH(G88,Equipment!$A$2:$A$153,0))</f>
        <v>43</v>
      </c>
      <c r="AN88" s="33" t="n">
        <f aca="false">INDEX(Equipment!$F$2:$F$153,MATCH(G88,Equipment!$A$2:$A$153,0))</f>
        <v>20.5</v>
      </c>
      <c r="AO88" s="33" t="n">
        <f aca="false">IF(INDEX(Raceways!$D$2:$D$18,MATCH(L88,Raceways!$A$2:$A$18,0))="",0,INDEX(Raceways!$D$2:$D$18,MATCH(L88,Raceways!$A$2:$A$18,0)))</f>
        <v>1</v>
      </c>
      <c r="AP88" s="34" t="n">
        <f aca="false">IF(INDEX(Raceways!$I$2:$I$18,MATCH(L88,Raceways!$A$2:$A$18,0))="","",INDEX(Raceways!$I$2:$I$18,MATCH(L88,Raceways!$A$2:$A$18,0)))</f>
        <v>0.88</v>
      </c>
      <c r="AQ88" s="27" t="n">
        <f aca="false">INDEX('Cable Types'!$D$2:$D$45,MATCH(I88,'Cable Types'!$A$2:$A$45,0))</f>
        <v>1</v>
      </c>
      <c r="AR88" s="27" t="n">
        <f aca="false">IF(INDEX('Cable Types'!$E$2:$E$45,MATCH(I88,'Cable Types'!$A$2:$A$45,0))="","",INDEX('Cable Types'!$E$2:$E$45,MATCH(I88,'Cable Types'!$A$2:$A$45,0)))</f>
        <v>38</v>
      </c>
      <c r="AS88" s="27" t="n">
        <f aca="false">IF(INDEX('Cable Types'!$F$2:$F$45,MATCH(I88,'Cable Types'!$A$2:$A$45,0))="","",INDEX('Cable Types'!$F$2:$F$45,MATCH(I88,'Cable Types'!$A$2:$A$45,0)))</f>
        <v>175</v>
      </c>
      <c r="AT88" s="35" t="n">
        <f aca="false">IF(INDEX('Cable Types'!$G$2:$G$45,MATCH(I88,'Cable Types'!$A$2:$A$45,0))="","",INDEX('Cable Types'!$G$2:$G$45,MATCH(I88,'Cable Types'!$A$2:$A$45,0)))</f>
        <v>0.568</v>
      </c>
    </row>
    <row r="89" customFormat="false" ht="15" hidden="false" customHeight="false" outlineLevel="0" collapsed="false">
      <c r="A89" s="26" t="s">
        <v>881</v>
      </c>
      <c r="B89" s="26" t="s">
        <v>236</v>
      </c>
      <c r="C89" s="26" t="s">
        <v>74</v>
      </c>
      <c r="D89" s="26" t="s">
        <v>882</v>
      </c>
      <c r="E89" s="26" t="s">
        <v>259</v>
      </c>
      <c r="F89" s="27" t="str">
        <f aca="false">INDEX(Equipment!$B$2:$B$153,MATCH(E89,Equipment!$A$2:$A$153,0))</f>
        <v>ACC fan 03 local disconnect switch (in sight of motor, NEC 430.102)</v>
      </c>
      <c r="G89" s="26" t="s">
        <v>256</v>
      </c>
      <c r="H89" s="27" t="str">
        <f aca="false">INDEX(Equipment!$B$2:$B$153,MATCH(G89,Equipment!$A$2:$A$153,0))</f>
        <v>ACC fan motor 03, 150 kW 480 V (VFD)</v>
      </c>
      <c r="I89" s="26" t="s">
        <v>587</v>
      </c>
      <c r="J89" s="27" t="str">
        <f aca="false">INDEX('Cable Types'!$B$2:$B$45,MATCH(I89,'Cable Types'!$A$2:$A$45,0))</f>
        <v>1000 V 3/C 2/0 AWG + 3 symmetrical G, flexible tinned Cu XHHW-2, foil + braid shield, TPE jkt, Type TC-ER, NFPA 79 (Machine Flex type)</v>
      </c>
      <c r="K89" s="26" t="n">
        <v>2</v>
      </c>
      <c r="L89" s="26" t="s">
        <v>714</v>
      </c>
      <c r="M89" s="26" t="s">
        <v>703</v>
      </c>
      <c r="N89" s="26" t="n">
        <v>6</v>
      </c>
      <c r="O89" s="28" t="n">
        <f aca="false">IF(N89&lt;&gt;"",N89,IF(M89="D",ROUNDUP(SQRT((AL89-AI89)^2+(AM89-AJ89)^2+(AN89-AK89)^2)*(1+'Design Basis'!$C$6),0),ROUNDUP((ABS(AL89-AI89)+ABS(AM89-AJ89)+ABS(AO89-AK89)+ABS(AO89-AN89))*(1+'Design Basis'!$C$4)+2*'Design Basis'!$C$5,0)))</f>
        <v>6</v>
      </c>
      <c r="P89" s="28" t="n">
        <f aca="false">ROUND(O89*'Design Basis'!$C$10,0)</f>
        <v>20</v>
      </c>
      <c r="Q89" s="28" t="n">
        <f aca="false">O89*K89*AQ89</f>
        <v>12</v>
      </c>
      <c r="R89" s="28" t="n">
        <f aca="false">ROUND(Q89*'Design Basis'!$C$10,0)</f>
        <v>39</v>
      </c>
      <c r="S89" s="29" t="n">
        <v>480</v>
      </c>
      <c r="T89" s="26" t="n">
        <v>3</v>
      </c>
      <c r="U89" s="29" t="n">
        <v>150</v>
      </c>
      <c r="V89" s="30" t="n">
        <v>0.85</v>
      </c>
      <c r="W89" s="28" t="n">
        <f aca="false">IF(OR(U89="",S89=""),"",IF(T89=3,U89*1000/(SQRT(3)*S89*V89),U89*1000/(S89*V89)))</f>
        <v>212.261128378539</v>
      </c>
      <c r="X89" s="30" t="n">
        <v>1.25</v>
      </c>
      <c r="Y89" s="28" t="n">
        <f aca="false">IF(W89="","",W89*IF(X89="",1,X89))</f>
        <v>265.326410473174</v>
      </c>
      <c r="Z89" s="28" t="n">
        <f aca="false">IF(OR(AS89="",AP89=""),"",AS89*AP89)</f>
        <v>154</v>
      </c>
      <c r="AA89" s="28" t="n">
        <f aca="false">IF(Z89="","",Z89*K89)</f>
        <v>308</v>
      </c>
      <c r="AB89" s="31" t="n">
        <f aca="false">IF(OR(Y89="",AA89=""),"",Y89/AA89)</f>
        <v>0.861449384653161</v>
      </c>
      <c r="AC89" s="31" t="n">
        <f aca="false">IF(OR(W89="",AT89=""),"",AT89*(W89/K89)*O89/1000/S89)</f>
        <v>0.000753527005743813</v>
      </c>
      <c r="AD89" s="31" t="n">
        <f aca="false">IF(W89="","",IFERROR(IF(INDEX('Design Basis'!$C$13:$C$21,MATCH(C89,'Design Basis'!$A$13:$A$21,0))="","",INDEX('Design Basis'!$C$13:$C$21,MATCH(C89,'Design Basis'!$A$13:$A$21,0))),""))</f>
        <v>0.03</v>
      </c>
      <c r="AE89" s="32" t="str">
        <f aca="false">IF(W89="","n/a",IF(AA89="","CHECK",IF(AND(AB89&lt;=1,OR(AC89="",AD89="",AC89&lt;=AD89)),"OK","CHECK")))</f>
        <v>OK</v>
      </c>
      <c r="AF89" s="28" t="n">
        <f aca="false">IF(AR89="","",K89*AQ89*PI()/4*AR89^2)</f>
        <v>2268.22989589183</v>
      </c>
      <c r="AG89" s="32" t="s">
        <v>878</v>
      </c>
      <c r="AI89" s="33" t="n">
        <f aca="false">INDEX(Equipment!$D$2:$D$153,MATCH(E89,Equipment!$A$2:$A$153,0))</f>
        <v>108</v>
      </c>
      <c r="AJ89" s="33" t="n">
        <f aca="false">INDEX(Equipment!$E$2:$E$153,MATCH(E89,Equipment!$A$2:$A$153,0))</f>
        <v>54</v>
      </c>
      <c r="AK89" s="33" t="n">
        <f aca="false">INDEX(Equipment!$F$2:$F$153,MATCH(E89,Equipment!$A$2:$A$153,0))</f>
        <v>20.5</v>
      </c>
      <c r="AL89" s="33" t="n">
        <f aca="false">INDEX(Equipment!$D$2:$D$153,MATCH(G89,Equipment!$A$2:$A$153,0))</f>
        <v>104</v>
      </c>
      <c r="AM89" s="33" t="n">
        <f aca="false">INDEX(Equipment!$E$2:$E$153,MATCH(G89,Equipment!$A$2:$A$153,0))</f>
        <v>54</v>
      </c>
      <c r="AN89" s="33" t="n">
        <f aca="false">INDEX(Equipment!$F$2:$F$153,MATCH(G89,Equipment!$A$2:$A$153,0))</f>
        <v>20.5</v>
      </c>
      <c r="AO89" s="33" t="n">
        <f aca="false">IF(INDEX(Raceways!$D$2:$D$18,MATCH(L89,Raceways!$A$2:$A$18,0))="",0,INDEX(Raceways!$D$2:$D$18,MATCH(L89,Raceways!$A$2:$A$18,0)))</f>
        <v>1</v>
      </c>
      <c r="AP89" s="34" t="n">
        <f aca="false">IF(INDEX(Raceways!$I$2:$I$18,MATCH(L89,Raceways!$A$2:$A$18,0))="","",INDEX(Raceways!$I$2:$I$18,MATCH(L89,Raceways!$A$2:$A$18,0)))</f>
        <v>0.88</v>
      </c>
      <c r="AQ89" s="27" t="n">
        <f aca="false">INDEX('Cable Types'!$D$2:$D$45,MATCH(I89,'Cable Types'!$A$2:$A$45,0))</f>
        <v>1</v>
      </c>
      <c r="AR89" s="27" t="n">
        <f aca="false">IF(INDEX('Cable Types'!$E$2:$E$45,MATCH(I89,'Cable Types'!$A$2:$A$45,0))="","",INDEX('Cable Types'!$E$2:$E$45,MATCH(I89,'Cable Types'!$A$2:$A$45,0)))</f>
        <v>38</v>
      </c>
      <c r="AS89" s="27" t="n">
        <f aca="false">IF(INDEX('Cable Types'!$F$2:$F$45,MATCH(I89,'Cable Types'!$A$2:$A$45,0))="","",INDEX('Cable Types'!$F$2:$F$45,MATCH(I89,'Cable Types'!$A$2:$A$45,0)))</f>
        <v>175</v>
      </c>
      <c r="AT89" s="35" t="n">
        <f aca="false">IF(INDEX('Cable Types'!$G$2:$G$45,MATCH(I89,'Cable Types'!$A$2:$A$45,0))="","",INDEX('Cable Types'!$G$2:$G$45,MATCH(I89,'Cable Types'!$A$2:$A$45,0)))</f>
        <v>0.568</v>
      </c>
    </row>
    <row r="90" customFormat="false" ht="15" hidden="false" customHeight="false" outlineLevel="0" collapsed="false">
      <c r="A90" s="26" t="s">
        <v>883</v>
      </c>
      <c r="B90" s="26" t="s">
        <v>236</v>
      </c>
      <c r="C90" s="26" t="s">
        <v>74</v>
      </c>
      <c r="D90" s="26" t="s">
        <v>884</v>
      </c>
      <c r="E90" s="26" t="s">
        <v>265</v>
      </c>
      <c r="F90" s="27" t="str">
        <f aca="false">INDEX(Equipment!$B$2:$B$153,MATCH(E90,Equipment!$A$2:$A$153,0))</f>
        <v>ACC fan 04 local disconnect switch (in sight of motor, NEC 430.102)</v>
      </c>
      <c r="G90" s="26" t="s">
        <v>262</v>
      </c>
      <c r="H90" s="27" t="str">
        <f aca="false">INDEX(Equipment!$B$2:$B$153,MATCH(G90,Equipment!$A$2:$A$153,0))</f>
        <v>ACC fan motor 04, 150 kW 480 V (VFD)</v>
      </c>
      <c r="I90" s="26" t="s">
        <v>587</v>
      </c>
      <c r="J90" s="27" t="str">
        <f aca="false">INDEX('Cable Types'!$B$2:$B$45,MATCH(I90,'Cable Types'!$A$2:$A$45,0))</f>
        <v>1000 V 3/C 2/0 AWG + 3 symmetrical G, flexible tinned Cu XHHW-2, foil + braid shield, TPE jkt, Type TC-ER, NFPA 79 (Machine Flex type)</v>
      </c>
      <c r="K90" s="26" t="n">
        <v>2</v>
      </c>
      <c r="L90" s="26" t="s">
        <v>714</v>
      </c>
      <c r="M90" s="26" t="s">
        <v>703</v>
      </c>
      <c r="N90" s="26" t="n">
        <v>6</v>
      </c>
      <c r="O90" s="28" t="n">
        <f aca="false">IF(N90&lt;&gt;"",N90,IF(M90="D",ROUNDUP(SQRT((AL90-AI90)^2+(AM90-AJ90)^2+(AN90-AK90)^2)*(1+'Design Basis'!$C$6),0),ROUNDUP((ABS(AL90-AI90)+ABS(AM90-AJ90)+ABS(AO90-AK90)+ABS(AO90-AN90))*(1+'Design Basis'!$C$4)+2*'Design Basis'!$C$5,0)))</f>
        <v>6</v>
      </c>
      <c r="P90" s="28" t="n">
        <f aca="false">ROUND(O90*'Design Basis'!$C$10,0)</f>
        <v>20</v>
      </c>
      <c r="Q90" s="28" t="n">
        <f aca="false">O90*K90*AQ90</f>
        <v>12</v>
      </c>
      <c r="R90" s="28" t="n">
        <f aca="false">ROUND(Q90*'Design Basis'!$C$10,0)</f>
        <v>39</v>
      </c>
      <c r="S90" s="29" t="n">
        <v>480</v>
      </c>
      <c r="T90" s="26" t="n">
        <v>3</v>
      </c>
      <c r="U90" s="29" t="n">
        <v>150</v>
      </c>
      <c r="V90" s="30" t="n">
        <v>0.85</v>
      </c>
      <c r="W90" s="28" t="n">
        <f aca="false">IF(OR(U90="",S90=""),"",IF(T90=3,U90*1000/(SQRT(3)*S90*V90),U90*1000/(S90*V90)))</f>
        <v>212.261128378539</v>
      </c>
      <c r="X90" s="30" t="n">
        <v>1.25</v>
      </c>
      <c r="Y90" s="28" t="n">
        <f aca="false">IF(W90="","",W90*IF(X90="",1,X90))</f>
        <v>265.326410473174</v>
      </c>
      <c r="Z90" s="28" t="n">
        <f aca="false">IF(OR(AS90="",AP90=""),"",AS90*AP90)</f>
        <v>154</v>
      </c>
      <c r="AA90" s="28" t="n">
        <f aca="false">IF(Z90="","",Z90*K90)</f>
        <v>308</v>
      </c>
      <c r="AB90" s="31" t="n">
        <f aca="false">IF(OR(Y90="",AA90=""),"",Y90/AA90)</f>
        <v>0.861449384653161</v>
      </c>
      <c r="AC90" s="31" t="n">
        <f aca="false">IF(OR(W90="",AT90=""),"",AT90*(W90/K90)*O90/1000/S90)</f>
        <v>0.000753527005743813</v>
      </c>
      <c r="AD90" s="31" t="n">
        <f aca="false">IF(W90="","",IFERROR(IF(INDEX('Design Basis'!$C$13:$C$21,MATCH(C90,'Design Basis'!$A$13:$A$21,0))="","",INDEX('Design Basis'!$C$13:$C$21,MATCH(C90,'Design Basis'!$A$13:$A$21,0))),""))</f>
        <v>0.03</v>
      </c>
      <c r="AE90" s="32" t="str">
        <f aca="false">IF(W90="","n/a",IF(AA90="","CHECK",IF(AND(AB90&lt;=1,OR(AC90="",AD90="",AC90&lt;=AD90)),"OK","CHECK")))</f>
        <v>OK</v>
      </c>
      <c r="AF90" s="28" t="n">
        <f aca="false">IF(AR90="","",K90*AQ90*PI()/4*AR90^2)</f>
        <v>2268.22989589183</v>
      </c>
      <c r="AG90" s="32" t="s">
        <v>878</v>
      </c>
      <c r="AI90" s="33" t="n">
        <f aca="false">INDEX(Equipment!$D$2:$D$153,MATCH(E90,Equipment!$A$2:$A$153,0))</f>
        <v>116</v>
      </c>
      <c r="AJ90" s="33" t="n">
        <f aca="false">INDEX(Equipment!$E$2:$E$153,MATCH(E90,Equipment!$A$2:$A$153,0))</f>
        <v>32</v>
      </c>
      <c r="AK90" s="33" t="n">
        <f aca="false">INDEX(Equipment!$F$2:$F$153,MATCH(E90,Equipment!$A$2:$A$153,0))</f>
        <v>20.5</v>
      </c>
      <c r="AL90" s="33" t="n">
        <f aca="false">INDEX(Equipment!$D$2:$D$153,MATCH(G90,Equipment!$A$2:$A$153,0))</f>
        <v>112</v>
      </c>
      <c r="AM90" s="33" t="n">
        <f aca="false">INDEX(Equipment!$E$2:$E$153,MATCH(G90,Equipment!$A$2:$A$153,0))</f>
        <v>32</v>
      </c>
      <c r="AN90" s="33" t="n">
        <f aca="false">INDEX(Equipment!$F$2:$F$153,MATCH(G90,Equipment!$A$2:$A$153,0))</f>
        <v>20.5</v>
      </c>
      <c r="AO90" s="33" t="n">
        <f aca="false">IF(INDEX(Raceways!$D$2:$D$18,MATCH(L90,Raceways!$A$2:$A$18,0))="",0,INDEX(Raceways!$D$2:$D$18,MATCH(L90,Raceways!$A$2:$A$18,0)))</f>
        <v>1</v>
      </c>
      <c r="AP90" s="34" t="n">
        <f aca="false">IF(INDEX(Raceways!$I$2:$I$18,MATCH(L90,Raceways!$A$2:$A$18,0))="","",INDEX(Raceways!$I$2:$I$18,MATCH(L90,Raceways!$A$2:$A$18,0)))</f>
        <v>0.88</v>
      </c>
      <c r="AQ90" s="27" t="n">
        <f aca="false">INDEX('Cable Types'!$D$2:$D$45,MATCH(I90,'Cable Types'!$A$2:$A$45,0))</f>
        <v>1</v>
      </c>
      <c r="AR90" s="27" t="n">
        <f aca="false">IF(INDEX('Cable Types'!$E$2:$E$45,MATCH(I90,'Cable Types'!$A$2:$A$45,0))="","",INDEX('Cable Types'!$E$2:$E$45,MATCH(I90,'Cable Types'!$A$2:$A$45,0)))</f>
        <v>38</v>
      </c>
      <c r="AS90" s="27" t="n">
        <f aca="false">IF(INDEX('Cable Types'!$F$2:$F$45,MATCH(I90,'Cable Types'!$A$2:$A$45,0))="","",INDEX('Cable Types'!$F$2:$F$45,MATCH(I90,'Cable Types'!$A$2:$A$45,0)))</f>
        <v>175</v>
      </c>
      <c r="AT90" s="35" t="n">
        <f aca="false">IF(INDEX('Cable Types'!$G$2:$G$45,MATCH(I90,'Cable Types'!$A$2:$A$45,0))="","",INDEX('Cable Types'!$G$2:$G$45,MATCH(I90,'Cable Types'!$A$2:$A$45,0)))</f>
        <v>0.568</v>
      </c>
    </row>
    <row r="91" customFormat="false" ht="15" hidden="false" customHeight="false" outlineLevel="0" collapsed="false">
      <c r="A91" s="26" t="s">
        <v>885</v>
      </c>
      <c r="B91" s="26" t="s">
        <v>236</v>
      </c>
      <c r="C91" s="26" t="s">
        <v>74</v>
      </c>
      <c r="D91" s="26" t="s">
        <v>886</v>
      </c>
      <c r="E91" s="26" t="s">
        <v>271</v>
      </c>
      <c r="F91" s="27" t="str">
        <f aca="false">INDEX(Equipment!$B$2:$B$153,MATCH(E91,Equipment!$A$2:$A$153,0))</f>
        <v>ACC fan 05 local disconnect switch (in sight of motor, NEC 430.102)</v>
      </c>
      <c r="G91" s="26" t="s">
        <v>268</v>
      </c>
      <c r="H91" s="27" t="str">
        <f aca="false">INDEX(Equipment!$B$2:$B$153,MATCH(G91,Equipment!$A$2:$A$153,0))</f>
        <v>ACC fan motor 05, 150 kW 480 V (VFD)</v>
      </c>
      <c r="I91" s="26" t="s">
        <v>587</v>
      </c>
      <c r="J91" s="27" t="str">
        <f aca="false">INDEX('Cable Types'!$B$2:$B$45,MATCH(I91,'Cable Types'!$A$2:$A$45,0))</f>
        <v>1000 V 3/C 2/0 AWG + 3 symmetrical G, flexible tinned Cu XHHW-2, foil + braid shield, TPE jkt, Type TC-ER, NFPA 79 (Machine Flex type)</v>
      </c>
      <c r="K91" s="26" t="n">
        <v>2</v>
      </c>
      <c r="L91" s="26" t="s">
        <v>714</v>
      </c>
      <c r="M91" s="26" t="s">
        <v>703</v>
      </c>
      <c r="N91" s="26" t="n">
        <v>6</v>
      </c>
      <c r="O91" s="28" t="n">
        <f aca="false">IF(N91&lt;&gt;"",N91,IF(M91="D",ROUNDUP(SQRT((AL91-AI91)^2+(AM91-AJ91)^2+(AN91-AK91)^2)*(1+'Design Basis'!$C$6),0),ROUNDUP((ABS(AL91-AI91)+ABS(AM91-AJ91)+ABS(AO91-AK91)+ABS(AO91-AN91))*(1+'Design Basis'!$C$4)+2*'Design Basis'!$C$5,0)))</f>
        <v>6</v>
      </c>
      <c r="P91" s="28" t="n">
        <f aca="false">ROUND(O91*'Design Basis'!$C$10,0)</f>
        <v>20</v>
      </c>
      <c r="Q91" s="28" t="n">
        <f aca="false">O91*K91*AQ91</f>
        <v>12</v>
      </c>
      <c r="R91" s="28" t="n">
        <f aca="false">ROUND(Q91*'Design Basis'!$C$10,0)</f>
        <v>39</v>
      </c>
      <c r="S91" s="29" t="n">
        <v>480</v>
      </c>
      <c r="T91" s="26" t="n">
        <v>3</v>
      </c>
      <c r="U91" s="29" t="n">
        <v>150</v>
      </c>
      <c r="V91" s="30" t="n">
        <v>0.85</v>
      </c>
      <c r="W91" s="28" t="n">
        <f aca="false">IF(OR(U91="",S91=""),"",IF(T91=3,U91*1000/(SQRT(3)*S91*V91),U91*1000/(S91*V91)))</f>
        <v>212.261128378539</v>
      </c>
      <c r="X91" s="30" t="n">
        <v>1.25</v>
      </c>
      <c r="Y91" s="28" t="n">
        <f aca="false">IF(W91="","",W91*IF(X91="",1,X91))</f>
        <v>265.326410473174</v>
      </c>
      <c r="Z91" s="28" t="n">
        <f aca="false">IF(OR(AS91="",AP91=""),"",AS91*AP91)</f>
        <v>154</v>
      </c>
      <c r="AA91" s="28" t="n">
        <f aca="false">IF(Z91="","",Z91*K91)</f>
        <v>308</v>
      </c>
      <c r="AB91" s="31" t="n">
        <f aca="false">IF(OR(Y91="",AA91=""),"",Y91/AA91)</f>
        <v>0.861449384653161</v>
      </c>
      <c r="AC91" s="31" t="n">
        <f aca="false">IF(OR(W91="",AT91=""),"",AT91*(W91/K91)*O91/1000/S91)</f>
        <v>0.000753527005743813</v>
      </c>
      <c r="AD91" s="31" t="n">
        <f aca="false">IF(W91="","",IFERROR(IF(INDEX('Design Basis'!$C$13:$C$21,MATCH(C91,'Design Basis'!$A$13:$A$21,0))="","",INDEX('Design Basis'!$C$13:$C$21,MATCH(C91,'Design Basis'!$A$13:$A$21,0))),""))</f>
        <v>0.03</v>
      </c>
      <c r="AE91" s="32" t="str">
        <f aca="false">IF(W91="","n/a",IF(AA91="","CHECK",IF(AND(AB91&lt;=1,OR(AC91="",AD91="",AC91&lt;=AD91)),"OK","CHECK")))</f>
        <v>OK</v>
      </c>
      <c r="AF91" s="28" t="n">
        <f aca="false">IF(AR91="","",K91*AQ91*PI()/4*AR91^2)</f>
        <v>2268.22989589183</v>
      </c>
      <c r="AG91" s="32" t="s">
        <v>878</v>
      </c>
      <c r="AI91" s="33" t="n">
        <f aca="false">INDEX(Equipment!$D$2:$D$153,MATCH(E91,Equipment!$A$2:$A$153,0))</f>
        <v>116</v>
      </c>
      <c r="AJ91" s="33" t="n">
        <f aca="false">INDEX(Equipment!$E$2:$E$153,MATCH(E91,Equipment!$A$2:$A$153,0))</f>
        <v>43</v>
      </c>
      <c r="AK91" s="33" t="n">
        <f aca="false">INDEX(Equipment!$F$2:$F$153,MATCH(E91,Equipment!$A$2:$A$153,0))</f>
        <v>20.5</v>
      </c>
      <c r="AL91" s="33" t="n">
        <f aca="false">INDEX(Equipment!$D$2:$D$153,MATCH(G91,Equipment!$A$2:$A$153,0))</f>
        <v>112</v>
      </c>
      <c r="AM91" s="33" t="n">
        <f aca="false">INDEX(Equipment!$E$2:$E$153,MATCH(G91,Equipment!$A$2:$A$153,0))</f>
        <v>43</v>
      </c>
      <c r="AN91" s="33" t="n">
        <f aca="false">INDEX(Equipment!$F$2:$F$153,MATCH(G91,Equipment!$A$2:$A$153,0))</f>
        <v>20.5</v>
      </c>
      <c r="AO91" s="33" t="n">
        <f aca="false">IF(INDEX(Raceways!$D$2:$D$18,MATCH(L91,Raceways!$A$2:$A$18,0))="",0,INDEX(Raceways!$D$2:$D$18,MATCH(L91,Raceways!$A$2:$A$18,0)))</f>
        <v>1</v>
      </c>
      <c r="AP91" s="34" t="n">
        <f aca="false">IF(INDEX(Raceways!$I$2:$I$18,MATCH(L91,Raceways!$A$2:$A$18,0))="","",INDEX(Raceways!$I$2:$I$18,MATCH(L91,Raceways!$A$2:$A$18,0)))</f>
        <v>0.88</v>
      </c>
      <c r="AQ91" s="27" t="n">
        <f aca="false">INDEX('Cable Types'!$D$2:$D$45,MATCH(I91,'Cable Types'!$A$2:$A$45,0))</f>
        <v>1</v>
      </c>
      <c r="AR91" s="27" t="n">
        <f aca="false">IF(INDEX('Cable Types'!$E$2:$E$45,MATCH(I91,'Cable Types'!$A$2:$A$45,0))="","",INDEX('Cable Types'!$E$2:$E$45,MATCH(I91,'Cable Types'!$A$2:$A$45,0)))</f>
        <v>38</v>
      </c>
      <c r="AS91" s="27" t="n">
        <f aca="false">IF(INDEX('Cable Types'!$F$2:$F$45,MATCH(I91,'Cable Types'!$A$2:$A$45,0))="","",INDEX('Cable Types'!$F$2:$F$45,MATCH(I91,'Cable Types'!$A$2:$A$45,0)))</f>
        <v>175</v>
      </c>
      <c r="AT91" s="35" t="n">
        <f aca="false">IF(INDEX('Cable Types'!$G$2:$G$45,MATCH(I91,'Cable Types'!$A$2:$A$45,0))="","",INDEX('Cable Types'!$G$2:$G$45,MATCH(I91,'Cable Types'!$A$2:$A$45,0)))</f>
        <v>0.568</v>
      </c>
    </row>
    <row r="92" customFormat="false" ht="15" hidden="false" customHeight="false" outlineLevel="0" collapsed="false">
      <c r="A92" s="26" t="s">
        <v>887</v>
      </c>
      <c r="B92" s="26" t="s">
        <v>236</v>
      </c>
      <c r="C92" s="26" t="s">
        <v>74</v>
      </c>
      <c r="D92" s="26" t="s">
        <v>888</v>
      </c>
      <c r="E92" s="26" t="s">
        <v>277</v>
      </c>
      <c r="F92" s="27" t="str">
        <f aca="false">INDEX(Equipment!$B$2:$B$153,MATCH(E92,Equipment!$A$2:$A$153,0))</f>
        <v>ACC fan 06 local disconnect switch (in sight of motor, NEC 430.102)</v>
      </c>
      <c r="G92" s="26" t="s">
        <v>274</v>
      </c>
      <c r="H92" s="27" t="str">
        <f aca="false">INDEX(Equipment!$B$2:$B$153,MATCH(G92,Equipment!$A$2:$A$153,0))</f>
        <v>ACC fan motor 06, 150 kW 480 V (VFD)</v>
      </c>
      <c r="I92" s="26" t="s">
        <v>587</v>
      </c>
      <c r="J92" s="27" t="str">
        <f aca="false">INDEX('Cable Types'!$B$2:$B$45,MATCH(I92,'Cable Types'!$A$2:$A$45,0))</f>
        <v>1000 V 3/C 2/0 AWG + 3 symmetrical G, flexible tinned Cu XHHW-2, foil + braid shield, TPE jkt, Type TC-ER, NFPA 79 (Machine Flex type)</v>
      </c>
      <c r="K92" s="26" t="n">
        <v>2</v>
      </c>
      <c r="L92" s="26" t="s">
        <v>714</v>
      </c>
      <c r="M92" s="26" t="s">
        <v>703</v>
      </c>
      <c r="N92" s="26" t="n">
        <v>6</v>
      </c>
      <c r="O92" s="28" t="n">
        <f aca="false">IF(N92&lt;&gt;"",N92,IF(M92="D",ROUNDUP(SQRT((AL92-AI92)^2+(AM92-AJ92)^2+(AN92-AK92)^2)*(1+'Design Basis'!$C$6),0),ROUNDUP((ABS(AL92-AI92)+ABS(AM92-AJ92)+ABS(AO92-AK92)+ABS(AO92-AN92))*(1+'Design Basis'!$C$4)+2*'Design Basis'!$C$5,0)))</f>
        <v>6</v>
      </c>
      <c r="P92" s="28" t="n">
        <f aca="false">ROUND(O92*'Design Basis'!$C$10,0)</f>
        <v>20</v>
      </c>
      <c r="Q92" s="28" t="n">
        <f aca="false">O92*K92*AQ92</f>
        <v>12</v>
      </c>
      <c r="R92" s="28" t="n">
        <f aca="false">ROUND(Q92*'Design Basis'!$C$10,0)</f>
        <v>39</v>
      </c>
      <c r="S92" s="29" t="n">
        <v>480</v>
      </c>
      <c r="T92" s="26" t="n">
        <v>3</v>
      </c>
      <c r="U92" s="29" t="n">
        <v>150</v>
      </c>
      <c r="V92" s="30" t="n">
        <v>0.85</v>
      </c>
      <c r="W92" s="28" t="n">
        <f aca="false">IF(OR(U92="",S92=""),"",IF(T92=3,U92*1000/(SQRT(3)*S92*V92),U92*1000/(S92*V92)))</f>
        <v>212.261128378539</v>
      </c>
      <c r="X92" s="30" t="n">
        <v>1.25</v>
      </c>
      <c r="Y92" s="28" t="n">
        <f aca="false">IF(W92="","",W92*IF(X92="",1,X92))</f>
        <v>265.326410473174</v>
      </c>
      <c r="Z92" s="28" t="n">
        <f aca="false">IF(OR(AS92="",AP92=""),"",AS92*AP92)</f>
        <v>154</v>
      </c>
      <c r="AA92" s="28" t="n">
        <f aca="false">IF(Z92="","",Z92*K92)</f>
        <v>308</v>
      </c>
      <c r="AB92" s="31" t="n">
        <f aca="false">IF(OR(Y92="",AA92=""),"",Y92/AA92)</f>
        <v>0.861449384653161</v>
      </c>
      <c r="AC92" s="31" t="n">
        <f aca="false">IF(OR(W92="",AT92=""),"",AT92*(W92/K92)*O92/1000/S92)</f>
        <v>0.000753527005743813</v>
      </c>
      <c r="AD92" s="31" t="n">
        <f aca="false">IF(W92="","",IFERROR(IF(INDEX('Design Basis'!$C$13:$C$21,MATCH(C92,'Design Basis'!$A$13:$A$21,0))="","",INDEX('Design Basis'!$C$13:$C$21,MATCH(C92,'Design Basis'!$A$13:$A$21,0))),""))</f>
        <v>0.03</v>
      </c>
      <c r="AE92" s="32" t="str">
        <f aca="false">IF(W92="","n/a",IF(AA92="","CHECK",IF(AND(AB92&lt;=1,OR(AC92="",AD92="",AC92&lt;=AD92)),"OK","CHECK")))</f>
        <v>OK</v>
      </c>
      <c r="AF92" s="28" t="n">
        <f aca="false">IF(AR92="","",K92*AQ92*PI()/4*AR92^2)</f>
        <v>2268.22989589183</v>
      </c>
      <c r="AG92" s="32" t="s">
        <v>878</v>
      </c>
      <c r="AI92" s="33" t="n">
        <f aca="false">INDEX(Equipment!$D$2:$D$153,MATCH(E92,Equipment!$A$2:$A$153,0))</f>
        <v>116</v>
      </c>
      <c r="AJ92" s="33" t="n">
        <f aca="false">INDEX(Equipment!$E$2:$E$153,MATCH(E92,Equipment!$A$2:$A$153,0))</f>
        <v>54</v>
      </c>
      <c r="AK92" s="33" t="n">
        <f aca="false">INDEX(Equipment!$F$2:$F$153,MATCH(E92,Equipment!$A$2:$A$153,0))</f>
        <v>20.5</v>
      </c>
      <c r="AL92" s="33" t="n">
        <f aca="false">INDEX(Equipment!$D$2:$D$153,MATCH(G92,Equipment!$A$2:$A$153,0))</f>
        <v>112</v>
      </c>
      <c r="AM92" s="33" t="n">
        <f aca="false">INDEX(Equipment!$E$2:$E$153,MATCH(G92,Equipment!$A$2:$A$153,0))</f>
        <v>54</v>
      </c>
      <c r="AN92" s="33" t="n">
        <f aca="false">INDEX(Equipment!$F$2:$F$153,MATCH(G92,Equipment!$A$2:$A$153,0))</f>
        <v>20.5</v>
      </c>
      <c r="AO92" s="33" t="n">
        <f aca="false">IF(INDEX(Raceways!$D$2:$D$18,MATCH(L92,Raceways!$A$2:$A$18,0))="",0,INDEX(Raceways!$D$2:$D$18,MATCH(L92,Raceways!$A$2:$A$18,0)))</f>
        <v>1</v>
      </c>
      <c r="AP92" s="34" t="n">
        <f aca="false">IF(INDEX(Raceways!$I$2:$I$18,MATCH(L92,Raceways!$A$2:$A$18,0))="","",INDEX(Raceways!$I$2:$I$18,MATCH(L92,Raceways!$A$2:$A$18,0)))</f>
        <v>0.88</v>
      </c>
      <c r="AQ92" s="27" t="n">
        <f aca="false">INDEX('Cable Types'!$D$2:$D$45,MATCH(I92,'Cable Types'!$A$2:$A$45,0))</f>
        <v>1</v>
      </c>
      <c r="AR92" s="27" t="n">
        <f aca="false">IF(INDEX('Cable Types'!$E$2:$E$45,MATCH(I92,'Cable Types'!$A$2:$A$45,0))="","",INDEX('Cable Types'!$E$2:$E$45,MATCH(I92,'Cable Types'!$A$2:$A$45,0)))</f>
        <v>38</v>
      </c>
      <c r="AS92" s="27" t="n">
        <f aca="false">IF(INDEX('Cable Types'!$F$2:$F$45,MATCH(I92,'Cable Types'!$A$2:$A$45,0))="","",INDEX('Cable Types'!$F$2:$F$45,MATCH(I92,'Cable Types'!$A$2:$A$45,0)))</f>
        <v>175</v>
      </c>
      <c r="AT92" s="35" t="n">
        <f aca="false">IF(INDEX('Cable Types'!$G$2:$G$45,MATCH(I92,'Cable Types'!$A$2:$A$45,0))="","",INDEX('Cable Types'!$G$2:$G$45,MATCH(I92,'Cable Types'!$A$2:$A$45,0)))</f>
        <v>0.568</v>
      </c>
    </row>
    <row r="93" customFormat="false" ht="15" hidden="false" customHeight="false" outlineLevel="0" collapsed="false">
      <c r="A93" s="26" t="s">
        <v>889</v>
      </c>
      <c r="B93" s="26" t="s">
        <v>236</v>
      </c>
      <c r="C93" s="26" t="s">
        <v>74</v>
      </c>
      <c r="D93" s="26" t="s">
        <v>890</v>
      </c>
      <c r="E93" s="26" t="s">
        <v>283</v>
      </c>
      <c r="F93" s="27" t="str">
        <f aca="false">INDEX(Equipment!$B$2:$B$153,MATCH(E93,Equipment!$A$2:$A$153,0))</f>
        <v>ACC fan 07 local disconnect switch (in sight of motor, NEC 430.102)</v>
      </c>
      <c r="G93" s="26" t="s">
        <v>280</v>
      </c>
      <c r="H93" s="27" t="str">
        <f aca="false">INDEX(Equipment!$B$2:$B$153,MATCH(G93,Equipment!$A$2:$A$153,0))</f>
        <v>ACC fan motor 07, 150 kW 480 V (VFD)</v>
      </c>
      <c r="I93" s="26" t="s">
        <v>587</v>
      </c>
      <c r="J93" s="27" t="str">
        <f aca="false">INDEX('Cable Types'!$B$2:$B$45,MATCH(I93,'Cable Types'!$A$2:$A$45,0))</f>
        <v>1000 V 3/C 2/0 AWG + 3 symmetrical G, flexible tinned Cu XHHW-2, foil + braid shield, TPE jkt, Type TC-ER, NFPA 79 (Machine Flex type)</v>
      </c>
      <c r="K93" s="26" t="n">
        <v>2</v>
      </c>
      <c r="L93" s="26" t="s">
        <v>714</v>
      </c>
      <c r="M93" s="26" t="s">
        <v>703</v>
      </c>
      <c r="N93" s="26" t="n">
        <v>6</v>
      </c>
      <c r="O93" s="28" t="n">
        <f aca="false">IF(N93&lt;&gt;"",N93,IF(M93="D",ROUNDUP(SQRT((AL93-AI93)^2+(AM93-AJ93)^2+(AN93-AK93)^2)*(1+'Design Basis'!$C$6),0),ROUNDUP((ABS(AL93-AI93)+ABS(AM93-AJ93)+ABS(AO93-AK93)+ABS(AO93-AN93))*(1+'Design Basis'!$C$4)+2*'Design Basis'!$C$5,0)))</f>
        <v>6</v>
      </c>
      <c r="P93" s="28" t="n">
        <f aca="false">ROUND(O93*'Design Basis'!$C$10,0)</f>
        <v>20</v>
      </c>
      <c r="Q93" s="28" t="n">
        <f aca="false">O93*K93*AQ93</f>
        <v>12</v>
      </c>
      <c r="R93" s="28" t="n">
        <f aca="false">ROUND(Q93*'Design Basis'!$C$10,0)</f>
        <v>39</v>
      </c>
      <c r="S93" s="29" t="n">
        <v>480</v>
      </c>
      <c r="T93" s="26" t="n">
        <v>3</v>
      </c>
      <c r="U93" s="29" t="n">
        <v>150</v>
      </c>
      <c r="V93" s="30" t="n">
        <v>0.85</v>
      </c>
      <c r="W93" s="28" t="n">
        <f aca="false">IF(OR(U93="",S93=""),"",IF(T93=3,U93*1000/(SQRT(3)*S93*V93),U93*1000/(S93*V93)))</f>
        <v>212.261128378539</v>
      </c>
      <c r="X93" s="30" t="n">
        <v>1.25</v>
      </c>
      <c r="Y93" s="28" t="n">
        <f aca="false">IF(W93="","",W93*IF(X93="",1,X93))</f>
        <v>265.326410473174</v>
      </c>
      <c r="Z93" s="28" t="n">
        <f aca="false">IF(OR(AS93="",AP93=""),"",AS93*AP93)</f>
        <v>154</v>
      </c>
      <c r="AA93" s="28" t="n">
        <f aca="false">IF(Z93="","",Z93*K93)</f>
        <v>308</v>
      </c>
      <c r="AB93" s="31" t="n">
        <f aca="false">IF(OR(Y93="",AA93=""),"",Y93/AA93)</f>
        <v>0.861449384653161</v>
      </c>
      <c r="AC93" s="31" t="n">
        <f aca="false">IF(OR(W93="",AT93=""),"",AT93*(W93/K93)*O93/1000/S93)</f>
        <v>0.000753527005743813</v>
      </c>
      <c r="AD93" s="31" t="n">
        <f aca="false">IF(W93="","",IFERROR(IF(INDEX('Design Basis'!$C$13:$C$21,MATCH(C93,'Design Basis'!$A$13:$A$21,0))="","",INDEX('Design Basis'!$C$13:$C$21,MATCH(C93,'Design Basis'!$A$13:$A$21,0))),""))</f>
        <v>0.03</v>
      </c>
      <c r="AE93" s="32" t="str">
        <f aca="false">IF(W93="","n/a",IF(AA93="","CHECK",IF(AND(AB93&lt;=1,OR(AC93="",AD93="",AC93&lt;=AD93)),"OK","CHECK")))</f>
        <v>OK</v>
      </c>
      <c r="AF93" s="28" t="n">
        <f aca="false">IF(AR93="","",K93*AQ93*PI()/4*AR93^2)</f>
        <v>2268.22989589183</v>
      </c>
      <c r="AG93" s="32" t="s">
        <v>878</v>
      </c>
      <c r="AI93" s="33" t="n">
        <f aca="false">INDEX(Equipment!$D$2:$D$153,MATCH(E93,Equipment!$A$2:$A$153,0))</f>
        <v>124</v>
      </c>
      <c r="AJ93" s="33" t="n">
        <f aca="false">INDEX(Equipment!$E$2:$E$153,MATCH(E93,Equipment!$A$2:$A$153,0))</f>
        <v>32</v>
      </c>
      <c r="AK93" s="33" t="n">
        <f aca="false">INDEX(Equipment!$F$2:$F$153,MATCH(E93,Equipment!$A$2:$A$153,0))</f>
        <v>20.5</v>
      </c>
      <c r="AL93" s="33" t="n">
        <f aca="false">INDEX(Equipment!$D$2:$D$153,MATCH(G93,Equipment!$A$2:$A$153,0))</f>
        <v>120</v>
      </c>
      <c r="AM93" s="33" t="n">
        <f aca="false">INDEX(Equipment!$E$2:$E$153,MATCH(G93,Equipment!$A$2:$A$153,0))</f>
        <v>32</v>
      </c>
      <c r="AN93" s="33" t="n">
        <f aca="false">INDEX(Equipment!$F$2:$F$153,MATCH(G93,Equipment!$A$2:$A$153,0))</f>
        <v>20.5</v>
      </c>
      <c r="AO93" s="33" t="n">
        <f aca="false">IF(INDEX(Raceways!$D$2:$D$18,MATCH(L93,Raceways!$A$2:$A$18,0))="",0,INDEX(Raceways!$D$2:$D$18,MATCH(L93,Raceways!$A$2:$A$18,0)))</f>
        <v>1</v>
      </c>
      <c r="AP93" s="34" t="n">
        <f aca="false">IF(INDEX(Raceways!$I$2:$I$18,MATCH(L93,Raceways!$A$2:$A$18,0))="","",INDEX(Raceways!$I$2:$I$18,MATCH(L93,Raceways!$A$2:$A$18,0)))</f>
        <v>0.88</v>
      </c>
      <c r="AQ93" s="27" t="n">
        <f aca="false">INDEX('Cable Types'!$D$2:$D$45,MATCH(I93,'Cable Types'!$A$2:$A$45,0))</f>
        <v>1</v>
      </c>
      <c r="AR93" s="27" t="n">
        <f aca="false">IF(INDEX('Cable Types'!$E$2:$E$45,MATCH(I93,'Cable Types'!$A$2:$A$45,0))="","",INDEX('Cable Types'!$E$2:$E$45,MATCH(I93,'Cable Types'!$A$2:$A$45,0)))</f>
        <v>38</v>
      </c>
      <c r="AS93" s="27" t="n">
        <f aca="false">IF(INDEX('Cable Types'!$F$2:$F$45,MATCH(I93,'Cable Types'!$A$2:$A$45,0))="","",INDEX('Cable Types'!$F$2:$F$45,MATCH(I93,'Cable Types'!$A$2:$A$45,0)))</f>
        <v>175</v>
      </c>
      <c r="AT93" s="35" t="n">
        <f aca="false">IF(INDEX('Cable Types'!$G$2:$G$45,MATCH(I93,'Cable Types'!$A$2:$A$45,0))="","",INDEX('Cable Types'!$G$2:$G$45,MATCH(I93,'Cable Types'!$A$2:$A$45,0)))</f>
        <v>0.568</v>
      </c>
    </row>
    <row r="94" customFormat="false" ht="15" hidden="false" customHeight="false" outlineLevel="0" collapsed="false">
      <c r="A94" s="26" t="s">
        <v>891</v>
      </c>
      <c r="B94" s="26" t="s">
        <v>236</v>
      </c>
      <c r="C94" s="26" t="s">
        <v>74</v>
      </c>
      <c r="D94" s="26" t="s">
        <v>892</v>
      </c>
      <c r="E94" s="26" t="s">
        <v>289</v>
      </c>
      <c r="F94" s="27" t="str">
        <f aca="false">INDEX(Equipment!$B$2:$B$153,MATCH(E94,Equipment!$A$2:$A$153,0))</f>
        <v>ACC fan 08 local disconnect switch (in sight of motor, NEC 430.102)</v>
      </c>
      <c r="G94" s="26" t="s">
        <v>286</v>
      </c>
      <c r="H94" s="27" t="str">
        <f aca="false">INDEX(Equipment!$B$2:$B$153,MATCH(G94,Equipment!$A$2:$A$153,0))</f>
        <v>ACC fan motor 08, 150 kW 480 V (VFD)</v>
      </c>
      <c r="I94" s="26" t="s">
        <v>587</v>
      </c>
      <c r="J94" s="27" t="str">
        <f aca="false">INDEX('Cable Types'!$B$2:$B$45,MATCH(I94,'Cable Types'!$A$2:$A$45,0))</f>
        <v>1000 V 3/C 2/0 AWG + 3 symmetrical G, flexible tinned Cu XHHW-2, foil + braid shield, TPE jkt, Type TC-ER, NFPA 79 (Machine Flex type)</v>
      </c>
      <c r="K94" s="26" t="n">
        <v>2</v>
      </c>
      <c r="L94" s="26" t="s">
        <v>714</v>
      </c>
      <c r="M94" s="26" t="s">
        <v>703</v>
      </c>
      <c r="N94" s="26" t="n">
        <v>6</v>
      </c>
      <c r="O94" s="28" t="n">
        <f aca="false">IF(N94&lt;&gt;"",N94,IF(M94="D",ROUNDUP(SQRT((AL94-AI94)^2+(AM94-AJ94)^2+(AN94-AK94)^2)*(1+'Design Basis'!$C$6),0),ROUNDUP((ABS(AL94-AI94)+ABS(AM94-AJ94)+ABS(AO94-AK94)+ABS(AO94-AN94))*(1+'Design Basis'!$C$4)+2*'Design Basis'!$C$5,0)))</f>
        <v>6</v>
      </c>
      <c r="P94" s="28" t="n">
        <f aca="false">ROUND(O94*'Design Basis'!$C$10,0)</f>
        <v>20</v>
      </c>
      <c r="Q94" s="28" t="n">
        <f aca="false">O94*K94*AQ94</f>
        <v>12</v>
      </c>
      <c r="R94" s="28" t="n">
        <f aca="false">ROUND(Q94*'Design Basis'!$C$10,0)</f>
        <v>39</v>
      </c>
      <c r="S94" s="29" t="n">
        <v>480</v>
      </c>
      <c r="T94" s="26" t="n">
        <v>3</v>
      </c>
      <c r="U94" s="29" t="n">
        <v>150</v>
      </c>
      <c r="V94" s="30" t="n">
        <v>0.85</v>
      </c>
      <c r="W94" s="28" t="n">
        <f aca="false">IF(OR(U94="",S94=""),"",IF(T94=3,U94*1000/(SQRT(3)*S94*V94),U94*1000/(S94*V94)))</f>
        <v>212.261128378539</v>
      </c>
      <c r="X94" s="30" t="n">
        <v>1.25</v>
      </c>
      <c r="Y94" s="28" t="n">
        <f aca="false">IF(W94="","",W94*IF(X94="",1,X94))</f>
        <v>265.326410473174</v>
      </c>
      <c r="Z94" s="28" t="n">
        <f aca="false">IF(OR(AS94="",AP94=""),"",AS94*AP94)</f>
        <v>154</v>
      </c>
      <c r="AA94" s="28" t="n">
        <f aca="false">IF(Z94="","",Z94*K94)</f>
        <v>308</v>
      </c>
      <c r="AB94" s="31" t="n">
        <f aca="false">IF(OR(Y94="",AA94=""),"",Y94/AA94)</f>
        <v>0.861449384653161</v>
      </c>
      <c r="AC94" s="31" t="n">
        <f aca="false">IF(OR(W94="",AT94=""),"",AT94*(W94/K94)*O94/1000/S94)</f>
        <v>0.000753527005743813</v>
      </c>
      <c r="AD94" s="31" t="n">
        <f aca="false">IF(W94="","",IFERROR(IF(INDEX('Design Basis'!$C$13:$C$21,MATCH(C94,'Design Basis'!$A$13:$A$21,0))="","",INDEX('Design Basis'!$C$13:$C$21,MATCH(C94,'Design Basis'!$A$13:$A$21,0))),""))</f>
        <v>0.03</v>
      </c>
      <c r="AE94" s="32" t="str">
        <f aca="false">IF(W94="","n/a",IF(AA94="","CHECK",IF(AND(AB94&lt;=1,OR(AC94="",AD94="",AC94&lt;=AD94)),"OK","CHECK")))</f>
        <v>OK</v>
      </c>
      <c r="AF94" s="28" t="n">
        <f aca="false">IF(AR94="","",K94*AQ94*PI()/4*AR94^2)</f>
        <v>2268.22989589183</v>
      </c>
      <c r="AG94" s="32" t="s">
        <v>878</v>
      </c>
      <c r="AI94" s="33" t="n">
        <f aca="false">INDEX(Equipment!$D$2:$D$153,MATCH(E94,Equipment!$A$2:$A$153,0))</f>
        <v>124</v>
      </c>
      <c r="AJ94" s="33" t="n">
        <f aca="false">INDEX(Equipment!$E$2:$E$153,MATCH(E94,Equipment!$A$2:$A$153,0))</f>
        <v>43</v>
      </c>
      <c r="AK94" s="33" t="n">
        <f aca="false">INDEX(Equipment!$F$2:$F$153,MATCH(E94,Equipment!$A$2:$A$153,0))</f>
        <v>20.5</v>
      </c>
      <c r="AL94" s="33" t="n">
        <f aca="false">INDEX(Equipment!$D$2:$D$153,MATCH(G94,Equipment!$A$2:$A$153,0))</f>
        <v>120</v>
      </c>
      <c r="AM94" s="33" t="n">
        <f aca="false">INDEX(Equipment!$E$2:$E$153,MATCH(G94,Equipment!$A$2:$A$153,0))</f>
        <v>43</v>
      </c>
      <c r="AN94" s="33" t="n">
        <f aca="false">INDEX(Equipment!$F$2:$F$153,MATCH(G94,Equipment!$A$2:$A$153,0))</f>
        <v>20.5</v>
      </c>
      <c r="AO94" s="33" t="n">
        <f aca="false">IF(INDEX(Raceways!$D$2:$D$18,MATCH(L94,Raceways!$A$2:$A$18,0))="",0,INDEX(Raceways!$D$2:$D$18,MATCH(L94,Raceways!$A$2:$A$18,0)))</f>
        <v>1</v>
      </c>
      <c r="AP94" s="34" t="n">
        <f aca="false">IF(INDEX(Raceways!$I$2:$I$18,MATCH(L94,Raceways!$A$2:$A$18,0))="","",INDEX(Raceways!$I$2:$I$18,MATCH(L94,Raceways!$A$2:$A$18,0)))</f>
        <v>0.88</v>
      </c>
      <c r="AQ94" s="27" t="n">
        <f aca="false">INDEX('Cable Types'!$D$2:$D$45,MATCH(I94,'Cable Types'!$A$2:$A$45,0))</f>
        <v>1</v>
      </c>
      <c r="AR94" s="27" t="n">
        <f aca="false">IF(INDEX('Cable Types'!$E$2:$E$45,MATCH(I94,'Cable Types'!$A$2:$A$45,0))="","",INDEX('Cable Types'!$E$2:$E$45,MATCH(I94,'Cable Types'!$A$2:$A$45,0)))</f>
        <v>38</v>
      </c>
      <c r="AS94" s="27" t="n">
        <f aca="false">IF(INDEX('Cable Types'!$F$2:$F$45,MATCH(I94,'Cable Types'!$A$2:$A$45,0))="","",INDEX('Cable Types'!$F$2:$F$45,MATCH(I94,'Cable Types'!$A$2:$A$45,0)))</f>
        <v>175</v>
      </c>
      <c r="AT94" s="35" t="n">
        <f aca="false">IF(INDEX('Cable Types'!$G$2:$G$45,MATCH(I94,'Cable Types'!$A$2:$A$45,0))="","",INDEX('Cable Types'!$G$2:$G$45,MATCH(I94,'Cable Types'!$A$2:$A$45,0)))</f>
        <v>0.568</v>
      </c>
    </row>
    <row r="95" customFormat="false" ht="15" hidden="false" customHeight="false" outlineLevel="0" collapsed="false">
      <c r="A95" s="26" t="s">
        <v>893</v>
      </c>
      <c r="B95" s="26" t="s">
        <v>236</v>
      </c>
      <c r="C95" s="26" t="s">
        <v>74</v>
      </c>
      <c r="D95" s="26" t="s">
        <v>894</v>
      </c>
      <c r="E95" s="26" t="s">
        <v>295</v>
      </c>
      <c r="F95" s="27" t="str">
        <f aca="false">INDEX(Equipment!$B$2:$B$153,MATCH(E95,Equipment!$A$2:$A$153,0))</f>
        <v>ACC fan 09 local disconnect switch (in sight of motor, NEC 430.102)</v>
      </c>
      <c r="G95" s="26" t="s">
        <v>292</v>
      </c>
      <c r="H95" s="27" t="str">
        <f aca="false">INDEX(Equipment!$B$2:$B$153,MATCH(G95,Equipment!$A$2:$A$153,0))</f>
        <v>ACC fan motor 09, 150 kW 480 V (VFD)</v>
      </c>
      <c r="I95" s="26" t="s">
        <v>587</v>
      </c>
      <c r="J95" s="27" t="str">
        <f aca="false">INDEX('Cable Types'!$B$2:$B$45,MATCH(I95,'Cable Types'!$A$2:$A$45,0))</f>
        <v>1000 V 3/C 2/0 AWG + 3 symmetrical G, flexible tinned Cu XHHW-2, foil + braid shield, TPE jkt, Type TC-ER, NFPA 79 (Machine Flex type)</v>
      </c>
      <c r="K95" s="26" t="n">
        <v>2</v>
      </c>
      <c r="L95" s="26" t="s">
        <v>714</v>
      </c>
      <c r="M95" s="26" t="s">
        <v>703</v>
      </c>
      <c r="N95" s="26" t="n">
        <v>6</v>
      </c>
      <c r="O95" s="28" t="n">
        <f aca="false">IF(N95&lt;&gt;"",N95,IF(M95="D",ROUNDUP(SQRT((AL95-AI95)^2+(AM95-AJ95)^2+(AN95-AK95)^2)*(1+'Design Basis'!$C$6),0),ROUNDUP((ABS(AL95-AI95)+ABS(AM95-AJ95)+ABS(AO95-AK95)+ABS(AO95-AN95))*(1+'Design Basis'!$C$4)+2*'Design Basis'!$C$5,0)))</f>
        <v>6</v>
      </c>
      <c r="P95" s="28" t="n">
        <f aca="false">ROUND(O95*'Design Basis'!$C$10,0)</f>
        <v>20</v>
      </c>
      <c r="Q95" s="28" t="n">
        <f aca="false">O95*K95*AQ95</f>
        <v>12</v>
      </c>
      <c r="R95" s="28" t="n">
        <f aca="false">ROUND(Q95*'Design Basis'!$C$10,0)</f>
        <v>39</v>
      </c>
      <c r="S95" s="29" t="n">
        <v>480</v>
      </c>
      <c r="T95" s="26" t="n">
        <v>3</v>
      </c>
      <c r="U95" s="29" t="n">
        <v>150</v>
      </c>
      <c r="V95" s="30" t="n">
        <v>0.85</v>
      </c>
      <c r="W95" s="28" t="n">
        <f aca="false">IF(OR(U95="",S95=""),"",IF(T95=3,U95*1000/(SQRT(3)*S95*V95),U95*1000/(S95*V95)))</f>
        <v>212.261128378539</v>
      </c>
      <c r="X95" s="30" t="n">
        <v>1.25</v>
      </c>
      <c r="Y95" s="28" t="n">
        <f aca="false">IF(W95="","",W95*IF(X95="",1,X95))</f>
        <v>265.326410473174</v>
      </c>
      <c r="Z95" s="28" t="n">
        <f aca="false">IF(OR(AS95="",AP95=""),"",AS95*AP95)</f>
        <v>154</v>
      </c>
      <c r="AA95" s="28" t="n">
        <f aca="false">IF(Z95="","",Z95*K95)</f>
        <v>308</v>
      </c>
      <c r="AB95" s="31" t="n">
        <f aca="false">IF(OR(Y95="",AA95=""),"",Y95/AA95)</f>
        <v>0.861449384653161</v>
      </c>
      <c r="AC95" s="31" t="n">
        <f aca="false">IF(OR(W95="",AT95=""),"",AT95*(W95/K95)*O95/1000/S95)</f>
        <v>0.000753527005743813</v>
      </c>
      <c r="AD95" s="31" t="n">
        <f aca="false">IF(W95="","",IFERROR(IF(INDEX('Design Basis'!$C$13:$C$21,MATCH(C95,'Design Basis'!$A$13:$A$21,0))="","",INDEX('Design Basis'!$C$13:$C$21,MATCH(C95,'Design Basis'!$A$13:$A$21,0))),""))</f>
        <v>0.03</v>
      </c>
      <c r="AE95" s="32" t="str">
        <f aca="false">IF(W95="","n/a",IF(AA95="","CHECK",IF(AND(AB95&lt;=1,OR(AC95="",AD95="",AC95&lt;=AD95)),"OK","CHECK")))</f>
        <v>OK</v>
      </c>
      <c r="AF95" s="28" t="n">
        <f aca="false">IF(AR95="","",K95*AQ95*PI()/4*AR95^2)</f>
        <v>2268.22989589183</v>
      </c>
      <c r="AG95" s="32" t="s">
        <v>878</v>
      </c>
      <c r="AI95" s="33" t="n">
        <f aca="false">INDEX(Equipment!$D$2:$D$153,MATCH(E95,Equipment!$A$2:$A$153,0))</f>
        <v>124</v>
      </c>
      <c r="AJ95" s="33" t="n">
        <f aca="false">INDEX(Equipment!$E$2:$E$153,MATCH(E95,Equipment!$A$2:$A$153,0))</f>
        <v>54</v>
      </c>
      <c r="AK95" s="33" t="n">
        <f aca="false">INDEX(Equipment!$F$2:$F$153,MATCH(E95,Equipment!$A$2:$A$153,0))</f>
        <v>20.5</v>
      </c>
      <c r="AL95" s="33" t="n">
        <f aca="false">INDEX(Equipment!$D$2:$D$153,MATCH(G95,Equipment!$A$2:$A$153,0))</f>
        <v>120</v>
      </c>
      <c r="AM95" s="33" t="n">
        <f aca="false">INDEX(Equipment!$E$2:$E$153,MATCH(G95,Equipment!$A$2:$A$153,0))</f>
        <v>54</v>
      </c>
      <c r="AN95" s="33" t="n">
        <f aca="false">INDEX(Equipment!$F$2:$F$153,MATCH(G95,Equipment!$A$2:$A$153,0))</f>
        <v>20.5</v>
      </c>
      <c r="AO95" s="33" t="n">
        <f aca="false">IF(INDEX(Raceways!$D$2:$D$18,MATCH(L95,Raceways!$A$2:$A$18,0))="",0,INDEX(Raceways!$D$2:$D$18,MATCH(L95,Raceways!$A$2:$A$18,0)))</f>
        <v>1</v>
      </c>
      <c r="AP95" s="34" t="n">
        <f aca="false">IF(INDEX(Raceways!$I$2:$I$18,MATCH(L95,Raceways!$A$2:$A$18,0))="","",INDEX(Raceways!$I$2:$I$18,MATCH(L95,Raceways!$A$2:$A$18,0)))</f>
        <v>0.88</v>
      </c>
      <c r="AQ95" s="27" t="n">
        <f aca="false">INDEX('Cable Types'!$D$2:$D$45,MATCH(I95,'Cable Types'!$A$2:$A$45,0))</f>
        <v>1</v>
      </c>
      <c r="AR95" s="27" t="n">
        <f aca="false">IF(INDEX('Cable Types'!$E$2:$E$45,MATCH(I95,'Cable Types'!$A$2:$A$45,0))="","",INDEX('Cable Types'!$E$2:$E$45,MATCH(I95,'Cable Types'!$A$2:$A$45,0)))</f>
        <v>38</v>
      </c>
      <c r="AS95" s="27" t="n">
        <f aca="false">IF(INDEX('Cable Types'!$F$2:$F$45,MATCH(I95,'Cable Types'!$A$2:$A$45,0))="","",INDEX('Cable Types'!$F$2:$F$45,MATCH(I95,'Cable Types'!$A$2:$A$45,0)))</f>
        <v>175</v>
      </c>
      <c r="AT95" s="35" t="n">
        <f aca="false">IF(INDEX('Cable Types'!$G$2:$G$45,MATCH(I95,'Cable Types'!$A$2:$A$45,0))="","",INDEX('Cable Types'!$G$2:$G$45,MATCH(I95,'Cable Types'!$A$2:$A$45,0)))</f>
        <v>0.568</v>
      </c>
    </row>
    <row r="96" customFormat="false" ht="15" hidden="false" customHeight="false" outlineLevel="0" collapsed="false">
      <c r="A96" s="26" t="s">
        <v>895</v>
      </c>
      <c r="B96" s="26" t="s">
        <v>236</v>
      </c>
      <c r="C96" s="26" t="s">
        <v>74</v>
      </c>
      <c r="D96" s="26" t="s">
        <v>896</v>
      </c>
      <c r="E96" s="26" t="s">
        <v>301</v>
      </c>
      <c r="F96" s="27" t="str">
        <f aca="false">INDEX(Equipment!$B$2:$B$153,MATCH(E96,Equipment!$A$2:$A$153,0))</f>
        <v>ACC fan 10 local disconnect switch (in sight of motor, NEC 430.102)</v>
      </c>
      <c r="G96" s="26" t="s">
        <v>298</v>
      </c>
      <c r="H96" s="27" t="str">
        <f aca="false">INDEX(Equipment!$B$2:$B$153,MATCH(G96,Equipment!$A$2:$A$153,0))</f>
        <v>ACC fan motor 10, 150 kW 480 V (VFD)</v>
      </c>
      <c r="I96" s="26" t="s">
        <v>587</v>
      </c>
      <c r="J96" s="27" t="str">
        <f aca="false">INDEX('Cable Types'!$B$2:$B$45,MATCH(I96,'Cable Types'!$A$2:$A$45,0))</f>
        <v>1000 V 3/C 2/0 AWG + 3 symmetrical G, flexible tinned Cu XHHW-2, foil + braid shield, TPE jkt, Type TC-ER, NFPA 79 (Machine Flex type)</v>
      </c>
      <c r="K96" s="26" t="n">
        <v>2</v>
      </c>
      <c r="L96" s="26" t="s">
        <v>714</v>
      </c>
      <c r="M96" s="26" t="s">
        <v>703</v>
      </c>
      <c r="N96" s="26" t="n">
        <v>6</v>
      </c>
      <c r="O96" s="28" t="n">
        <f aca="false">IF(N96&lt;&gt;"",N96,IF(M96="D",ROUNDUP(SQRT((AL96-AI96)^2+(AM96-AJ96)^2+(AN96-AK96)^2)*(1+'Design Basis'!$C$6),0),ROUNDUP((ABS(AL96-AI96)+ABS(AM96-AJ96)+ABS(AO96-AK96)+ABS(AO96-AN96))*(1+'Design Basis'!$C$4)+2*'Design Basis'!$C$5,0)))</f>
        <v>6</v>
      </c>
      <c r="P96" s="28" t="n">
        <f aca="false">ROUND(O96*'Design Basis'!$C$10,0)</f>
        <v>20</v>
      </c>
      <c r="Q96" s="28" t="n">
        <f aca="false">O96*K96*AQ96</f>
        <v>12</v>
      </c>
      <c r="R96" s="28" t="n">
        <f aca="false">ROUND(Q96*'Design Basis'!$C$10,0)</f>
        <v>39</v>
      </c>
      <c r="S96" s="29" t="n">
        <v>480</v>
      </c>
      <c r="T96" s="26" t="n">
        <v>3</v>
      </c>
      <c r="U96" s="29" t="n">
        <v>150</v>
      </c>
      <c r="V96" s="30" t="n">
        <v>0.85</v>
      </c>
      <c r="W96" s="28" t="n">
        <f aca="false">IF(OR(U96="",S96=""),"",IF(T96=3,U96*1000/(SQRT(3)*S96*V96),U96*1000/(S96*V96)))</f>
        <v>212.261128378539</v>
      </c>
      <c r="X96" s="30" t="n">
        <v>1.25</v>
      </c>
      <c r="Y96" s="28" t="n">
        <f aca="false">IF(W96="","",W96*IF(X96="",1,X96))</f>
        <v>265.326410473174</v>
      </c>
      <c r="Z96" s="28" t="n">
        <f aca="false">IF(OR(AS96="",AP96=""),"",AS96*AP96)</f>
        <v>154</v>
      </c>
      <c r="AA96" s="28" t="n">
        <f aca="false">IF(Z96="","",Z96*K96)</f>
        <v>308</v>
      </c>
      <c r="AB96" s="31" t="n">
        <f aca="false">IF(OR(Y96="",AA96=""),"",Y96/AA96)</f>
        <v>0.861449384653161</v>
      </c>
      <c r="AC96" s="31" t="n">
        <f aca="false">IF(OR(W96="",AT96=""),"",AT96*(W96/K96)*O96/1000/S96)</f>
        <v>0.000753527005743813</v>
      </c>
      <c r="AD96" s="31" t="n">
        <f aca="false">IF(W96="","",IFERROR(IF(INDEX('Design Basis'!$C$13:$C$21,MATCH(C96,'Design Basis'!$A$13:$A$21,0))="","",INDEX('Design Basis'!$C$13:$C$21,MATCH(C96,'Design Basis'!$A$13:$A$21,0))),""))</f>
        <v>0.03</v>
      </c>
      <c r="AE96" s="32" t="str">
        <f aca="false">IF(W96="","n/a",IF(AA96="","CHECK",IF(AND(AB96&lt;=1,OR(AC96="",AD96="",AC96&lt;=AD96)),"OK","CHECK")))</f>
        <v>OK</v>
      </c>
      <c r="AF96" s="28" t="n">
        <f aca="false">IF(AR96="","",K96*AQ96*PI()/4*AR96^2)</f>
        <v>2268.22989589183</v>
      </c>
      <c r="AG96" s="32" t="s">
        <v>878</v>
      </c>
      <c r="AI96" s="33" t="n">
        <f aca="false">INDEX(Equipment!$D$2:$D$153,MATCH(E96,Equipment!$A$2:$A$153,0))</f>
        <v>132</v>
      </c>
      <c r="AJ96" s="33" t="n">
        <f aca="false">INDEX(Equipment!$E$2:$E$153,MATCH(E96,Equipment!$A$2:$A$153,0))</f>
        <v>32</v>
      </c>
      <c r="AK96" s="33" t="n">
        <f aca="false">INDEX(Equipment!$F$2:$F$153,MATCH(E96,Equipment!$A$2:$A$153,0))</f>
        <v>20.5</v>
      </c>
      <c r="AL96" s="33" t="n">
        <f aca="false">INDEX(Equipment!$D$2:$D$153,MATCH(G96,Equipment!$A$2:$A$153,0))</f>
        <v>128</v>
      </c>
      <c r="AM96" s="33" t="n">
        <f aca="false">INDEX(Equipment!$E$2:$E$153,MATCH(G96,Equipment!$A$2:$A$153,0))</f>
        <v>32</v>
      </c>
      <c r="AN96" s="33" t="n">
        <f aca="false">INDEX(Equipment!$F$2:$F$153,MATCH(G96,Equipment!$A$2:$A$153,0))</f>
        <v>20.5</v>
      </c>
      <c r="AO96" s="33" t="n">
        <f aca="false">IF(INDEX(Raceways!$D$2:$D$18,MATCH(L96,Raceways!$A$2:$A$18,0))="",0,INDEX(Raceways!$D$2:$D$18,MATCH(L96,Raceways!$A$2:$A$18,0)))</f>
        <v>1</v>
      </c>
      <c r="AP96" s="34" t="n">
        <f aca="false">IF(INDEX(Raceways!$I$2:$I$18,MATCH(L96,Raceways!$A$2:$A$18,0))="","",INDEX(Raceways!$I$2:$I$18,MATCH(L96,Raceways!$A$2:$A$18,0)))</f>
        <v>0.88</v>
      </c>
      <c r="AQ96" s="27" t="n">
        <f aca="false">INDEX('Cable Types'!$D$2:$D$45,MATCH(I96,'Cable Types'!$A$2:$A$45,0))</f>
        <v>1</v>
      </c>
      <c r="AR96" s="27" t="n">
        <f aca="false">IF(INDEX('Cable Types'!$E$2:$E$45,MATCH(I96,'Cable Types'!$A$2:$A$45,0))="","",INDEX('Cable Types'!$E$2:$E$45,MATCH(I96,'Cable Types'!$A$2:$A$45,0)))</f>
        <v>38</v>
      </c>
      <c r="AS96" s="27" t="n">
        <f aca="false">IF(INDEX('Cable Types'!$F$2:$F$45,MATCH(I96,'Cable Types'!$A$2:$A$45,0))="","",INDEX('Cable Types'!$F$2:$F$45,MATCH(I96,'Cable Types'!$A$2:$A$45,0)))</f>
        <v>175</v>
      </c>
      <c r="AT96" s="35" t="n">
        <f aca="false">IF(INDEX('Cable Types'!$G$2:$G$45,MATCH(I96,'Cable Types'!$A$2:$A$45,0))="","",INDEX('Cable Types'!$G$2:$G$45,MATCH(I96,'Cable Types'!$A$2:$A$45,0)))</f>
        <v>0.568</v>
      </c>
    </row>
    <row r="97" customFormat="false" ht="15" hidden="false" customHeight="false" outlineLevel="0" collapsed="false">
      <c r="A97" s="26" t="s">
        <v>897</v>
      </c>
      <c r="B97" s="26" t="s">
        <v>236</v>
      </c>
      <c r="C97" s="26" t="s">
        <v>74</v>
      </c>
      <c r="D97" s="26" t="s">
        <v>898</v>
      </c>
      <c r="E97" s="26" t="s">
        <v>307</v>
      </c>
      <c r="F97" s="27" t="str">
        <f aca="false">INDEX(Equipment!$B$2:$B$153,MATCH(E97,Equipment!$A$2:$A$153,0))</f>
        <v>ACC fan 11 local disconnect switch (in sight of motor, NEC 430.102)</v>
      </c>
      <c r="G97" s="26" t="s">
        <v>304</v>
      </c>
      <c r="H97" s="27" t="str">
        <f aca="false">INDEX(Equipment!$B$2:$B$153,MATCH(G97,Equipment!$A$2:$A$153,0))</f>
        <v>ACC fan motor 11, 150 kW 480 V (VFD)</v>
      </c>
      <c r="I97" s="26" t="s">
        <v>587</v>
      </c>
      <c r="J97" s="27" t="str">
        <f aca="false">INDEX('Cable Types'!$B$2:$B$45,MATCH(I97,'Cable Types'!$A$2:$A$45,0))</f>
        <v>1000 V 3/C 2/0 AWG + 3 symmetrical G, flexible tinned Cu XHHW-2, foil + braid shield, TPE jkt, Type TC-ER, NFPA 79 (Machine Flex type)</v>
      </c>
      <c r="K97" s="26" t="n">
        <v>2</v>
      </c>
      <c r="L97" s="26" t="s">
        <v>714</v>
      </c>
      <c r="M97" s="26" t="s">
        <v>703</v>
      </c>
      <c r="N97" s="26" t="n">
        <v>6</v>
      </c>
      <c r="O97" s="28" t="n">
        <f aca="false">IF(N97&lt;&gt;"",N97,IF(M97="D",ROUNDUP(SQRT((AL97-AI97)^2+(AM97-AJ97)^2+(AN97-AK97)^2)*(1+'Design Basis'!$C$6),0),ROUNDUP((ABS(AL97-AI97)+ABS(AM97-AJ97)+ABS(AO97-AK97)+ABS(AO97-AN97))*(1+'Design Basis'!$C$4)+2*'Design Basis'!$C$5,0)))</f>
        <v>6</v>
      </c>
      <c r="P97" s="28" t="n">
        <f aca="false">ROUND(O97*'Design Basis'!$C$10,0)</f>
        <v>20</v>
      </c>
      <c r="Q97" s="28" t="n">
        <f aca="false">O97*K97*AQ97</f>
        <v>12</v>
      </c>
      <c r="R97" s="28" t="n">
        <f aca="false">ROUND(Q97*'Design Basis'!$C$10,0)</f>
        <v>39</v>
      </c>
      <c r="S97" s="29" t="n">
        <v>480</v>
      </c>
      <c r="T97" s="26" t="n">
        <v>3</v>
      </c>
      <c r="U97" s="29" t="n">
        <v>150</v>
      </c>
      <c r="V97" s="30" t="n">
        <v>0.85</v>
      </c>
      <c r="W97" s="28" t="n">
        <f aca="false">IF(OR(U97="",S97=""),"",IF(T97=3,U97*1000/(SQRT(3)*S97*V97),U97*1000/(S97*V97)))</f>
        <v>212.261128378539</v>
      </c>
      <c r="X97" s="30" t="n">
        <v>1.25</v>
      </c>
      <c r="Y97" s="28" t="n">
        <f aca="false">IF(W97="","",W97*IF(X97="",1,X97))</f>
        <v>265.326410473174</v>
      </c>
      <c r="Z97" s="28" t="n">
        <f aca="false">IF(OR(AS97="",AP97=""),"",AS97*AP97)</f>
        <v>154</v>
      </c>
      <c r="AA97" s="28" t="n">
        <f aca="false">IF(Z97="","",Z97*K97)</f>
        <v>308</v>
      </c>
      <c r="AB97" s="31" t="n">
        <f aca="false">IF(OR(Y97="",AA97=""),"",Y97/AA97)</f>
        <v>0.861449384653161</v>
      </c>
      <c r="AC97" s="31" t="n">
        <f aca="false">IF(OR(W97="",AT97=""),"",AT97*(W97/K97)*O97/1000/S97)</f>
        <v>0.000753527005743813</v>
      </c>
      <c r="AD97" s="31" t="n">
        <f aca="false">IF(W97="","",IFERROR(IF(INDEX('Design Basis'!$C$13:$C$21,MATCH(C97,'Design Basis'!$A$13:$A$21,0))="","",INDEX('Design Basis'!$C$13:$C$21,MATCH(C97,'Design Basis'!$A$13:$A$21,0))),""))</f>
        <v>0.03</v>
      </c>
      <c r="AE97" s="32" t="str">
        <f aca="false">IF(W97="","n/a",IF(AA97="","CHECK",IF(AND(AB97&lt;=1,OR(AC97="",AD97="",AC97&lt;=AD97)),"OK","CHECK")))</f>
        <v>OK</v>
      </c>
      <c r="AF97" s="28" t="n">
        <f aca="false">IF(AR97="","",K97*AQ97*PI()/4*AR97^2)</f>
        <v>2268.22989589183</v>
      </c>
      <c r="AG97" s="32" t="s">
        <v>878</v>
      </c>
      <c r="AI97" s="33" t="n">
        <f aca="false">INDEX(Equipment!$D$2:$D$153,MATCH(E97,Equipment!$A$2:$A$153,0))</f>
        <v>132</v>
      </c>
      <c r="AJ97" s="33" t="n">
        <f aca="false">INDEX(Equipment!$E$2:$E$153,MATCH(E97,Equipment!$A$2:$A$153,0))</f>
        <v>43</v>
      </c>
      <c r="AK97" s="33" t="n">
        <f aca="false">INDEX(Equipment!$F$2:$F$153,MATCH(E97,Equipment!$A$2:$A$153,0))</f>
        <v>20.5</v>
      </c>
      <c r="AL97" s="33" t="n">
        <f aca="false">INDEX(Equipment!$D$2:$D$153,MATCH(G97,Equipment!$A$2:$A$153,0))</f>
        <v>128</v>
      </c>
      <c r="AM97" s="33" t="n">
        <f aca="false">INDEX(Equipment!$E$2:$E$153,MATCH(G97,Equipment!$A$2:$A$153,0))</f>
        <v>43</v>
      </c>
      <c r="AN97" s="33" t="n">
        <f aca="false">INDEX(Equipment!$F$2:$F$153,MATCH(G97,Equipment!$A$2:$A$153,0))</f>
        <v>20.5</v>
      </c>
      <c r="AO97" s="33" t="n">
        <f aca="false">IF(INDEX(Raceways!$D$2:$D$18,MATCH(L97,Raceways!$A$2:$A$18,0))="",0,INDEX(Raceways!$D$2:$D$18,MATCH(L97,Raceways!$A$2:$A$18,0)))</f>
        <v>1</v>
      </c>
      <c r="AP97" s="34" t="n">
        <f aca="false">IF(INDEX(Raceways!$I$2:$I$18,MATCH(L97,Raceways!$A$2:$A$18,0))="","",INDEX(Raceways!$I$2:$I$18,MATCH(L97,Raceways!$A$2:$A$18,0)))</f>
        <v>0.88</v>
      </c>
      <c r="AQ97" s="27" t="n">
        <f aca="false">INDEX('Cable Types'!$D$2:$D$45,MATCH(I97,'Cable Types'!$A$2:$A$45,0))</f>
        <v>1</v>
      </c>
      <c r="AR97" s="27" t="n">
        <f aca="false">IF(INDEX('Cable Types'!$E$2:$E$45,MATCH(I97,'Cable Types'!$A$2:$A$45,0))="","",INDEX('Cable Types'!$E$2:$E$45,MATCH(I97,'Cable Types'!$A$2:$A$45,0)))</f>
        <v>38</v>
      </c>
      <c r="AS97" s="27" t="n">
        <f aca="false">IF(INDEX('Cable Types'!$F$2:$F$45,MATCH(I97,'Cable Types'!$A$2:$A$45,0))="","",INDEX('Cable Types'!$F$2:$F$45,MATCH(I97,'Cable Types'!$A$2:$A$45,0)))</f>
        <v>175</v>
      </c>
      <c r="AT97" s="35" t="n">
        <f aca="false">IF(INDEX('Cable Types'!$G$2:$G$45,MATCH(I97,'Cable Types'!$A$2:$A$45,0))="","",INDEX('Cable Types'!$G$2:$G$45,MATCH(I97,'Cable Types'!$A$2:$A$45,0)))</f>
        <v>0.568</v>
      </c>
    </row>
    <row r="98" customFormat="false" ht="15" hidden="false" customHeight="false" outlineLevel="0" collapsed="false">
      <c r="A98" s="26" t="s">
        <v>899</v>
      </c>
      <c r="B98" s="26" t="s">
        <v>236</v>
      </c>
      <c r="C98" s="26" t="s">
        <v>74</v>
      </c>
      <c r="D98" s="26" t="s">
        <v>900</v>
      </c>
      <c r="E98" s="26" t="s">
        <v>313</v>
      </c>
      <c r="F98" s="27" t="str">
        <f aca="false">INDEX(Equipment!$B$2:$B$153,MATCH(E98,Equipment!$A$2:$A$153,0))</f>
        <v>ACC fan 12 local disconnect switch (in sight of motor, NEC 430.102)</v>
      </c>
      <c r="G98" s="26" t="s">
        <v>310</v>
      </c>
      <c r="H98" s="27" t="str">
        <f aca="false">INDEX(Equipment!$B$2:$B$153,MATCH(G98,Equipment!$A$2:$A$153,0))</f>
        <v>ACC fan motor 12, 150 kW 480 V (VFD)</v>
      </c>
      <c r="I98" s="26" t="s">
        <v>587</v>
      </c>
      <c r="J98" s="27" t="str">
        <f aca="false">INDEX('Cable Types'!$B$2:$B$45,MATCH(I98,'Cable Types'!$A$2:$A$45,0))</f>
        <v>1000 V 3/C 2/0 AWG + 3 symmetrical G, flexible tinned Cu XHHW-2, foil + braid shield, TPE jkt, Type TC-ER, NFPA 79 (Machine Flex type)</v>
      </c>
      <c r="K98" s="26" t="n">
        <v>2</v>
      </c>
      <c r="L98" s="26" t="s">
        <v>714</v>
      </c>
      <c r="M98" s="26" t="s">
        <v>703</v>
      </c>
      <c r="N98" s="26" t="n">
        <v>6</v>
      </c>
      <c r="O98" s="28" t="n">
        <f aca="false">IF(N98&lt;&gt;"",N98,IF(M98="D",ROUNDUP(SQRT((AL98-AI98)^2+(AM98-AJ98)^2+(AN98-AK98)^2)*(1+'Design Basis'!$C$6),0),ROUNDUP((ABS(AL98-AI98)+ABS(AM98-AJ98)+ABS(AO98-AK98)+ABS(AO98-AN98))*(1+'Design Basis'!$C$4)+2*'Design Basis'!$C$5,0)))</f>
        <v>6</v>
      </c>
      <c r="P98" s="28" t="n">
        <f aca="false">ROUND(O98*'Design Basis'!$C$10,0)</f>
        <v>20</v>
      </c>
      <c r="Q98" s="28" t="n">
        <f aca="false">O98*K98*AQ98</f>
        <v>12</v>
      </c>
      <c r="R98" s="28" t="n">
        <f aca="false">ROUND(Q98*'Design Basis'!$C$10,0)</f>
        <v>39</v>
      </c>
      <c r="S98" s="29" t="n">
        <v>480</v>
      </c>
      <c r="T98" s="26" t="n">
        <v>3</v>
      </c>
      <c r="U98" s="29" t="n">
        <v>150</v>
      </c>
      <c r="V98" s="30" t="n">
        <v>0.85</v>
      </c>
      <c r="W98" s="28" t="n">
        <f aca="false">IF(OR(U98="",S98=""),"",IF(T98=3,U98*1000/(SQRT(3)*S98*V98),U98*1000/(S98*V98)))</f>
        <v>212.261128378539</v>
      </c>
      <c r="X98" s="30" t="n">
        <v>1.25</v>
      </c>
      <c r="Y98" s="28" t="n">
        <f aca="false">IF(W98="","",W98*IF(X98="",1,X98))</f>
        <v>265.326410473174</v>
      </c>
      <c r="Z98" s="28" t="n">
        <f aca="false">IF(OR(AS98="",AP98=""),"",AS98*AP98)</f>
        <v>154</v>
      </c>
      <c r="AA98" s="28" t="n">
        <f aca="false">IF(Z98="","",Z98*K98)</f>
        <v>308</v>
      </c>
      <c r="AB98" s="31" t="n">
        <f aca="false">IF(OR(Y98="",AA98=""),"",Y98/AA98)</f>
        <v>0.861449384653161</v>
      </c>
      <c r="AC98" s="31" t="n">
        <f aca="false">IF(OR(W98="",AT98=""),"",AT98*(W98/K98)*O98/1000/S98)</f>
        <v>0.000753527005743813</v>
      </c>
      <c r="AD98" s="31" t="n">
        <f aca="false">IF(W98="","",IFERROR(IF(INDEX('Design Basis'!$C$13:$C$21,MATCH(C98,'Design Basis'!$A$13:$A$21,0))="","",INDEX('Design Basis'!$C$13:$C$21,MATCH(C98,'Design Basis'!$A$13:$A$21,0))),""))</f>
        <v>0.03</v>
      </c>
      <c r="AE98" s="32" t="str">
        <f aca="false">IF(W98="","n/a",IF(AA98="","CHECK",IF(AND(AB98&lt;=1,OR(AC98="",AD98="",AC98&lt;=AD98)),"OK","CHECK")))</f>
        <v>OK</v>
      </c>
      <c r="AF98" s="28" t="n">
        <f aca="false">IF(AR98="","",K98*AQ98*PI()/4*AR98^2)</f>
        <v>2268.22989589183</v>
      </c>
      <c r="AG98" s="32" t="s">
        <v>878</v>
      </c>
      <c r="AI98" s="33" t="n">
        <f aca="false">INDEX(Equipment!$D$2:$D$153,MATCH(E98,Equipment!$A$2:$A$153,0))</f>
        <v>132</v>
      </c>
      <c r="AJ98" s="33" t="n">
        <f aca="false">INDEX(Equipment!$E$2:$E$153,MATCH(E98,Equipment!$A$2:$A$153,0))</f>
        <v>54</v>
      </c>
      <c r="AK98" s="33" t="n">
        <f aca="false">INDEX(Equipment!$F$2:$F$153,MATCH(E98,Equipment!$A$2:$A$153,0))</f>
        <v>20.5</v>
      </c>
      <c r="AL98" s="33" t="n">
        <f aca="false">INDEX(Equipment!$D$2:$D$153,MATCH(G98,Equipment!$A$2:$A$153,0))</f>
        <v>128</v>
      </c>
      <c r="AM98" s="33" t="n">
        <f aca="false">INDEX(Equipment!$E$2:$E$153,MATCH(G98,Equipment!$A$2:$A$153,0))</f>
        <v>54</v>
      </c>
      <c r="AN98" s="33" t="n">
        <f aca="false">INDEX(Equipment!$F$2:$F$153,MATCH(G98,Equipment!$A$2:$A$153,0))</f>
        <v>20.5</v>
      </c>
      <c r="AO98" s="33" t="n">
        <f aca="false">IF(INDEX(Raceways!$D$2:$D$18,MATCH(L98,Raceways!$A$2:$A$18,0))="",0,INDEX(Raceways!$D$2:$D$18,MATCH(L98,Raceways!$A$2:$A$18,0)))</f>
        <v>1</v>
      </c>
      <c r="AP98" s="34" t="n">
        <f aca="false">IF(INDEX(Raceways!$I$2:$I$18,MATCH(L98,Raceways!$A$2:$A$18,0))="","",INDEX(Raceways!$I$2:$I$18,MATCH(L98,Raceways!$A$2:$A$18,0)))</f>
        <v>0.88</v>
      </c>
      <c r="AQ98" s="27" t="n">
        <f aca="false">INDEX('Cable Types'!$D$2:$D$45,MATCH(I98,'Cable Types'!$A$2:$A$45,0))</f>
        <v>1</v>
      </c>
      <c r="AR98" s="27" t="n">
        <f aca="false">IF(INDEX('Cable Types'!$E$2:$E$45,MATCH(I98,'Cable Types'!$A$2:$A$45,0))="","",INDEX('Cable Types'!$E$2:$E$45,MATCH(I98,'Cable Types'!$A$2:$A$45,0)))</f>
        <v>38</v>
      </c>
      <c r="AS98" s="27" t="n">
        <f aca="false">IF(INDEX('Cable Types'!$F$2:$F$45,MATCH(I98,'Cable Types'!$A$2:$A$45,0))="","",INDEX('Cable Types'!$F$2:$F$45,MATCH(I98,'Cable Types'!$A$2:$A$45,0)))</f>
        <v>175</v>
      </c>
      <c r="AT98" s="35" t="n">
        <f aca="false">IF(INDEX('Cable Types'!$G$2:$G$45,MATCH(I98,'Cable Types'!$A$2:$A$45,0))="","",INDEX('Cable Types'!$G$2:$G$45,MATCH(I98,'Cable Types'!$A$2:$A$45,0)))</f>
        <v>0.568</v>
      </c>
    </row>
    <row r="99" customFormat="false" ht="15" hidden="false" customHeight="false" outlineLevel="0" collapsed="false">
      <c r="A99" s="26" t="s">
        <v>901</v>
      </c>
      <c r="B99" s="26" t="s">
        <v>236</v>
      </c>
      <c r="C99" s="26" t="s">
        <v>74</v>
      </c>
      <c r="D99" s="26" t="s">
        <v>902</v>
      </c>
      <c r="E99" s="26" t="s">
        <v>319</v>
      </c>
      <c r="F99" s="27" t="str">
        <f aca="false">INDEX(Equipment!$B$2:$B$153,MATCH(E99,Equipment!$A$2:$A$153,0))</f>
        <v>ACC fan 13 local disconnect switch (in sight of motor, NEC 430.102)</v>
      </c>
      <c r="G99" s="26" t="s">
        <v>316</v>
      </c>
      <c r="H99" s="27" t="str">
        <f aca="false">INDEX(Equipment!$B$2:$B$153,MATCH(G99,Equipment!$A$2:$A$153,0))</f>
        <v>ACC fan motor 13, 150 kW 480 V (VFD)</v>
      </c>
      <c r="I99" s="26" t="s">
        <v>587</v>
      </c>
      <c r="J99" s="27" t="str">
        <f aca="false">INDEX('Cable Types'!$B$2:$B$45,MATCH(I99,'Cable Types'!$A$2:$A$45,0))</f>
        <v>1000 V 3/C 2/0 AWG + 3 symmetrical G, flexible tinned Cu XHHW-2, foil + braid shield, TPE jkt, Type TC-ER, NFPA 79 (Machine Flex type)</v>
      </c>
      <c r="K99" s="26" t="n">
        <v>2</v>
      </c>
      <c r="L99" s="26" t="s">
        <v>714</v>
      </c>
      <c r="M99" s="26" t="s">
        <v>703</v>
      </c>
      <c r="N99" s="26" t="n">
        <v>6</v>
      </c>
      <c r="O99" s="28" t="n">
        <f aca="false">IF(N99&lt;&gt;"",N99,IF(M99="D",ROUNDUP(SQRT((AL99-AI99)^2+(AM99-AJ99)^2+(AN99-AK99)^2)*(1+'Design Basis'!$C$6),0),ROUNDUP((ABS(AL99-AI99)+ABS(AM99-AJ99)+ABS(AO99-AK99)+ABS(AO99-AN99))*(1+'Design Basis'!$C$4)+2*'Design Basis'!$C$5,0)))</f>
        <v>6</v>
      </c>
      <c r="P99" s="28" t="n">
        <f aca="false">ROUND(O99*'Design Basis'!$C$10,0)</f>
        <v>20</v>
      </c>
      <c r="Q99" s="28" t="n">
        <f aca="false">O99*K99*AQ99</f>
        <v>12</v>
      </c>
      <c r="R99" s="28" t="n">
        <f aca="false">ROUND(Q99*'Design Basis'!$C$10,0)</f>
        <v>39</v>
      </c>
      <c r="S99" s="29" t="n">
        <v>480</v>
      </c>
      <c r="T99" s="26" t="n">
        <v>3</v>
      </c>
      <c r="U99" s="29" t="n">
        <v>150</v>
      </c>
      <c r="V99" s="30" t="n">
        <v>0.85</v>
      </c>
      <c r="W99" s="28" t="n">
        <f aca="false">IF(OR(U99="",S99=""),"",IF(T99=3,U99*1000/(SQRT(3)*S99*V99),U99*1000/(S99*V99)))</f>
        <v>212.261128378539</v>
      </c>
      <c r="X99" s="30" t="n">
        <v>1.25</v>
      </c>
      <c r="Y99" s="28" t="n">
        <f aca="false">IF(W99="","",W99*IF(X99="",1,X99))</f>
        <v>265.326410473174</v>
      </c>
      <c r="Z99" s="28" t="n">
        <f aca="false">IF(OR(AS99="",AP99=""),"",AS99*AP99)</f>
        <v>154</v>
      </c>
      <c r="AA99" s="28" t="n">
        <f aca="false">IF(Z99="","",Z99*K99)</f>
        <v>308</v>
      </c>
      <c r="AB99" s="31" t="n">
        <f aca="false">IF(OR(Y99="",AA99=""),"",Y99/AA99)</f>
        <v>0.861449384653161</v>
      </c>
      <c r="AC99" s="31" t="n">
        <f aca="false">IF(OR(W99="",AT99=""),"",AT99*(W99/K99)*O99/1000/S99)</f>
        <v>0.000753527005743813</v>
      </c>
      <c r="AD99" s="31" t="n">
        <f aca="false">IF(W99="","",IFERROR(IF(INDEX('Design Basis'!$C$13:$C$21,MATCH(C99,'Design Basis'!$A$13:$A$21,0))="","",INDEX('Design Basis'!$C$13:$C$21,MATCH(C99,'Design Basis'!$A$13:$A$21,0))),""))</f>
        <v>0.03</v>
      </c>
      <c r="AE99" s="32" t="str">
        <f aca="false">IF(W99="","n/a",IF(AA99="","CHECK",IF(AND(AB99&lt;=1,OR(AC99="",AD99="",AC99&lt;=AD99)),"OK","CHECK")))</f>
        <v>OK</v>
      </c>
      <c r="AF99" s="28" t="n">
        <f aca="false">IF(AR99="","",K99*AQ99*PI()/4*AR99^2)</f>
        <v>2268.22989589183</v>
      </c>
      <c r="AG99" s="32" t="s">
        <v>878</v>
      </c>
      <c r="AI99" s="33" t="n">
        <f aca="false">INDEX(Equipment!$D$2:$D$153,MATCH(E99,Equipment!$A$2:$A$153,0))</f>
        <v>140</v>
      </c>
      <c r="AJ99" s="33" t="n">
        <f aca="false">INDEX(Equipment!$E$2:$E$153,MATCH(E99,Equipment!$A$2:$A$153,0))</f>
        <v>32</v>
      </c>
      <c r="AK99" s="33" t="n">
        <f aca="false">INDEX(Equipment!$F$2:$F$153,MATCH(E99,Equipment!$A$2:$A$153,0))</f>
        <v>20.5</v>
      </c>
      <c r="AL99" s="33" t="n">
        <f aca="false">INDEX(Equipment!$D$2:$D$153,MATCH(G99,Equipment!$A$2:$A$153,0))</f>
        <v>136</v>
      </c>
      <c r="AM99" s="33" t="n">
        <f aca="false">INDEX(Equipment!$E$2:$E$153,MATCH(G99,Equipment!$A$2:$A$153,0))</f>
        <v>32</v>
      </c>
      <c r="AN99" s="33" t="n">
        <f aca="false">INDEX(Equipment!$F$2:$F$153,MATCH(G99,Equipment!$A$2:$A$153,0))</f>
        <v>20.5</v>
      </c>
      <c r="AO99" s="33" t="n">
        <f aca="false">IF(INDEX(Raceways!$D$2:$D$18,MATCH(L99,Raceways!$A$2:$A$18,0))="",0,INDEX(Raceways!$D$2:$D$18,MATCH(L99,Raceways!$A$2:$A$18,0)))</f>
        <v>1</v>
      </c>
      <c r="AP99" s="34" t="n">
        <f aca="false">IF(INDEX(Raceways!$I$2:$I$18,MATCH(L99,Raceways!$A$2:$A$18,0))="","",INDEX(Raceways!$I$2:$I$18,MATCH(L99,Raceways!$A$2:$A$18,0)))</f>
        <v>0.88</v>
      </c>
      <c r="AQ99" s="27" t="n">
        <f aca="false">INDEX('Cable Types'!$D$2:$D$45,MATCH(I99,'Cable Types'!$A$2:$A$45,0))</f>
        <v>1</v>
      </c>
      <c r="AR99" s="27" t="n">
        <f aca="false">IF(INDEX('Cable Types'!$E$2:$E$45,MATCH(I99,'Cable Types'!$A$2:$A$45,0))="","",INDEX('Cable Types'!$E$2:$E$45,MATCH(I99,'Cable Types'!$A$2:$A$45,0)))</f>
        <v>38</v>
      </c>
      <c r="AS99" s="27" t="n">
        <f aca="false">IF(INDEX('Cable Types'!$F$2:$F$45,MATCH(I99,'Cable Types'!$A$2:$A$45,0))="","",INDEX('Cable Types'!$F$2:$F$45,MATCH(I99,'Cable Types'!$A$2:$A$45,0)))</f>
        <v>175</v>
      </c>
      <c r="AT99" s="35" t="n">
        <f aca="false">IF(INDEX('Cable Types'!$G$2:$G$45,MATCH(I99,'Cable Types'!$A$2:$A$45,0))="","",INDEX('Cable Types'!$G$2:$G$45,MATCH(I99,'Cable Types'!$A$2:$A$45,0)))</f>
        <v>0.568</v>
      </c>
    </row>
    <row r="100" customFormat="false" ht="15" hidden="false" customHeight="false" outlineLevel="0" collapsed="false">
      <c r="A100" s="26" t="s">
        <v>903</v>
      </c>
      <c r="B100" s="26" t="s">
        <v>236</v>
      </c>
      <c r="C100" s="26" t="s">
        <v>74</v>
      </c>
      <c r="D100" s="26" t="s">
        <v>904</v>
      </c>
      <c r="E100" s="26" t="s">
        <v>325</v>
      </c>
      <c r="F100" s="27" t="str">
        <f aca="false">INDEX(Equipment!$B$2:$B$153,MATCH(E100,Equipment!$A$2:$A$153,0))</f>
        <v>ACC fan 14 local disconnect switch (in sight of motor, NEC 430.102)</v>
      </c>
      <c r="G100" s="26" t="s">
        <v>322</v>
      </c>
      <c r="H100" s="27" t="str">
        <f aca="false">INDEX(Equipment!$B$2:$B$153,MATCH(G100,Equipment!$A$2:$A$153,0))</f>
        <v>ACC fan motor 14, 150 kW 480 V (VFD)</v>
      </c>
      <c r="I100" s="26" t="s">
        <v>587</v>
      </c>
      <c r="J100" s="27" t="str">
        <f aca="false">INDEX('Cable Types'!$B$2:$B$45,MATCH(I100,'Cable Types'!$A$2:$A$45,0))</f>
        <v>1000 V 3/C 2/0 AWG + 3 symmetrical G, flexible tinned Cu XHHW-2, foil + braid shield, TPE jkt, Type TC-ER, NFPA 79 (Machine Flex type)</v>
      </c>
      <c r="K100" s="26" t="n">
        <v>2</v>
      </c>
      <c r="L100" s="26" t="s">
        <v>714</v>
      </c>
      <c r="M100" s="26" t="s">
        <v>703</v>
      </c>
      <c r="N100" s="26" t="n">
        <v>6</v>
      </c>
      <c r="O100" s="28" t="n">
        <f aca="false">IF(N100&lt;&gt;"",N100,IF(M100="D",ROUNDUP(SQRT((AL100-AI100)^2+(AM100-AJ100)^2+(AN100-AK100)^2)*(1+'Design Basis'!$C$6),0),ROUNDUP((ABS(AL100-AI100)+ABS(AM100-AJ100)+ABS(AO100-AK100)+ABS(AO100-AN100))*(1+'Design Basis'!$C$4)+2*'Design Basis'!$C$5,0)))</f>
        <v>6</v>
      </c>
      <c r="P100" s="28" t="n">
        <f aca="false">ROUND(O100*'Design Basis'!$C$10,0)</f>
        <v>20</v>
      </c>
      <c r="Q100" s="28" t="n">
        <f aca="false">O100*K100*AQ100</f>
        <v>12</v>
      </c>
      <c r="R100" s="28" t="n">
        <f aca="false">ROUND(Q100*'Design Basis'!$C$10,0)</f>
        <v>39</v>
      </c>
      <c r="S100" s="29" t="n">
        <v>480</v>
      </c>
      <c r="T100" s="26" t="n">
        <v>3</v>
      </c>
      <c r="U100" s="29" t="n">
        <v>150</v>
      </c>
      <c r="V100" s="30" t="n">
        <v>0.85</v>
      </c>
      <c r="W100" s="28" t="n">
        <f aca="false">IF(OR(U100="",S100=""),"",IF(T100=3,U100*1000/(SQRT(3)*S100*V100),U100*1000/(S100*V100)))</f>
        <v>212.261128378539</v>
      </c>
      <c r="X100" s="30" t="n">
        <v>1.25</v>
      </c>
      <c r="Y100" s="28" t="n">
        <f aca="false">IF(W100="","",W100*IF(X100="",1,X100))</f>
        <v>265.326410473174</v>
      </c>
      <c r="Z100" s="28" t="n">
        <f aca="false">IF(OR(AS100="",AP100=""),"",AS100*AP100)</f>
        <v>154</v>
      </c>
      <c r="AA100" s="28" t="n">
        <f aca="false">IF(Z100="","",Z100*K100)</f>
        <v>308</v>
      </c>
      <c r="AB100" s="31" t="n">
        <f aca="false">IF(OR(Y100="",AA100=""),"",Y100/AA100)</f>
        <v>0.861449384653161</v>
      </c>
      <c r="AC100" s="31" t="n">
        <f aca="false">IF(OR(W100="",AT100=""),"",AT100*(W100/K100)*O100/1000/S100)</f>
        <v>0.000753527005743813</v>
      </c>
      <c r="AD100" s="31" t="n">
        <f aca="false">IF(W100="","",IFERROR(IF(INDEX('Design Basis'!$C$13:$C$21,MATCH(C100,'Design Basis'!$A$13:$A$21,0))="","",INDEX('Design Basis'!$C$13:$C$21,MATCH(C100,'Design Basis'!$A$13:$A$21,0))),""))</f>
        <v>0.03</v>
      </c>
      <c r="AE100" s="32" t="str">
        <f aca="false">IF(W100="","n/a",IF(AA100="","CHECK",IF(AND(AB100&lt;=1,OR(AC100="",AD100="",AC100&lt;=AD100)),"OK","CHECK")))</f>
        <v>OK</v>
      </c>
      <c r="AF100" s="28" t="n">
        <f aca="false">IF(AR100="","",K100*AQ100*PI()/4*AR100^2)</f>
        <v>2268.22989589183</v>
      </c>
      <c r="AG100" s="32" t="s">
        <v>878</v>
      </c>
      <c r="AI100" s="33" t="n">
        <f aca="false">INDEX(Equipment!$D$2:$D$153,MATCH(E100,Equipment!$A$2:$A$153,0))</f>
        <v>140</v>
      </c>
      <c r="AJ100" s="33" t="n">
        <f aca="false">INDEX(Equipment!$E$2:$E$153,MATCH(E100,Equipment!$A$2:$A$153,0))</f>
        <v>43</v>
      </c>
      <c r="AK100" s="33" t="n">
        <f aca="false">INDEX(Equipment!$F$2:$F$153,MATCH(E100,Equipment!$A$2:$A$153,0))</f>
        <v>20.5</v>
      </c>
      <c r="AL100" s="33" t="n">
        <f aca="false">INDEX(Equipment!$D$2:$D$153,MATCH(G100,Equipment!$A$2:$A$153,0))</f>
        <v>136</v>
      </c>
      <c r="AM100" s="33" t="n">
        <f aca="false">INDEX(Equipment!$E$2:$E$153,MATCH(G100,Equipment!$A$2:$A$153,0))</f>
        <v>43</v>
      </c>
      <c r="AN100" s="33" t="n">
        <f aca="false">INDEX(Equipment!$F$2:$F$153,MATCH(G100,Equipment!$A$2:$A$153,0))</f>
        <v>20.5</v>
      </c>
      <c r="AO100" s="33" t="n">
        <f aca="false">IF(INDEX(Raceways!$D$2:$D$18,MATCH(L100,Raceways!$A$2:$A$18,0))="",0,INDEX(Raceways!$D$2:$D$18,MATCH(L100,Raceways!$A$2:$A$18,0)))</f>
        <v>1</v>
      </c>
      <c r="AP100" s="34" t="n">
        <f aca="false">IF(INDEX(Raceways!$I$2:$I$18,MATCH(L100,Raceways!$A$2:$A$18,0))="","",INDEX(Raceways!$I$2:$I$18,MATCH(L100,Raceways!$A$2:$A$18,0)))</f>
        <v>0.88</v>
      </c>
      <c r="AQ100" s="27" t="n">
        <f aca="false">INDEX('Cable Types'!$D$2:$D$45,MATCH(I100,'Cable Types'!$A$2:$A$45,0))</f>
        <v>1</v>
      </c>
      <c r="AR100" s="27" t="n">
        <f aca="false">IF(INDEX('Cable Types'!$E$2:$E$45,MATCH(I100,'Cable Types'!$A$2:$A$45,0))="","",INDEX('Cable Types'!$E$2:$E$45,MATCH(I100,'Cable Types'!$A$2:$A$45,0)))</f>
        <v>38</v>
      </c>
      <c r="AS100" s="27" t="n">
        <f aca="false">IF(INDEX('Cable Types'!$F$2:$F$45,MATCH(I100,'Cable Types'!$A$2:$A$45,0))="","",INDEX('Cable Types'!$F$2:$F$45,MATCH(I100,'Cable Types'!$A$2:$A$45,0)))</f>
        <v>175</v>
      </c>
      <c r="AT100" s="35" t="n">
        <f aca="false">IF(INDEX('Cable Types'!$G$2:$G$45,MATCH(I100,'Cable Types'!$A$2:$A$45,0))="","",INDEX('Cable Types'!$G$2:$G$45,MATCH(I100,'Cable Types'!$A$2:$A$45,0)))</f>
        <v>0.568</v>
      </c>
    </row>
    <row r="101" customFormat="false" ht="15" hidden="false" customHeight="false" outlineLevel="0" collapsed="false">
      <c r="A101" s="26" t="s">
        <v>905</v>
      </c>
      <c r="B101" s="26" t="s">
        <v>236</v>
      </c>
      <c r="C101" s="26" t="s">
        <v>74</v>
      </c>
      <c r="D101" s="26" t="s">
        <v>906</v>
      </c>
      <c r="E101" s="26" t="s">
        <v>331</v>
      </c>
      <c r="F101" s="27" t="str">
        <f aca="false">INDEX(Equipment!$B$2:$B$153,MATCH(E101,Equipment!$A$2:$A$153,0))</f>
        <v>ACC fan 15 local disconnect switch (in sight of motor, NEC 430.102)</v>
      </c>
      <c r="G101" s="26" t="s">
        <v>328</v>
      </c>
      <c r="H101" s="27" t="str">
        <f aca="false">INDEX(Equipment!$B$2:$B$153,MATCH(G101,Equipment!$A$2:$A$153,0))</f>
        <v>ACC fan motor 15, 150 kW 480 V (VFD)</v>
      </c>
      <c r="I101" s="26" t="s">
        <v>587</v>
      </c>
      <c r="J101" s="27" t="str">
        <f aca="false">INDEX('Cable Types'!$B$2:$B$45,MATCH(I101,'Cable Types'!$A$2:$A$45,0))</f>
        <v>1000 V 3/C 2/0 AWG + 3 symmetrical G, flexible tinned Cu XHHW-2, foil + braid shield, TPE jkt, Type TC-ER, NFPA 79 (Machine Flex type)</v>
      </c>
      <c r="K101" s="26" t="n">
        <v>2</v>
      </c>
      <c r="L101" s="26" t="s">
        <v>714</v>
      </c>
      <c r="M101" s="26" t="s">
        <v>703</v>
      </c>
      <c r="N101" s="26" t="n">
        <v>6</v>
      </c>
      <c r="O101" s="28" t="n">
        <f aca="false">IF(N101&lt;&gt;"",N101,IF(M101="D",ROUNDUP(SQRT((AL101-AI101)^2+(AM101-AJ101)^2+(AN101-AK101)^2)*(1+'Design Basis'!$C$6),0),ROUNDUP((ABS(AL101-AI101)+ABS(AM101-AJ101)+ABS(AO101-AK101)+ABS(AO101-AN101))*(1+'Design Basis'!$C$4)+2*'Design Basis'!$C$5,0)))</f>
        <v>6</v>
      </c>
      <c r="P101" s="28" t="n">
        <f aca="false">ROUND(O101*'Design Basis'!$C$10,0)</f>
        <v>20</v>
      </c>
      <c r="Q101" s="28" t="n">
        <f aca="false">O101*K101*AQ101</f>
        <v>12</v>
      </c>
      <c r="R101" s="28" t="n">
        <f aca="false">ROUND(Q101*'Design Basis'!$C$10,0)</f>
        <v>39</v>
      </c>
      <c r="S101" s="29" t="n">
        <v>480</v>
      </c>
      <c r="T101" s="26" t="n">
        <v>3</v>
      </c>
      <c r="U101" s="29" t="n">
        <v>150</v>
      </c>
      <c r="V101" s="30" t="n">
        <v>0.85</v>
      </c>
      <c r="W101" s="28" t="n">
        <f aca="false">IF(OR(U101="",S101=""),"",IF(T101=3,U101*1000/(SQRT(3)*S101*V101),U101*1000/(S101*V101)))</f>
        <v>212.261128378539</v>
      </c>
      <c r="X101" s="30" t="n">
        <v>1.25</v>
      </c>
      <c r="Y101" s="28" t="n">
        <f aca="false">IF(W101="","",W101*IF(X101="",1,X101))</f>
        <v>265.326410473174</v>
      </c>
      <c r="Z101" s="28" t="n">
        <f aca="false">IF(OR(AS101="",AP101=""),"",AS101*AP101)</f>
        <v>154</v>
      </c>
      <c r="AA101" s="28" t="n">
        <f aca="false">IF(Z101="","",Z101*K101)</f>
        <v>308</v>
      </c>
      <c r="AB101" s="31" t="n">
        <f aca="false">IF(OR(Y101="",AA101=""),"",Y101/AA101)</f>
        <v>0.861449384653161</v>
      </c>
      <c r="AC101" s="31" t="n">
        <f aca="false">IF(OR(W101="",AT101=""),"",AT101*(W101/K101)*O101/1000/S101)</f>
        <v>0.000753527005743813</v>
      </c>
      <c r="AD101" s="31" t="n">
        <f aca="false">IF(W101="","",IFERROR(IF(INDEX('Design Basis'!$C$13:$C$21,MATCH(C101,'Design Basis'!$A$13:$A$21,0))="","",INDEX('Design Basis'!$C$13:$C$21,MATCH(C101,'Design Basis'!$A$13:$A$21,0))),""))</f>
        <v>0.03</v>
      </c>
      <c r="AE101" s="32" t="str">
        <f aca="false">IF(W101="","n/a",IF(AA101="","CHECK",IF(AND(AB101&lt;=1,OR(AC101="",AD101="",AC101&lt;=AD101)),"OK","CHECK")))</f>
        <v>OK</v>
      </c>
      <c r="AF101" s="28" t="n">
        <f aca="false">IF(AR101="","",K101*AQ101*PI()/4*AR101^2)</f>
        <v>2268.22989589183</v>
      </c>
      <c r="AG101" s="32" t="s">
        <v>878</v>
      </c>
      <c r="AI101" s="33" t="n">
        <f aca="false">INDEX(Equipment!$D$2:$D$153,MATCH(E101,Equipment!$A$2:$A$153,0))</f>
        <v>140</v>
      </c>
      <c r="AJ101" s="33" t="n">
        <f aca="false">INDEX(Equipment!$E$2:$E$153,MATCH(E101,Equipment!$A$2:$A$153,0))</f>
        <v>54</v>
      </c>
      <c r="AK101" s="33" t="n">
        <f aca="false">INDEX(Equipment!$F$2:$F$153,MATCH(E101,Equipment!$A$2:$A$153,0))</f>
        <v>20.5</v>
      </c>
      <c r="AL101" s="33" t="n">
        <f aca="false">INDEX(Equipment!$D$2:$D$153,MATCH(G101,Equipment!$A$2:$A$153,0))</f>
        <v>136</v>
      </c>
      <c r="AM101" s="33" t="n">
        <f aca="false">INDEX(Equipment!$E$2:$E$153,MATCH(G101,Equipment!$A$2:$A$153,0))</f>
        <v>54</v>
      </c>
      <c r="AN101" s="33" t="n">
        <f aca="false">INDEX(Equipment!$F$2:$F$153,MATCH(G101,Equipment!$A$2:$A$153,0))</f>
        <v>20.5</v>
      </c>
      <c r="AO101" s="33" t="n">
        <f aca="false">IF(INDEX(Raceways!$D$2:$D$18,MATCH(L101,Raceways!$A$2:$A$18,0))="",0,INDEX(Raceways!$D$2:$D$18,MATCH(L101,Raceways!$A$2:$A$18,0)))</f>
        <v>1</v>
      </c>
      <c r="AP101" s="34" t="n">
        <f aca="false">IF(INDEX(Raceways!$I$2:$I$18,MATCH(L101,Raceways!$A$2:$A$18,0))="","",INDEX(Raceways!$I$2:$I$18,MATCH(L101,Raceways!$A$2:$A$18,0)))</f>
        <v>0.88</v>
      </c>
      <c r="AQ101" s="27" t="n">
        <f aca="false">INDEX('Cable Types'!$D$2:$D$45,MATCH(I101,'Cable Types'!$A$2:$A$45,0))</f>
        <v>1</v>
      </c>
      <c r="AR101" s="27" t="n">
        <f aca="false">IF(INDEX('Cable Types'!$E$2:$E$45,MATCH(I101,'Cable Types'!$A$2:$A$45,0))="","",INDEX('Cable Types'!$E$2:$E$45,MATCH(I101,'Cable Types'!$A$2:$A$45,0)))</f>
        <v>38</v>
      </c>
      <c r="AS101" s="27" t="n">
        <f aca="false">IF(INDEX('Cable Types'!$F$2:$F$45,MATCH(I101,'Cable Types'!$A$2:$A$45,0))="","",INDEX('Cable Types'!$F$2:$F$45,MATCH(I101,'Cable Types'!$A$2:$A$45,0)))</f>
        <v>175</v>
      </c>
      <c r="AT101" s="35" t="n">
        <f aca="false">IF(INDEX('Cable Types'!$G$2:$G$45,MATCH(I101,'Cable Types'!$A$2:$A$45,0))="","",INDEX('Cable Types'!$G$2:$G$45,MATCH(I101,'Cable Types'!$A$2:$A$45,0)))</f>
        <v>0.568</v>
      </c>
    </row>
    <row r="102" customFormat="false" ht="15" hidden="false" customHeight="false" outlineLevel="0" collapsed="false">
      <c r="A102" s="26" t="s">
        <v>907</v>
      </c>
      <c r="B102" s="26" t="s">
        <v>336</v>
      </c>
      <c r="C102" s="26" t="s">
        <v>74</v>
      </c>
      <c r="D102" s="26" t="s">
        <v>908</v>
      </c>
      <c r="E102" s="26" t="s">
        <v>341</v>
      </c>
      <c r="F102" s="27" t="str">
        <f aca="false">INDEX(Equipment!$B$2:$B$153,MATCH(E102,Equipment!$A$2:$A$153,0))</f>
        <v>CCS power / motor control centre 480 V</v>
      </c>
      <c r="G102" s="26" t="s">
        <v>366</v>
      </c>
      <c r="H102" s="27" t="str">
        <f aca="false">INDEX(Equipment!$B$2:$B$153,MATCH(G102,Equipment!$A$2:$A$153,0))</f>
        <v>Reboiler condensate pump A 110 kW, 480 V</v>
      </c>
      <c r="I102" s="26" t="s">
        <v>581</v>
      </c>
      <c r="J102" s="27" t="str">
        <f aca="false">INDEX('Cable Types'!$B$2:$B$45,MATCH(I102,'Cable Types'!$A$2:$A$45,0))</f>
        <v>600 V 3/C 350 kcmil + G Cu XHHW-2, Type MC-HL, CCW Al armor (Armor-X type), PVC jkt</v>
      </c>
      <c r="K102" s="26" t="n">
        <v>1</v>
      </c>
      <c r="L102" s="26" t="s">
        <v>759</v>
      </c>
      <c r="M102" s="26" t="s">
        <v>703</v>
      </c>
      <c r="N102" s="26"/>
      <c r="O102" s="28" t="n">
        <f aca="false">IF(N102&lt;&gt;"",N102,IF(M102="D",ROUNDUP(SQRT((AL102-AI102)^2+(AM102-AJ102)^2+(AN102-AK102)^2)*(1+'Design Basis'!$C$6),0),ROUNDUP((ABS(AL102-AI102)+ABS(AM102-AJ102)+ABS(AO102-AK102)+ABS(AO102-AN102))*(1+'Design Basis'!$C$4)+2*'Design Basis'!$C$5,0)))</f>
        <v>85</v>
      </c>
      <c r="P102" s="28" t="n">
        <f aca="false">ROUND(O102*'Design Basis'!$C$10,0)</f>
        <v>279</v>
      </c>
      <c r="Q102" s="28" t="n">
        <f aca="false">O102*K102*AQ102</f>
        <v>85</v>
      </c>
      <c r="R102" s="28" t="n">
        <f aca="false">ROUND(Q102*'Design Basis'!$C$10,0)</f>
        <v>279</v>
      </c>
      <c r="S102" s="29" t="n">
        <v>480</v>
      </c>
      <c r="T102" s="26" t="n">
        <v>3</v>
      </c>
      <c r="U102" s="29" t="n">
        <v>110</v>
      </c>
      <c r="V102" s="30" t="n">
        <v>0.82</v>
      </c>
      <c r="W102" s="28" t="n">
        <f aca="false">IF(OR(U102="",S102=""),"",IF(T102=3,U102*1000/(SQRT(3)*S102*V102),U102*1000/(S102*V102)))</f>
        <v>161.352971572304</v>
      </c>
      <c r="X102" s="30" t="n">
        <v>1.25</v>
      </c>
      <c r="Y102" s="28" t="n">
        <f aca="false">IF(W102="","",W102*IF(X102="",1,X102))</f>
        <v>201.69121446538</v>
      </c>
      <c r="Z102" s="28" t="n">
        <f aca="false">IF(OR(AS102="",AP102=""),"",AS102*AP102)</f>
        <v>272.8</v>
      </c>
      <c r="AA102" s="28" t="n">
        <f aca="false">IF(Z102="","",Z102*K102)</f>
        <v>272.8</v>
      </c>
      <c r="AB102" s="31" t="n">
        <f aca="false">IF(OR(Y102="",AA102=""),"",Y102/AA102)</f>
        <v>0.739337296427346</v>
      </c>
      <c r="AC102" s="31" t="n">
        <f aca="false">IF(OR(W102="",AT102=""),"",AT102*(W102/K102)*O102/1000/S102)</f>
        <v>0.00780040771944857</v>
      </c>
      <c r="AD102" s="31" t="n">
        <f aca="false">IF(W102="","",IFERROR(IF(INDEX('Design Basis'!$C$13:$C$21,MATCH(C102,'Design Basis'!$A$13:$A$21,0))="","",INDEX('Design Basis'!$C$13:$C$21,MATCH(C102,'Design Basis'!$A$13:$A$21,0))),""))</f>
        <v>0.03</v>
      </c>
      <c r="AE102" s="32" t="str">
        <f aca="false">IF(W102="","n/a",IF(AA102="","CHECK",IF(AND(AB102&lt;=1,OR(AC102="",AD102="",AC102&lt;=AD102)),"OK","CHECK")))</f>
        <v>OK</v>
      </c>
      <c r="AF102" s="28" t="n">
        <f aca="false">IF(AR102="","",K102*AQ102*PI()/4*AR102^2)</f>
        <v>2551.75863287831</v>
      </c>
      <c r="AG102" s="32"/>
      <c r="AI102" s="33" t="n">
        <f aca="false">INDEX(Equipment!$D$2:$D$153,MATCH(E102,Equipment!$A$2:$A$153,0))</f>
        <v>176</v>
      </c>
      <c r="AJ102" s="33" t="n">
        <f aca="false">INDEX(Equipment!$E$2:$E$153,MATCH(E102,Equipment!$A$2:$A$153,0))</f>
        <v>60</v>
      </c>
      <c r="AK102" s="33" t="n">
        <f aca="false">INDEX(Equipment!$F$2:$F$153,MATCH(E102,Equipment!$A$2:$A$153,0))</f>
        <v>0.5</v>
      </c>
      <c r="AL102" s="33" t="n">
        <f aca="false">INDEX(Equipment!$D$2:$D$153,MATCH(G102,Equipment!$A$2:$A$153,0))</f>
        <v>200</v>
      </c>
      <c r="AM102" s="33" t="n">
        <f aca="false">INDEX(Equipment!$E$2:$E$153,MATCH(G102,Equipment!$A$2:$A$153,0))</f>
        <v>24</v>
      </c>
      <c r="AN102" s="33" t="n">
        <f aca="false">INDEX(Equipment!$F$2:$F$153,MATCH(G102,Equipment!$A$2:$A$153,0))</f>
        <v>0.5</v>
      </c>
      <c r="AO102" s="33" t="n">
        <f aca="false">IF(INDEX(Raceways!$D$2:$D$18,MATCH(L102,Raceways!$A$2:$A$18,0))="",0,INDEX(Raceways!$D$2:$D$18,MATCH(L102,Raceways!$A$2:$A$18,0)))</f>
        <v>6</v>
      </c>
      <c r="AP102" s="34" t="n">
        <f aca="false">IF(INDEX(Raceways!$I$2:$I$18,MATCH(L102,Raceways!$A$2:$A$18,0))="","",INDEX(Raceways!$I$2:$I$18,MATCH(L102,Raceways!$A$2:$A$18,0)))</f>
        <v>0.88</v>
      </c>
      <c r="AQ102" s="27" t="n">
        <f aca="false">INDEX('Cable Types'!$D$2:$D$45,MATCH(I102,'Cable Types'!$A$2:$A$45,0))</f>
        <v>1</v>
      </c>
      <c r="AR102" s="27" t="n">
        <f aca="false">IF(INDEX('Cable Types'!$E$2:$E$45,MATCH(I102,'Cable Types'!$A$2:$A$45,0))="","",INDEX('Cable Types'!$E$2:$E$45,MATCH(I102,'Cable Types'!$A$2:$A$45,0)))</f>
        <v>57</v>
      </c>
      <c r="AS102" s="27" t="n">
        <f aca="false">IF(INDEX('Cable Types'!$F$2:$F$45,MATCH(I102,'Cable Types'!$A$2:$A$45,0))="","",INDEX('Cable Types'!$F$2:$F$45,MATCH(I102,'Cable Types'!$A$2:$A$45,0)))</f>
        <v>310</v>
      </c>
      <c r="AT102" s="35" t="n">
        <f aca="false">IF(INDEX('Cable Types'!$G$2:$G$45,MATCH(I102,'Cable Types'!$A$2:$A$45,0))="","",INDEX('Cable Types'!$G$2:$G$45,MATCH(I102,'Cable Types'!$A$2:$A$45,0)))</f>
        <v>0.273</v>
      </c>
    </row>
    <row r="103" customFormat="false" ht="15" hidden="false" customHeight="false" outlineLevel="0" collapsed="false">
      <c r="A103" s="26" t="s">
        <v>909</v>
      </c>
      <c r="B103" s="26" t="s">
        <v>336</v>
      </c>
      <c r="C103" s="26" t="s">
        <v>74</v>
      </c>
      <c r="D103" s="26" t="s">
        <v>910</v>
      </c>
      <c r="E103" s="26" t="s">
        <v>341</v>
      </c>
      <c r="F103" s="27" t="str">
        <f aca="false">INDEX(Equipment!$B$2:$B$153,MATCH(E103,Equipment!$A$2:$A$153,0))</f>
        <v>CCS power / motor control centre 480 V</v>
      </c>
      <c r="G103" s="26" t="s">
        <v>378</v>
      </c>
      <c r="H103" s="27" t="str">
        <f aca="false">INDEX(Equipment!$B$2:$B$153,MATCH(G103,Equipment!$A$2:$A$153,0))</f>
        <v>CO2 dehydration package (TEG) 250 kVA</v>
      </c>
      <c r="I103" s="26" t="s">
        <v>581</v>
      </c>
      <c r="J103" s="27" t="str">
        <f aca="false">INDEX('Cable Types'!$B$2:$B$45,MATCH(I103,'Cable Types'!$A$2:$A$45,0))</f>
        <v>600 V 3/C 350 kcmil + G Cu XHHW-2, Type MC-HL, CCW Al armor (Armor-X type), PVC jkt</v>
      </c>
      <c r="K103" s="26" t="n">
        <v>2</v>
      </c>
      <c r="L103" s="26" t="s">
        <v>759</v>
      </c>
      <c r="M103" s="26" t="s">
        <v>703</v>
      </c>
      <c r="N103" s="26"/>
      <c r="O103" s="28" t="n">
        <f aca="false">IF(N103&lt;&gt;"",N103,IF(M103="D",ROUNDUP(SQRT((AL103-AI103)^2+(AM103-AJ103)^2+(AN103-AK103)^2)*(1+'Design Basis'!$C$6),0),ROUNDUP((ABS(AL103-AI103)+ABS(AM103-AJ103)+ABS(AO103-AK103)+ABS(AO103-AN103))*(1+'Design Basis'!$C$4)+2*'Design Basis'!$C$5,0)))</f>
        <v>83</v>
      </c>
      <c r="P103" s="28" t="n">
        <f aca="false">ROUND(O103*'Design Basis'!$C$10,0)</f>
        <v>272</v>
      </c>
      <c r="Q103" s="28" t="n">
        <f aca="false">O103*K103*AQ103</f>
        <v>166</v>
      </c>
      <c r="R103" s="28" t="n">
        <f aca="false">ROUND(Q103*'Design Basis'!$C$10,0)</f>
        <v>545</v>
      </c>
      <c r="S103" s="29" t="n">
        <v>480</v>
      </c>
      <c r="T103" s="26" t="n">
        <v>3</v>
      </c>
      <c r="U103" s="29" t="n">
        <v>250</v>
      </c>
      <c r="V103" s="30" t="n">
        <v>1</v>
      </c>
      <c r="W103" s="28" t="n">
        <f aca="false">IF(OR(U103="",S103=""),"",IF(T103=3,U103*1000/(SQRT(3)*S103*V103),U103*1000/(S103*V103)))</f>
        <v>300.70326520293</v>
      </c>
      <c r="X103" s="30" t="n">
        <v>1.25</v>
      </c>
      <c r="Y103" s="28" t="n">
        <f aca="false">IF(W103="","",W103*IF(X103="",1,X103))</f>
        <v>375.879081503663</v>
      </c>
      <c r="Z103" s="28" t="n">
        <f aca="false">IF(OR(AS103="",AP103=""),"",AS103*AP103)</f>
        <v>272.8</v>
      </c>
      <c r="AA103" s="28" t="n">
        <f aca="false">IF(Z103="","",Z103*K103)</f>
        <v>545.6</v>
      </c>
      <c r="AB103" s="31" t="n">
        <f aca="false">IF(OR(Y103="",AA103=""),"",Y103/AA103)</f>
        <v>0.6889279353073</v>
      </c>
      <c r="AC103" s="31" t="n">
        <f aca="false">IF(OR(W103="",AT103=""),"",AT103*(W103/K103)*O103/1000/S103)</f>
        <v>0.00709753675649291</v>
      </c>
      <c r="AD103" s="31" t="n">
        <f aca="false">IF(W103="","",IFERROR(IF(INDEX('Design Basis'!$C$13:$C$21,MATCH(C103,'Design Basis'!$A$13:$A$21,0))="","",INDEX('Design Basis'!$C$13:$C$21,MATCH(C103,'Design Basis'!$A$13:$A$21,0))),""))</f>
        <v>0.03</v>
      </c>
      <c r="AE103" s="32" t="str">
        <f aca="false">IF(W103="","n/a",IF(AA103="","CHECK",IF(AND(AB103&lt;=1,OR(AC103="",AD103="",AC103&lt;=AD103)),"OK","CHECK")))</f>
        <v>OK</v>
      </c>
      <c r="AF103" s="28" t="n">
        <f aca="false">IF(AR103="","",K103*AQ103*PI()/4*AR103^2)</f>
        <v>5103.51726575662</v>
      </c>
      <c r="AG103" s="32" t="s">
        <v>676</v>
      </c>
      <c r="AI103" s="33" t="n">
        <f aca="false">INDEX(Equipment!$D$2:$D$153,MATCH(E103,Equipment!$A$2:$A$153,0))</f>
        <v>176</v>
      </c>
      <c r="AJ103" s="33" t="n">
        <f aca="false">INDEX(Equipment!$E$2:$E$153,MATCH(E103,Equipment!$A$2:$A$153,0))</f>
        <v>60</v>
      </c>
      <c r="AK103" s="33" t="n">
        <f aca="false">INDEX(Equipment!$F$2:$F$153,MATCH(E103,Equipment!$A$2:$A$153,0))</f>
        <v>0.5</v>
      </c>
      <c r="AL103" s="33" t="n">
        <f aca="false">INDEX(Equipment!$D$2:$D$153,MATCH(G103,Equipment!$A$2:$A$153,0))</f>
        <v>214</v>
      </c>
      <c r="AM103" s="33" t="n">
        <f aca="false">INDEX(Equipment!$E$2:$E$153,MATCH(G103,Equipment!$A$2:$A$153,0))</f>
        <v>39</v>
      </c>
      <c r="AN103" s="33" t="n">
        <f aca="false">INDEX(Equipment!$F$2:$F$153,MATCH(G103,Equipment!$A$2:$A$153,0))</f>
        <v>0.5</v>
      </c>
      <c r="AO103" s="33" t="n">
        <f aca="false">IF(INDEX(Raceways!$D$2:$D$18,MATCH(L103,Raceways!$A$2:$A$18,0))="",0,INDEX(Raceways!$D$2:$D$18,MATCH(L103,Raceways!$A$2:$A$18,0)))</f>
        <v>6</v>
      </c>
      <c r="AP103" s="34" t="n">
        <f aca="false">IF(INDEX(Raceways!$I$2:$I$18,MATCH(L103,Raceways!$A$2:$A$18,0))="","",INDEX(Raceways!$I$2:$I$18,MATCH(L103,Raceways!$A$2:$A$18,0)))</f>
        <v>0.88</v>
      </c>
      <c r="AQ103" s="27" t="n">
        <f aca="false">INDEX('Cable Types'!$D$2:$D$45,MATCH(I103,'Cable Types'!$A$2:$A$45,0))</f>
        <v>1</v>
      </c>
      <c r="AR103" s="27" t="n">
        <f aca="false">IF(INDEX('Cable Types'!$E$2:$E$45,MATCH(I103,'Cable Types'!$A$2:$A$45,0))="","",INDEX('Cable Types'!$E$2:$E$45,MATCH(I103,'Cable Types'!$A$2:$A$45,0)))</f>
        <v>57</v>
      </c>
      <c r="AS103" s="27" t="n">
        <f aca="false">IF(INDEX('Cable Types'!$F$2:$F$45,MATCH(I103,'Cable Types'!$A$2:$A$45,0))="","",INDEX('Cable Types'!$F$2:$F$45,MATCH(I103,'Cable Types'!$A$2:$A$45,0)))</f>
        <v>310</v>
      </c>
      <c r="AT103" s="35" t="n">
        <f aca="false">IF(INDEX('Cable Types'!$G$2:$G$45,MATCH(I103,'Cable Types'!$A$2:$A$45,0))="","",INDEX('Cable Types'!$G$2:$G$45,MATCH(I103,'Cable Types'!$A$2:$A$45,0)))</f>
        <v>0.273</v>
      </c>
    </row>
    <row r="104" customFormat="false" ht="15" hidden="false" customHeight="false" outlineLevel="0" collapsed="false">
      <c r="A104" s="26" t="s">
        <v>911</v>
      </c>
      <c r="B104" s="26" t="s">
        <v>336</v>
      </c>
      <c r="C104" s="26" t="s">
        <v>74</v>
      </c>
      <c r="D104" s="26" t="s">
        <v>912</v>
      </c>
      <c r="E104" s="26" t="s">
        <v>341</v>
      </c>
      <c r="F104" s="27" t="str">
        <f aca="false">INDEX(Equipment!$B$2:$B$153,MATCH(E104,Equipment!$A$2:$A$153,0))</f>
        <v>CCS power / motor control centre 480 V</v>
      </c>
      <c r="G104" s="26" t="s">
        <v>381</v>
      </c>
      <c r="H104" s="27" t="str">
        <f aca="false">INDEX(Equipment!$B$2:$B$153,MATCH(G104,Equipment!$A$2:$A$153,0))</f>
        <v>CO2 export fiscal meter skid / flow computer</v>
      </c>
      <c r="I104" s="26" t="s">
        <v>570</v>
      </c>
      <c r="J104" s="27" t="str">
        <f aca="false">INDEX('Cable Types'!$B$2:$B$45,MATCH(I104,'Cable Types'!$A$2:$A$45,0))</f>
        <v>600 V 3/C #10 AWG + G Cu XHHW-2, Type MC-HL, CCW Al armor (Armor-X type), PVC jkt</v>
      </c>
      <c r="K104" s="26" t="n">
        <v>1</v>
      </c>
      <c r="L104" s="26" t="s">
        <v>759</v>
      </c>
      <c r="M104" s="26" t="s">
        <v>703</v>
      </c>
      <c r="N104" s="26"/>
      <c r="O104" s="28" t="n">
        <f aca="false">IF(N104&lt;&gt;"",N104,IF(M104="D",ROUNDUP(SQRT((AL104-AI104)^2+(AM104-AJ104)^2+(AN104-AK104)^2)*(1+'Design Basis'!$C$6),0),ROUNDUP((ABS(AL104-AI104)+ABS(AM104-AJ104)+ABS(AO104-AK104)+ABS(AO104-AN104))*(1+'Design Basis'!$C$4)+2*'Design Basis'!$C$5,0)))</f>
        <v>114</v>
      </c>
      <c r="P104" s="28" t="n">
        <f aca="false">ROUND(O104*'Design Basis'!$C$10,0)</f>
        <v>374</v>
      </c>
      <c r="Q104" s="28" t="n">
        <f aca="false">O104*K104*AQ104</f>
        <v>114</v>
      </c>
      <c r="R104" s="28" t="n">
        <f aca="false">ROUND(Q104*'Design Basis'!$C$10,0)</f>
        <v>374</v>
      </c>
      <c r="S104" s="29" t="n">
        <v>480</v>
      </c>
      <c r="T104" s="26" t="n">
        <v>3</v>
      </c>
      <c r="U104" s="29" t="n">
        <v>15</v>
      </c>
      <c r="V104" s="30" t="n">
        <v>1</v>
      </c>
      <c r="W104" s="28" t="n">
        <f aca="false">IF(OR(U104="",S104=""),"",IF(T104=3,U104*1000/(SQRT(3)*S104*V104),U104*1000/(S104*V104)))</f>
        <v>18.0421959121758</v>
      </c>
      <c r="X104" s="30" t="n">
        <v>1.25</v>
      </c>
      <c r="Y104" s="28" t="n">
        <f aca="false">IF(W104="","",W104*IF(X104="",1,X104))</f>
        <v>22.5527448902198</v>
      </c>
      <c r="Z104" s="28" t="n">
        <f aca="false">IF(OR(AS104="",AP104=""),"",AS104*AP104)</f>
        <v>30.8</v>
      </c>
      <c r="AA104" s="28" t="n">
        <f aca="false">IF(Z104="","",Z104*K104)</f>
        <v>30.8</v>
      </c>
      <c r="AB104" s="31" t="n">
        <f aca="false">IF(OR(Y104="",AA104=""),"",Y104/AA104)</f>
        <v>0.732231976955187</v>
      </c>
      <c r="AC104" s="31" t="n">
        <f aca="false">IF(OR(W104="",AT104=""),"",AT104*(W104/K104)*O104/1000/S104)</f>
        <v>0.0267856695786651</v>
      </c>
      <c r="AD104" s="31" t="n">
        <f aca="false">IF(W104="","",IFERROR(IF(INDEX('Design Basis'!$C$13:$C$21,MATCH(C104,'Design Basis'!$A$13:$A$21,0))="","",INDEX('Design Basis'!$C$13:$C$21,MATCH(C104,'Design Basis'!$A$13:$A$21,0))),""))</f>
        <v>0.03</v>
      </c>
      <c r="AE104" s="32" t="str">
        <f aca="false">IF(W104="","n/a",IF(AA104="","CHECK",IF(AND(AB104&lt;=1,OR(AC104="",AD104="",AC104&lt;=AD104)),"OK","CHECK")))</f>
        <v>OK</v>
      </c>
      <c r="AF104" s="28" t="n">
        <f aca="false">IF(AR104="","",K104*AQ104*PI()/4*AR104^2)</f>
        <v>314.159265358979</v>
      </c>
      <c r="AG104" s="32"/>
      <c r="AI104" s="33" t="n">
        <f aca="false">INDEX(Equipment!$D$2:$D$153,MATCH(E104,Equipment!$A$2:$A$153,0))</f>
        <v>176</v>
      </c>
      <c r="AJ104" s="33" t="n">
        <f aca="false">INDEX(Equipment!$E$2:$E$153,MATCH(E104,Equipment!$A$2:$A$153,0))</f>
        <v>60</v>
      </c>
      <c r="AK104" s="33" t="n">
        <f aca="false">INDEX(Equipment!$F$2:$F$153,MATCH(E104,Equipment!$A$2:$A$153,0))</f>
        <v>0.5</v>
      </c>
      <c r="AL104" s="33" t="n">
        <f aca="false">INDEX(Equipment!$D$2:$D$153,MATCH(G104,Equipment!$A$2:$A$153,0))</f>
        <v>242</v>
      </c>
      <c r="AM104" s="33" t="n">
        <f aca="false">INDEX(Equipment!$E$2:$E$153,MATCH(G104,Equipment!$A$2:$A$153,0))</f>
        <v>39</v>
      </c>
      <c r="AN104" s="33" t="n">
        <f aca="false">INDEX(Equipment!$F$2:$F$153,MATCH(G104,Equipment!$A$2:$A$153,0))</f>
        <v>1</v>
      </c>
      <c r="AO104" s="33" t="n">
        <f aca="false">IF(INDEX(Raceways!$D$2:$D$18,MATCH(L104,Raceways!$A$2:$A$18,0))="",0,INDEX(Raceways!$D$2:$D$18,MATCH(L104,Raceways!$A$2:$A$18,0)))</f>
        <v>6</v>
      </c>
      <c r="AP104" s="34" t="n">
        <f aca="false">IF(INDEX(Raceways!$I$2:$I$18,MATCH(L104,Raceways!$A$2:$A$18,0))="","",INDEX(Raceways!$I$2:$I$18,MATCH(L104,Raceways!$A$2:$A$18,0)))</f>
        <v>0.88</v>
      </c>
      <c r="AQ104" s="27" t="n">
        <f aca="false">INDEX('Cable Types'!$D$2:$D$45,MATCH(I104,'Cable Types'!$A$2:$A$45,0))</f>
        <v>1</v>
      </c>
      <c r="AR104" s="27" t="n">
        <f aca="false">IF(INDEX('Cable Types'!$E$2:$E$45,MATCH(I104,'Cable Types'!$A$2:$A$45,0))="","",INDEX('Cable Types'!$E$2:$E$45,MATCH(I104,'Cable Types'!$A$2:$A$45,0)))</f>
        <v>20</v>
      </c>
      <c r="AS104" s="27" t="n">
        <f aca="false">IF(INDEX('Cable Types'!$F$2:$F$45,MATCH(I104,'Cable Types'!$A$2:$A$45,0))="","",INDEX('Cable Types'!$F$2:$F$45,MATCH(I104,'Cable Types'!$A$2:$A$45,0)))</f>
        <v>35</v>
      </c>
      <c r="AT104" s="35" t="n">
        <f aca="false">IF(INDEX('Cable Types'!$G$2:$G$45,MATCH(I104,'Cable Types'!$A$2:$A$45,0))="","",INDEX('Cable Types'!$G$2:$G$45,MATCH(I104,'Cable Types'!$A$2:$A$45,0)))</f>
        <v>6.251</v>
      </c>
    </row>
    <row r="105" customFormat="false" ht="15" hidden="false" customHeight="false" outlineLevel="0" collapsed="false">
      <c r="A105" s="26" t="s">
        <v>913</v>
      </c>
      <c r="B105" s="26" t="s">
        <v>133</v>
      </c>
      <c r="C105" s="26" t="s">
        <v>74</v>
      </c>
      <c r="D105" s="26" t="s">
        <v>914</v>
      </c>
      <c r="E105" s="26" t="s">
        <v>400</v>
      </c>
      <c r="F105" s="27" t="str">
        <f aca="false">INDEX(Equipment!$B$2:$B$153,MATCH(E105,Equipment!$A$2:$A$153,0))</f>
        <v>RICE auxiliary MCC 480 V</v>
      </c>
      <c r="G105" s="26" t="s">
        <v>431</v>
      </c>
      <c r="H105" s="27" t="str">
        <f aca="false">INDEX(Equipment!$B$2:$B$153,MATCH(G105,Equipment!$A$2:$A$153,0))</f>
        <v>Genset 1 auxiliary panel (radiator fans, pre-lube, jacket heater)</v>
      </c>
      <c r="I105" s="26" t="s">
        <v>577</v>
      </c>
      <c r="J105" s="27" t="str">
        <f aca="false">INDEX('Cable Types'!$B$2:$B$45,MATCH(I105,'Cable Types'!$A$2:$A$45,0))</f>
        <v>600 V 3/C 1/0 AWG + G Cu XHHW-2, Type MC-HL, CCW Al armor (Armor-X type), PVC jkt</v>
      </c>
      <c r="K105" s="26" t="n">
        <v>1</v>
      </c>
      <c r="L105" s="26" t="s">
        <v>783</v>
      </c>
      <c r="M105" s="26" t="s">
        <v>703</v>
      </c>
      <c r="N105" s="26"/>
      <c r="O105" s="28" t="n">
        <f aca="false">IF(N105&lt;&gt;"",N105,IF(M105="D",ROUNDUP(SQRT((AL105-AI105)^2+(AM105-AJ105)^2+(AN105-AK105)^2)*(1+'Design Basis'!$C$6),0),ROUNDUP((ABS(AL105-AI105)+ABS(AM105-AJ105)+ABS(AO105-AK105)+ABS(AO105-AN105))*(1+'Design Basis'!$C$4)+2*'Design Basis'!$C$5,0)))</f>
        <v>64</v>
      </c>
      <c r="P105" s="28" t="n">
        <f aca="false">ROUND(O105*'Design Basis'!$C$10,0)</f>
        <v>210</v>
      </c>
      <c r="Q105" s="28" t="n">
        <f aca="false">O105*K105*AQ105</f>
        <v>64</v>
      </c>
      <c r="R105" s="28" t="n">
        <f aca="false">ROUND(Q105*'Design Basis'!$C$10,0)</f>
        <v>210</v>
      </c>
      <c r="S105" s="29" t="n">
        <v>480</v>
      </c>
      <c r="T105" s="26" t="n">
        <v>3</v>
      </c>
      <c r="U105" s="29" t="n">
        <v>75</v>
      </c>
      <c r="V105" s="30" t="n">
        <v>1</v>
      </c>
      <c r="W105" s="28" t="n">
        <f aca="false">IF(OR(U105="",S105=""),"",IF(T105=3,U105*1000/(SQRT(3)*S105*V105),U105*1000/(S105*V105)))</f>
        <v>90.210979560879</v>
      </c>
      <c r="X105" s="30" t="n">
        <v>1.25</v>
      </c>
      <c r="Y105" s="28" t="n">
        <f aca="false">IF(W105="","",W105*IF(X105="",1,X105))</f>
        <v>112.763724451099</v>
      </c>
      <c r="Z105" s="28" t="n">
        <f aca="false">IF(OR(AS105="",AP105=""),"",AS105*AP105)</f>
        <v>132</v>
      </c>
      <c r="AA105" s="28" t="n">
        <f aca="false">IF(Z105="","",Z105*K105)</f>
        <v>132</v>
      </c>
      <c r="AB105" s="31" t="n">
        <f aca="false">IF(OR(Y105="",AA105=""),"",Y105/AA105)</f>
        <v>0.854270639781051</v>
      </c>
      <c r="AC105" s="31" t="n">
        <f aca="false">IF(OR(W105="",AT105=""),"",AT105*(W105/K105)*O105/1000/S105)</f>
        <v>0.00820318507473593</v>
      </c>
      <c r="AD105" s="31" t="n">
        <f aca="false">IF(W105="","",IFERROR(IF(INDEX('Design Basis'!$C$13:$C$21,MATCH(C105,'Design Basis'!$A$13:$A$21,0))="","",INDEX('Design Basis'!$C$13:$C$21,MATCH(C105,'Design Basis'!$A$13:$A$21,0))),""))</f>
        <v>0.03</v>
      </c>
      <c r="AE105" s="32" t="str">
        <f aca="false">IF(W105="","n/a",IF(AA105="","CHECK",IF(AND(AB105&lt;=1,OR(AC105="",AD105="",AC105&lt;=AD105)),"OK","CHECK")))</f>
        <v>OK</v>
      </c>
      <c r="AF105" s="28" t="n">
        <f aca="false">IF(AR105="","",K105*AQ105*PI()/4*AR105^2)</f>
        <v>1075.21008569111</v>
      </c>
      <c r="AG105" s="32" t="s">
        <v>676</v>
      </c>
      <c r="AI105" s="33" t="n">
        <f aca="false">INDEX(Equipment!$D$2:$D$153,MATCH(E105,Equipment!$A$2:$A$153,0))</f>
        <v>16</v>
      </c>
      <c r="AJ105" s="33" t="n">
        <f aca="false">INDEX(Equipment!$E$2:$E$153,MATCH(E105,Equipment!$A$2:$A$153,0))</f>
        <v>99</v>
      </c>
      <c r="AK105" s="33" t="n">
        <f aca="false">INDEX(Equipment!$F$2:$F$153,MATCH(E105,Equipment!$A$2:$A$153,0))</f>
        <v>0.5</v>
      </c>
      <c r="AL105" s="33" t="n">
        <f aca="false">INDEX(Equipment!$D$2:$D$153,MATCH(G105,Equipment!$A$2:$A$153,0))</f>
        <v>-4</v>
      </c>
      <c r="AM105" s="33" t="n">
        <f aca="false">INDEX(Equipment!$E$2:$E$153,MATCH(G105,Equipment!$A$2:$A$153,0))</f>
        <v>71.45</v>
      </c>
      <c r="AN105" s="33" t="n">
        <f aca="false">INDEX(Equipment!$F$2:$F$153,MATCH(G105,Equipment!$A$2:$A$153,0))</f>
        <v>1</v>
      </c>
      <c r="AO105" s="33" t="n">
        <f aca="false">IF(INDEX(Raceways!$D$2:$D$18,MATCH(L105,Raceways!$A$2:$A$18,0))="",0,INDEX(Raceways!$D$2:$D$18,MATCH(L105,Raceways!$A$2:$A$18,0)))</f>
        <v>3</v>
      </c>
      <c r="AP105" s="34" t="n">
        <f aca="false">IF(INDEX(Raceways!$I$2:$I$18,MATCH(L105,Raceways!$A$2:$A$18,0))="","",INDEX(Raceways!$I$2:$I$18,MATCH(L105,Raceways!$A$2:$A$18,0)))</f>
        <v>0.88</v>
      </c>
      <c r="AQ105" s="27" t="n">
        <f aca="false">INDEX('Cable Types'!$D$2:$D$45,MATCH(I105,'Cable Types'!$A$2:$A$45,0))</f>
        <v>1</v>
      </c>
      <c r="AR105" s="27" t="n">
        <f aca="false">IF(INDEX('Cable Types'!$E$2:$E$45,MATCH(I105,'Cable Types'!$A$2:$A$45,0))="","",INDEX('Cable Types'!$E$2:$E$45,MATCH(I105,'Cable Types'!$A$2:$A$45,0)))</f>
        <v>37</v>
      </c>
      <c r="AS105" s="27" t="n">
        <f aca="false">IF(INDEX('Cable Types'!$F$2:$F$45,MATCH(I105,'Cable Types'!$A$2:$A$45,0))="","",INDEX('Cable Types'!$F$2:$F$45,MATCH(I105,'Cable Types'!$A$2:$A$45,0)))</f>
        <v>150</v>
      </c>
      <c r="AT105" s="35" t="n">
        <f aca="false">IF(INDEX('Cable Types'!$G$2:$G$45,MATCH(I105,'Cable Types'!$A$2:$A$45,0))="","",INDEX('Cable Types'!$G$2:$G$45,MATCH(I105,'Cable Types'!$A$2:$A$45,0)))</f>
        <v>0.682</v>
      </c>
    </row>
    <row r="106" customFormat="false" ht="15" hidden="false" customHeight="false" outlineLevel="0" collapsed="false">
      <c r="A106" s="26" t="s">
        <v>915</v>
      </c>
      <c r="B106" s="26" t="s">
        <v>133</v>
      </c>
      <c r="C106" s="26" t="s">
        <v>74</v>
      </c>
      <c r="D106" s="26" t="s">
        <v>916</v>
      </c>
      <c r="E106" s="26" t="s">
        <v>400</v>
      </c>
      <c r="F106" s="27" t="str">
        <f aca="false">INDEX(Equipment!$B$2:$B$153,MATCH(E106,Equipment!$A$2:$A$153,0))</f>
        <v>RICE auxiliary MCC 480 V</v>
      </c>
      <c r="G106" s="26" t="s">
        <v>433</v>
      </c>
      <c r="H106" s="27" t="str">
        <f aca="false">INDEX(Equipment!$B$2:$B$153,MATCH(G106,Equipment!$A$2:$A$153,0))</f>
        <v>Genset 2 auxiliary panel (radiator fans, pre-lube, jacket heater)</v>
      </c>
      <c r="I106" s="26" t="s">
        <v>577</v>
      </c>
      <c r="J106" s="27" t="str">
        <f aca="false">INDEX('Cable Types'!$B$2:$B$45,MATCH(I106,'Cable Types'!$A$2:$A$45,0))</f>
        <v>600 V 3/C 1/0 AWG + G Cu XHHW-2, Type MC-HL, CCW Al armor (Armor-X type), PVC jkt</v>
      </c>
      <c r="K106" s="26" t="n">
        <v>1</v>
      </c>
      <c r="L106" s="26" t="s">
        <v>783</v>
      </c>
      <c r="M106" s="26" t="s">
        <v>703</v>
      </c>
      <c r="N106" s="26"/>
      <c r="O106" s="28" t="n">
        <f aca="false">IF(N106&lt;&gt;"",N106,IF(M106="D",ROUNDUP(SQRT((AL106-AI106)^2+(AM106-AJ106)^2+(AN106-AK106)^2)*(1+'Design Basis'!$C$6),0),ROUNDUP((ABS(AL106-AI106)+ABS(AM106-AJ106)+ABS(AO106-AK106)+ABS(AO106-AN106))*(1+'Design Basis'!$C$4)+2*'Design Basis'!$C$5,0)))</f>
        <v>59</v>
      </c>
      <c r="P106" s="28" t="n">
        <f aca="false">ROUND(O106*'Design Basis'!$C$10,0)</f>
        <v>194</v>
      </c>
      <c r="Q106" s="28" t="n">
        <f aca="false">O106*K106*AQ106</f>
        <v>59</v>
      </c>
      <c r="R106" s="28" t="n">
        <f aca="false">ROUND(Q106*'Design Basis'!$C$10,0)</f>
        <v>194</v>
      </c>
      <c r="S106" s="29" t="n">
        <v>480</v>
      </c>
      <c r="T106" s="26" t="n">
        <v>3</v>
      </c>
      <c r="U106" s="29" t="n">
        <v>75</v>
      </c>
      <c r="V106" s="30" t="n">
        <v>1</v>
      </c>
      <c r="W106" s="28" t="n">
        <f aca="false">IF(OR(U106="",S106=""),"",IF(T106=3,U106*1000/(SQRT(3)*S106*V106),U106*1000/(S106*V106)))</f>
        <v>90.210979560879</v>
      </c>
      <c r="X106" s="30" t="n">
        <v>1.25</v>
      </c>
      <c r="Y106" s="28" t="n">
        <f aca="false">IF(W106="","",W106*IF(X106="",1,X106))</f>
        <v>112.763724451099</v>
      </c>
      <c r="Z106" s="28" t="n">
        <f aca="false">IF(OR(AS106="",AP106=""),"",AS106*AP106)</f>
        <v>132</v>
      </c>
      <c r="AA106" s="28" t="n">
        <f aca="false">IF(Z106="","",Z106*K106)</f>
        <v>132</v>
      </c>
      <c r="AB106" s="31" t="n">
        <f aca="false">IF(OR(Y106="",AA106=""),"",Y106/AA106)</f>
        <v>0.854270639781051</v>
      </c>
      <c r="AC106" s="31" t="n">
        <f aca="false">IF(OR(W106="",AT106=""),"",AT106*(W106/K106)*O106/1000/S106)</f>
        <v>0.00756231124077219</v>
      </c>
      <c r="AD106" s="31" t="n">
        <f aca="false">IF(W106="","",IFERROR(IF(INDEX('Design Basis'!$C$13:$C$21,MATCH(C106,'Design Basis'!$A$13:$A$21,0))="","",INDEX('Design Basis'!$C$13:$C$21,MATCH(C106,'Design Basis'!$A$13:$A$21,0))),""))</f>
        <v>0.03</v>
      </c>
      <c r="AE106" s="32" t="str">
        <f aca="false">IF(W106="","n/a",IF(AA106="","CHECK",IF(AND(AB106&lt;=1,OR(AC106="",AD106="",AC106&lt;=AD106)),"OK","CHECK")))</f>
        <v>OK</v>
      </c>
      <c r="AF106" s="28" t="n">
        <f aca="false">IF(AR106="","",K106*AQ106*PI()/4*AR106^2)</f>
        <v>1075.21008569111</v>
      </c>
      <c r="AG106" s="32" t="s">
        <v>676</v>
      </c>
      <c r="AI106" s="33" t="n">
        <f aca="false">INDEX(Equipment!$D$2:$D$153,MATCH(E106,Equipment!$A$2:$A$153,0))</f>
        <v>16</v>
      </c>
      <c r="AJ106" s="33" t="n">
        <f aca="false">INDEX(Equipment!$E$2:$E$153,MATCH(E106,Equipment!$A$2:$A$153,0))</f>
        <v>99</v>
      </c>
      <c r="AK106" s="33" t="n">
        <f aca="false">INDEX(Equipment!$F$2:$F$153,MATCH(E106,Equipment!$A$2:$A$153,0))</f>
        <v>0.5</v>
      </c>
      <c r="AL106" s="33" t="n">
        <f aca="false">INDEX(Equipment!$D$2:$D$153,MATCH(G106,Equipment!$A$2:$A$153,0))</f>
        <v>-4</v>
      </c>
      <c r="AM106" s="33" t="n">
        <f aca="false">INDEX(Equipment!$E$2:$E$153,MATCH(G106,Equipment!$A$2:$A$153,0))</f>
        <v>75.65</v>
      </c>
      <c r="AN106" s="33" t="n">
        <f aca="false">INDEX(Equipment!$F$2:$F$153,MATCH(G106,Equipment!$A$2:$A$153,0))</f>
        <v>1</v>
      </c>
      <c r="AO106" s="33" t="n">
        <f aca="false">IF(INDEX(Raceways!$D$2:$D$18,MATCH(L106,Raceways!$A$2:$A$18,0))="",0,INDEX(Raceways!$D$2:$D$18,MATCH(L106,Raceways!$A$2:$A$18,0)))</f>
        <v>3</v>
      </c>
      <c r="AP106" s="34" t="n">
        <f aca="false">IF(INDEX(Raceways!$I$2:$I$18,MATCH(L106,Raceways!$A$2:$A$18,0))="","",INDEX(Raceways!$I$2:$I$18,MATCH(L106,Raceways!$A$2:$A$18,0)))</f>
        <v>0.88</v>
      </c>
      <c r="AQ106" s="27" t="n">
        <f aca="false">INDEX('Cable Types'!$D$2:$D$45,MATCH(I106,'Cable Types'!$A$2:$A$45,0))</f>
        <v>1</v>
      </c>
      <c r="AR106" s="27" t="n">
        <f aca="false">IF(INDEX('Cable Types'!$E$2:$E$45,MATCH(I106,'Cable Types'!$A$2:$A$45,0))="","",INDEX('Cable Types'!$E$2:$E$45,MATCH(I106,'Cable Types'!$A$2:$A$45,0)))</f>
        <v>37</v>
      </c>
      <c r="AS106" s="27" t="n">
        <f aca="false">IF(INDEX('Cable Types'!$F$2:$F$45,MATCH(I106,'Cable Types'!$A$2:$A$45,0))="","",INDEX('Cable Types'!$F$2:$F$45,MATCH(I106,'Cable Types'!$A$2:$A$45,0)))</f>
        <v>150</v>
      </c>
      <c r="AT106" s="35" t="n">
        <f aca="false">IF(INDEX('Cable Types'!$G$2:$G$45,MATCH(I106,'Cable Types'!$A$2:$A$45,0))="","",INDEX('Cable Types'!$G$2:$G$45,MATCH(I106,'Cable Types'!$A$2:$A$45,0)))</f>
        <v>0.682</v>
      </c>
    </row>
    <row r="107" customFormat="false" ht="15" hidden="false" customHeight="false" outlineLevel="0" collapsed="false">
      <c r="A107" s="26" t="s">
        <v>917</v>
      </c>
      <c r="B107" s="26" t="s">
        <v>133</v>
      </c>
      <c r="C107" s="26" t="s">
        <v>74</v>
      </c>
      <c r="D107" s="26" t="s">
        <v>918</v>
      </c>
      <c r="E107" s="26" t="s">
        <v>400</v>
      </c>
      <c r="F107" s="27" t="str">
        <f aca="false">INDEX(Equipment!$B$2:$B$153,MATCH(E107,Equipment!$A$2:$A$153,0))</f>
        <v>RICE auxiliary MCC 480 V</v>
      </c>
      <c r="G107" s="26" t="s">
        <v>435</v>
      </c>
      <c r="H107" s="27" t="str">
        <f aca="false">INDEX(Equipment!$B$2:$B$153,MATCH(G107,Equipment!$A$2:$A$153,0))</f>
        <v>Genset 3 auxiliary panel (radiator fans, pre-lube, jacket heater)</v>
      </c>
      <c r="I107" s="26" t="s">
        <v>577</v>
      </c>
      <c r="J107" s="27" t="str">
        <f aca="false">INDEX('Cable Types'!$B$2:$B$45,MATCH(I107,'Cable Types'!$A$2:$A$45,0))</f>
        <v>600 V 3/C 1/0 AWG + G Cu XHHW-2, Type MC-HL, CCW Al armor (Armor-X type), PVC jkt</v>
      </c>
      <c r="K107" s="26" t="n">
        <v>1</v>
      </c>
      <c r="L107" s="26" t="s">
        <v>783</v>
      </c>
      <c r="M107" s="26" t="s">
        <v>703</v>
      </c>
      <c r="N107" s="26"/>
      <c r="O107" s="28" t="n">
        <f aca="false">IF(N107&lt;&gt;"",N107,IF(M107="D",ROUNDUP(SQRT((AL107-AI107)^2+(AM107-AJ107)^2+(AN107-AK107)^2)*(1+'Design Basis'!$C$6),0),ROUNDUP((ABS(AL107-AI107)+ABS(AM107-AJ107)+ABS(AO107-AK107)+ABS(AO107-AN107))*(1+'Design Basis'!$C$4)+2*'Design Basis'!$C$5,0)))</f>
        <v>55</v>
      </c>
      <c r="P107" s="28" t="n">
        <f aca="false">ROUND(O107*'Design Basis'!$C$10,0)</f>
        <v>180</v>
      </c>
      <c r="Q107" s="28" t="n">
        <f aca="false">O107*K107*AQ107</f>
        <v>55</v>
      </c>
      <c r="R107" s="28" t="n">
        <f aca="false">ROUND(Q107*'Design Basis'!$C$10,0)</f>
        <v>180</v>
      </c>
      <c r="S107" s="29" t="n">
        <v>480</v>
      </c>
      <c r="T107" s="26" t="n">
        <v>3</v>
      </c>
      <c r="U107" s="29" t="n">
        <v>75</v>
      </c>
      <c r="V107" s="30" t="n">
        <v>1</v>
      </c>
      <c r="W107" s="28" t="n">
        <f aca="false">IF(OR(U107="",S107=""),"",IF(T107=3,U107*1000/(SQRT(3)*S107*V107),U107*1000/(S107*V107)))</f>
        <v>90.210979560879</v>
      </c>
      <c r="X107" s="30" t="n">
        <v>1.25</v>
      </c>
      <c r="Y107" s="28" t="n">
        <f aca="false">IF(W107="","",W107*IF(X107="",1,X107))</f>
        <v>112.763724451099</v>
      </c>
      <c r="Z107" s="28" t="n">
        <f aca="false">IF(OR(AS107="",AP107=""),"",AS107*AP107)</f>
        <v>132</v>
      </c>
      <c r="AA107" s="28" t="n">
        <f aca="false">IF(Z107="","",Z107*K107)</f>
        <v>132</v>
      </c>
      <c r="AB107" s="31" t="n">
        <f aca="false">IF(OR(Y107="",AA107=""),"",Y107/AA107)</f>
        <v>0.854270639781051</v>
      </c>
      <c r="AC107" s="31" t="n">
        <f aca="false">IF(OR(W107="",AT107=""),"",AT107*(W107/K107)*O107/1000/S107)</f>
        <v>0.00704961217360119</v>
      </c>
      <c r="AD107" s="31" t="n">
        <f aca="false">IF(W107="","",IFERROR(IF(INDEX('Design Basis'!$C$13:$C$21,MATCH(C107,'Design Basis'!$A$13:$A$21,0))="","",INDEX('Design Basis'!$C$13:$C$21,MATCH(C107,'Design Basis'!$A$13:$A$21,0))),""))</f>
        <v>0.03</v>
      </c>
      <c r="AE107" s="32" t="str">
        <f aca="false">IF(W107="","n/a",IF(AA107="","CHECK",IF(AND(AB107&lt;=1,OR(AC107="",AD107="",AC107&lt;=AD107)),"OK","CHECK")))</f>
        <v>OK</v>
      </c>
      <c r="AF107" s="28" t="n">
        <f aca="false">IF(AR107="","",K107*AQ107*PI()/4*AR107^2)</f>
        <v>1075.21008569111</v>
      </c>
      <c r="AG107" s="32" t="s">
        <v>676</v>
      </c>
      <c r="AI107" s="33" t="n">
        <f aca="false">INDEX(Equipment!$D$2:$D$153,MATCH(E107,Equipment!$A$2:$A$153,0))</f>
        <v>16</v>
      </c>
      <c r="AJ107" s="33" t="n">
        <f aca="false">INDEX(Equipment!$E$2:$E$153,MATCH(E107,Equipment!$A$2:$A$153,0))</f>
        <v>99</v>
      </c>
      <c r="AK107" s="33" t="n">
        <f aca="false">INDEX(Equipment!$F$2:$F$153,MATCH(E107,Equipment!$A$2:$A$153,0))</f>
        <v>0.5</v>
      </c>
      <c r="AL107" s="33" t="n">
        <f aca="false">INDEX(Equipment!$D$2:$D$153,MATCH(G107,Equipment!$A$2:$A$153,0))</f>
        <v>-4</v>
      </c>
      <c r="AM107" s="33" t="n">
        <f aca="false">INDEX(Equipment!$E$2:$E$153,MATCH(G107,Equipment!$A$2:$A$153,0))</f>
        <v>79.85</v>
      </c>
      <c r="AN107" s="33" t="n">
        <f aca="false">INDEX(Equipment!$F$2:$F$153,MATCH(G107,Equipment!$A$2:$A$153,0))</f>
        <v>1</v>
      </c>
      <c r="AO107" s="33" t="n">
        <f aca="false">IF(INDEX(Raceways!$D$2:$D$18,MATCH(L107,Raceways!$A$2:$A$18,0))="",0,INDEX(Raceways!$D$2:$D$18,MATCH(L107,Raceways!$A$2:$A$18,0)))</f>
        <v>3</v>
      </c>
      <c r="AP107" s="34" t="n">
        <f aca="false">IF(INDEX(Raceways!$I$2:$I$18,MATCH(L107,Raceways!$A$2:$A$18,0))="","",INDEX(Raceways!$I$2:$I$18,MATCH(L107,Raceways!$A$2:$A$18,0)))</f>
        <v>0.88</v>
      </c>
      <c r="AQ107" s="27" t="n">
        <f aca="false">INDEX('Cable Types'!$D$2:$D$45,MATCH(I107,'Cable Types'!$A$2:$A$45,0))</f>
        <v>1</v>
      </c>
      <c r="AR107" s="27" t="n">
        <f aca="false">IF(INDEX('Cable Types'!$E$2:$E$45,MATCH(I107,'Cable Types'!$A$2:$A$45,0))="","",INDEX('Cable Types'!$E$2:$E$45,MATCH(I107,'Cable Types'!$A$2:$A$45,0)))</f>
        <v>37</v>
      </c>
      <c r="AS107" s="27" t="n">
        <f aca="false">IF(INDEX('Cable Types'!$F$2:$F$45,MATCH(I107,'Cable Types'!$A$2:$A$45,0))="","",INDEX('Cable Types'!$F$2:$F$45,MATCH(I107,'Cable Types'!$A$2:$A$45,0)))</f>
        <v>150</v>
      </c>
      <c r="AT107" s="35" t="n">
        <f aca="false">IF(INDEX('Cable Types'!$G$2:$G$45,MATCH(I107,'Cable Types'!$A$2:$A$45,0))="","",INDEX('Cable Types'!$G$2:$G$45,MATCH(I107,'Cable Types'!$A$2:$A$45,0)))</f>
        <v>0.682</v>
      </c>
    </row>
    <row r="108" customFormat="false" ht="15" hidden="false" customHeight="false" outlineLevel="0" collapsed="false">
      <c r="A108" s="26" t="s">
        <v>919</v>
      </c>
      <c r="B108" s="26" t="s">
        <v>133</v>
      </c>
      <c r="C108" s="26" t="s">
        <v>74</v>
      </c>
      <c r="D108" s="26" t="s">
        <v>920</v>
      </c>
      <c r="E108" s="26" t="s">
        <v>400</v>
      </c>
      <c r="F108" s="27" t="str">
        <f aca="false">INDEX(Equipment!$B$2:$B$153,MATCH(E108,Equipment!$A$2:$A$153,0))</f>
        <v>RICE auxiliary MCC 480 V</v>
      </c>
      <c r="G108" s="26" t="s">
        <v>437</v>
      </c>
      <c r="H108" s="27" t="str">
        <f aca="false">INDEX(Equipment!$B$2:$B$153,MATCH(G108,Equipment!$A$2:$A$153,0))</f>
        <v>Genset 4 auxiliary panel (radiator fans, pre-lube, jacket heater)</v>
      </c>
      <c r="I108" s="26" t="s">
        <v>577</v>
      </c>
      <c r="J108" s="27" t="str">
        <f aca="false">INDEX('Cable Types'!$B$2:$B$45,MATCH(I108,'Cable Types'!$A$2:$A$45,0))</f>
        <v>600 V 3/C 1/0 AWG + G Cu XHHW-2, Type MC-HL, CCW Al armor (Armor-X type), PVC jkt</v>
      </c>
      <c r="K108" s="26" t="n">
        <v>1</v>
      </c>
      <c r="L108" s="26" t="s">
        <v>783</v>
      </c>
      <c r="M108" s="26" t="s">
        <v>703</v>
      </c>
      <c r="N108" s="26"/>
      <c r="O108" s="28" t="n">
        <f aca="false">IF(N108&lt;&gt;"",N108,IF(M108="D",ROUNDUP(SQRT((AL108-AI108)^2+(AM108-AJ108)^2+(AN108-AK108)^2)*(1+'Design Basis'!$C$6),0),ROUNDUP((ABS(AL108-AI108)+ABS(AM108-AJ108)+ABS(AO108-AK108)+ABS(AO108-AN108))*(1+'Design Basis'!$C$4)+2*'Design Basis'!$C$5,0)))</f>
        <v>50</v>
      </c>
      <c r="P108" s="28" t="n">
        <f aca="false">ROUND(O108*'Design Basis'!$C$10,0)</f>
        <v>164</v>
      </c>
      <c r="Q108" s="28" t="n">
        <f aca="false">O108*K108*AQ108</f>
        <v>50</v>
      </c>
      <c r="R108" s="28" t="n">
        <f aca="false">ROUND(Q108*'Design Basis'!$C$10,0)</f>
        <v>164</v>
      </c>
      <c r="S108" s="29" t="n">
        <v>480</v>
      </c>
      <c r="T108" s="26" t="n">
        <v>3</v>
      </c>
      <c r="U108" s="29" t="n">
        <v>75</v>
      </c>
      <c r="V108" s="30" t="n">
        <v>1</v>
      </c>
      <c r="W108" s="28" t="n">
        <f aca="false">IF(OR(U108="",S108=""),"",IF(T108=3,U108*1000/(SQRT(3)*S108*V108),U108*1000/(S108*V108)))</f>
        <v>90.210979560879</v>
      </c>
      <c r="X108" s="30" t="n">
        <v>1.25</v>
      </c>
      <c r="Y108" s="28" t="n">
        <f aca="false">IF(W108="","",W108*IF(X108="",1,X108))</f>
        <v>112.763724451099</v>
      </c>
      <c r="Z108" s="28" t="n">
        <f aca="false">IF(OR(AS108="",AP108=""),"",AS108*AP108)</f>
        <v>132</v>
      </c>
      <c r="AA108" s="28" t="n">
        <f aca="false">IF(Z108="","",Z108*K108)</f>
        <v>132</v>
      </c>
      <c r="AB108" s="31" t="n">
        <f aca="false">IF(OR(Y108="",AA108=""),"",Y108/AA108)</f>
        <v>0.854270639781051</v>
      </c>
      <c r="AC108" s="31" t="n">
        <f aca="false">IF(OR(W108="",AT108=""),"",AT108*(W108/K108)*O108/1000/S108)</f>
        <v>0.00640873833963745</v>
      </c>
      <c r="AD108" s="31" t="n">
        <f aca="false">IF(W108="","",IFERROR(IF(INDEX('Design Basis'!$C$13:$C$21,MATCH(C108,'Design Basis'!$A$13:$A$21,0))="","",INDEX('Design Basis'!$C$13:$C$21,MATCH(C108,'Design Basis'!$A$13:$A$21,0))),""))</f>
        <v>0.03</v>
      </c>
      <c r="AE108" s="32" t="str">
        <f aca="false">IF(W108="","n/a",IF(AA108="","CHECK",IF(AND(AB108&lt;=1,OR(AC108="",AD108="",AC108&lt;=AD108)),"OK","CHECK")))</f>
        <v>OK</v>
      </c>
      <c r="AF108" s="28" t="n">
        <f aca="false">IF(AR108="","",K108*AQ108*PI()/4*AR108^2)</f>
        <v>1075.21008569111</v>
      </c>
      <c r="AG108" s="32" t="s">
        <v>676</v>
      </c>
      <c r="AI108" s="33" t="n">
        <f aca="false">INDEX(Equipment!$D$2:$D$153,MATCH(E108,Equipment!$A$2:$A$153,0))</f>
        <v>16</v>
      </c>
      <c r="AJ108" s="33" t="n">
        <f aca="false">INDEX(Equipment!$E$2:$E$153,MATCH(E108,Equipment!$A$2:$A$153,0))</f>
        <v>99</v>
      </c>
      <c r="AK108" s="33" t="n">
        <f aca="false">INDEX(Equipment!$F$2:$F$153,MATCH(E108,Equipment!$A$2:$A$153,0))</f>
        <v>0.5</v>
      </c>
      <c r="AL108" s="33" t="n">
        <f aca="false">INDEX(Equipment!$D$2:$D$153,MATCH(G108,Equipment!$A$2:$A$153,0))</f>
        <v>-4</v>
      </c>
      <c r="AM108" s="33" t="n">
        <f aca="false">INDEX(Equipment!$E$2:$E$153,MATCH(G108,Equipment!$A$2:$A$153,0))</f>
        <v>84.05</v>
      </c>
      <c r="AN108" s="33" t="n">
        <f aca="false">INDEX(Equipment!$F$2:$F$153,MATCH(G108,Equipment!$A$2:$A$153,0))</f>
        <v>1</v>
      </c>
      <c r="AO108" s="33" t="n">
        <f aca="false">IF(INDEX(Raceways!$D$2:$D$18,MATCH(L108,Raceways!$A$2:$A$18,0))="",0,INDEX(Raceways!$D$2:$D$18,MATCH(L108,Raceways!$A$2:$A$18,0)))</f>
        <v>3</v>
      </c>
      <c r="AP108" s="34" t="n">
        <f aca="false">IF(INDEX(Raceways!$I$2:$I$18,MATCH(L108,Raceways!$A$2:$A$18,0))="","",INDEX(Raceways!$I$2:$I$18,MATCH(L108,Raceways!$A$2:$A$18,0)))</f>
        <v>0.88</v>
      </c>
      <c r="AQ108" s="27" t="n">
        <f aca="false">INDEX('Cable Types'!$D$2:$D$45,MATCH(I108,'Cable Types'!$A$2:$A$45,0))</f>
        <v>1</v>
      </c>
      <c r="AR108" s="27" t="n">
        <f aca="false">IF(INDEX('Cable Types'!$E$2:$E$45,MATCH(I108,'Cable Types'!$A$2:$A$45,0))="","",INDEX('Cable Types'!$E$2:$E$45,MATCH(I108,'Cable Types'!$A$2:$A$45,0)))</f>
        <v>37</v>
      </c>
      <c r="AS108" s="27" t="n">
        <f aca="false">IF(INDEX('Cable Types'!$F$2:$F$45,MATCH(I108,'Cable Types'!$A$2:$A$45,0))="","",INDEX('Cable Types'!$F$2:$F$45,MATCH(I108,'Cable Types'!$A$2:$A$45,0)))</f>
        <v>150</v>
      </c>
      <c r="AT108" s="35" t="n">
        <f aca="false">IF(INDEX('Cable Types'!$G$2:$G$45,MATCH(I108,'Cable Types'!$A$2:$A$45,0))="","",INDEX('Cable Types'!$G$2:$G$45,MATCH(I108,'Cable Types'!$A$2:$A$45,0)))</f>
        <v>0.682</v>
      </c>
    </row>
    <row r="109" customFormat="false" ht="15" hidden="false" customHeight="false" outlineLevel="0" collapsed="false">
      <c r="A109" s="26" t="s">
        <v>921</v>
      </c>
      <c r="B109" s="26" t="s">
        <v>133</v>
      </c>
      <c r="C109" s="26" t="s">
        <v>74</v>
      </c>
      <c r="D109" s="26" t="s">
        <v>922</v>
      </c>
      <c r="E109" s="26" t="s">
        <v>400</v>
      </c>
      <c r="F109" s="27" t="str">
        <f aca="false">INDEX(Equipment!$B$2:$B$153,MATCH(E109,Equipment!$A$2:$A$153,0))</f>
        <v>RICE auxiliary MCC 480 V</v>
      </c>
      <c r="G109" s="26" t="s">
        <v>439</v>
      </c>
      <c r="H109" s="27" t="str">
        <f aca="false">INDEX(Equipment!$B$2:$B$153,MATCH(G109,Equipment!$A$2:$A$153,0))</f>
        <v>Genset 5 auxiliary panel (radiator fans, pre-lube, jacket heater)</v>
      </c>
      <c r="I109" s="26" t="s">
        <v>577</v>
      </c>
      <c r="J109" s="27" t="str">
        <f aca="false">INDEX('Cable Types'!$B$2:$B$45,MATCH(I109,'Cable Types'!$A$2:$A$45,0))</f>
        <v>600 V 3/C 1/0 AWG + G Cu XHHW-2, Type MC-HL, CCW Al armor (Armor-X type), PVC jkt</v>
      </c>
      <c r="K109" s="26" t="n">
        <v>1</v>
      </c>
      <c r="L109" s="26" t="s">
        <v>783</v>
      </c>
      <c r="M109" s="26" t="s">
        <v>703</v>
      </c>
      <c r="N109" s="26"/>
      <c r="O109" s="28" t="n">
        <f aca="false">IF(N109&lt;&gt;"",N109,IF(M109="D",ROUNDUP(SQRT((AL109-AI109)^2+(AM109-AJ109)^2+(AN109-AK109)^2)*(1+'Design Basis'!$C$6),0),ROUNDUP((ABS(AL109-AI109)+ABS(AM109-AJ109)+ABS(AO109-AK109)+ABS(AO109-AN109))*(1+'Design Basis'!$C$4)+2*'Design Basis'!$C$5,0)))</f>
        <v>45</v>
      </c>
      <c r="P109" s="28" t="n">
        <f aca="false">ROUND(O109*'Design Basis'!$C$10,0)</f>
        <v>148</v>
      </c>
      <c r="Q109" s="28" t="n">
        <f aca="false">O109*K109*AQ109</f>
        <v>45</v>
      </c>
      <c r="R109" s="28" t="n">
        <f aca="false">ROUND(Q109*'Design Basis'!$C$10,0)</f>
        <v>148</v>
      </c>
      <c r="S109" s="29" t="n">
        <v>480</v>
      </c>
      <c r="T109" s="26" t="n">
        <v>3</v>
      </c>
      <c r="U109" s="29" t="n">
        <v>75</v>
      </c>
      <c r="V109" s="30" t="n">
        <v>1</v>
      </c>
      <c r="W109" s="28" t="n">
        <f aca="false">IF(OR(U109="",S109=""),"",IF(T109=3,U109*1000/(SQRT(3)*S109*V109),U109*1000/(S109*V109)))</f>
        <v>90.210979560879</v>
      </c>
      <c r="X109" s="30" t="n">
        <v>1.25</v>
      </c>
      <c r="Y109" s="28" t="n">
        <f aca="false">IF(W109="","",W109*IF(X109="",1,X109))</f>
        <v>112.763724451099</v>
      </c>
      <c r="Z109" s="28" t="n">
        <f aca="false">IF(OR(AS109="",AP109=""),"",AS109*AP109)</f>
        <v>132</v>
      </c>
      <c r="AA109" s="28" t="n">
        <f aca="false">IF(Z109="","",Z109*K109)</f>
        <v>132</v>
      </c>
      <c r="AB109" s="31" t="n">
        <f aca="false">IF(OR(Y109="",AA109=""),"",Y109/AA109)</f>
        <v>0.854270639781051</v>
      </c>
      <c r="AC109" s="31" t="n">
        <f aca="false">IF(OR(W109="",AT109=""),"",AT109*(W109/K109)*O109/1000/S109)</f>
        <v>0.0057678645056737</v>
      </c>
      <c r="AD109" s="31" t="n">
        <f aca="false">IF(W109="","",IFERROR(IF(INDEX('Design Basis'!$C$13:$C$21,MATCH(C109,'Design Basis'!$A$13:$A$21,0))="","",INDEX('Design Basis'!$C$13:$C$21,MATCH(C109,'Design Basis'!$A$13:$A$21,0))),""))</f>
        <v>0.03</v>
      </c>
      <c r="AE109" s="32" t="str">
        <f aca="false">IF(W109="","n/a",IF(AA109="","CHECK",IF(AND(AB109&lt;=1,OR(AC109="",AD109="",AC109&lt;=AD109)),"OK","CHECK")))</f>
        <v>OK</v>
      </c>
      <c r="AF109" s="28" t="n">
        <f aca="false">IF(AR109="","",K109*AQ109*PI()/4*AR109^2)</f>
        <v>1075.21008569111</v>
      </c>
      <c r="AG109" s="32" t="s">
        <v>676</v>
      </c>
      <c r="AI109" s="33" t="n">
        <f aca="false">INDEX(Equipment!$D$2:$D$153,MATCH(E109,Equipment!$A$2:$A$153,0))</f>
        <v>16</v>
      </c>
      <c r="AJ109" s="33" t="n">
        <f aca="false">INDEX(Equipment!$E$2:$E$153,MATCH(E109,Equipment!$A$2:$A$153,0))</f>
        <v>99</v>
      </c>
      <c r="AK109" s="33" t="n">
        <f aca="false">INDEX(Equipment!$F$2:$F$153,MATCH(E109,Equipment!$A$2:$A$153,0))</f>
        <v>0.5</v>
      </c>
      <c r="AL109" s="33" t="n">
        <f aca="false">INDEX(Equipment!$D$2:$D$153,MATCH(G109,Equipment!$A$2:$A$153,0))</f>
        <v>-4</v>
      </c>
      <c r="AM109" s="33" t="n">
        <f aca="false">INDEX(Equipment!$E$2:$E$153,MATCH(G109,Equipment!$A$2:$A$153,0))</f>
        <v>88.25</v>
      </c>
      <c r="AN109" s="33" t="n">
        <f aca="false">INDEX(Equipment!$F$2:$F$153,MATCH(G109,Equipment!$A$2:$A$153,0))</f>
        <v>1</v>
      </c>
      <c r="AO109" s="33" t="n">
        <f aca="false">IF(INDEX(Raceways!$D$2:$D$18,MATCH(L109,Raceways!$A$2:$A$18,0))="",0,INDEX(Raceways!$D$2:$D$18,MATCH(L109,Raceways!$A$2:$A$18,0)))</f>
        <v>3</v>
      </c>
      <c r="AP109" s="34" t="n">
        <f aca="false">IF(INDEX(Raceways!$I$2:$I$18,MATCH(L109,Raceways!$A$2:$A$18,0))="","",INDEX(Raceways!$I$2:$I$18,MATCH(L109,Raceways!$A$2:$A$18,0)))</f>
        <v>0.88</v>
      </c>
      <c r="AQ109" s="27" t="n">
        <f aca="false">INDEX('Cable Types'!$D$2:$D$45,MATCH(I109,'Cable Types'!$A$2:$A$45,0))</f>
        <v>1</v>
      </c>
      <c r="AR109" s="27" t="n">
        <f aca="false">IF(INDEX('Cable Types'!$E$2:$E$45,MATCH(I109,'Cable Types'!$A$2:$A$45,0))="","",INDEX('Cable Types'!$E$2:$E$45,MATCH(I109,'Cable Types'!$A$2:$A$45,0)))</f>
        <v>37</v>
      </c>
      <c r="AS109" s="27" t="n">
        <f aca="false">IF(INDEX('Cable Types'!$F$2:$F$45,MATCH(I109,'Cable Types'!$A$2:$A$45,0))="","",INDEX('Cable Types'!$F$2:$F$45,MATCH(I109,'Cable Types'!$A$2:$A$45,0)))</f>
        <v>150</v>
      </c>
      <c r="AT109" s="35" t="n">
        <f aca="false">IF(INDEX('Cable Types'!$G$2:$G$45,MATCH(I109,'Cable Types'!$A$2:$A$45,0))="","",INDEX('Cable Types'!$G$2:$G$45,MATCH(I109,'Cable Types'!$A$2:$A$45,0)))</f>
        <v>0.682</v>
      </c>
    </row>
    <row r="110" customFormat="false" ht="15" hidden="false" customHeight="false" outlineLevel="0" collapsed="false">
      <c r="A110" s="26" t="s">
        <v>923</v>
      </c>
      <c r="B110" s="26" t="s">
        <v>133</v>
      </c>
      <c r="C110" s="26" t="s">
        <v>74</v>
      </c>
      <c r="D110" s="26" t="s">
        <v>924</v>
      </c>
      <c r="E110" s="26" t="s">
        <v>400</v>
      </c>
      <c r="F110" s="27" t="str">
        <f aca="false">INDEX(Equipment!$B$2:$B$153,MATCH(E110,Equipment!$A$2:$A$153,0))</f>
        <v>RICE auxiliary MCC 480 V</v>
      </c>
      <c r="G110" s="26" t="s">
        <v>441</v>
      </c>
      <c r="H110" s="27" t="str">
        <f aca="false">INDEX(Equipment!$B$2:$B$153,MATCH(G110,Equipment!$A$2:$A$153,0))</f>
        <v>Genset 6 auxiliary panel (radiator fans, pre-lube, jacket heater)</v>
      </c>
      <c r="I110" s="26" t="s">
        <v>577</v>
      </c>
      <c r="J110" s="27" t="str">
        <f aca="false">INDEX('Cable Types'!$B$2:$B$45,MATCH(I110,'Cable Types'!$A$2:$A$45,0))</f>
        <v>600 V 3/C 1/0 AWG + G Cu XHHW-2, Type MC-HL, CCW Al armor (Armor-X type), PVC jkt</v>
      </c>
      <c r="K110" s="26" t="n">
        <v>1</v>
      </c>
      <c r="L110" s="26" t="s">
        <v>783</v>
      </c>
      <c r="M110" s="26" t="s">
        <v>703</v>
      </c>
      <c r="N110" s="26"/>
      <c r="O110" s="28" t="n">
        <f aca="false">IF(N110&lt;&gt;"",N110,IF(M110="D",ROUNDUP(SQRT((AL110-AI110)^2+(AM110-AJ110)^2+(AN110-AK110)^2)*(1+'Design Basis'!$C$6),0),ROUNDUP((ABS(AL110-AI110)+ABS(AM110-AJ110)+ABS(AO110-AK110)+ABS(AO110-AN110))*(1+'Design Basis'!$C$4)+2*'Design Basis'!$C$5,0)))</f>
        <v>41</v>
      </c>
      <c r="P110" s="28" t="n">
        <f aca="false">ROUND(O110*'Design Basis'!$C$10,0)</f>
        <v>135</v>
      </c>
      <c r="Q110" s="28" t="n">
        <f aca="false">O110*K110*AQ110</f>
        <v>41</v>
      </c>
      <c r="R110" s="28" t="n">
        <f aca="false">ROUND(Q110*'Design Basis'!$C$10,0)</f>
        <v>135</v>
      </c>
      <c r="S110" s="29" t="n">
        <v>480</v>
      </c>
      <c r="T110" s="26" t="n">
        <v>3</v>
      </c>
      <c r="U110" s="29" t="n">
        <v>75</v>
      </c>
      <c r="V110" s="30" t="n">
        <v>1</v>
      </c>
      <c r="W110" s="28" t="n">
        <f aca="false">IF(OR(U110="",S110=""),"",IF(T110=3,U110*1000/(SQRT(3)*S110*V110),U110*1000/(S110*V110)))</f>
        <v>90.210979560879</v>
      </c>
      <c r="X110" s="30" t="n">
        <v>1.25</v>
      </c>
      <c r="Y110" s="28" t="n">
        <f aca="false">IF(W110="","",W110*IF(X110="",1,X110))</f>
        <v>112.763724451099</v>
      </c>
      <c r="Z110" s="28" t="n">
        <f aca="false">IF(OR(AS110="",AP110=""),"",AS110*AP110)</f>
        <v>132</v>
      </c>
      <c r="AA110" s="28" t="n">
        <f aca="false">IF(Z110="","",Z110*K110)</f>
        <v>132</v>
      </c>
      <c r="AB110" s="31" t="n">
        <f aca="false">IF(OR(Y110="",AA110=""),"",Y110/AA110)</f>
        <v>0.854270639781051</v>
      </c>
      <c r="AC110" s="31" t="n">
        <f aca="false">IF(OR(W110="",AT110=""),"",AT110*(W110/K110)*O110/1000/S110)</f>
        <v>0.00525516543850271</v>
      </c>
      <c r="AD110" s="31" t="n">
        <f aca="false">IF(W110="","",IFERROR(IF(INDEX('Design Basis'!$C$13:$C$21,MATCH(C110,'Design Basis'!$A$13:$A$21,0))="","",INDEX('Design Basis'!$C$13:$C$21,MATCH(C110,'Design Basis'!$A$13:$A$21,0))),""))</f>
        <v>0.03</v>
      </c>
      <c r="AE110" s="32" t="str">
        <f aca="false">IF(W110="","n/a",IF(AA110="","CHECK",IF(AND(AB110&lt;=1,OR(AC110="",AD110="",AC110&lt;=AD110)),"OK","CHECK")))</f>
        <v>OK</v>
      </c>
      <c r="AF110" s="28" t="n">
        <f aca="false">IF(AR110="","",K110*AQ110*PI()/4*AR110^2)</f>
        <v>1075.21008569111</v>
      </c>
      <c r="AG110" s="32" t="s">
        <v>676</v>
      </c>
      <c r="AI110" s="33" t="n">
        <f aca="false">INDEX(Equipment!$D$2:$D$153,MATCH(E110,Equipment!$A$2:$A$153,0))</f>
        <v>16</v>
      </c>
      <c r="AJ110" s="33" t="n">
        <f aca="false">INDEX(Equipment!$E$2:$E$153,MATCH(E110,Equipment!$A$2:$A$153,0))</f>
        <v>99</v>
      </c>
      <c r="AK110" s="33" t="n">
        <f aca="false">INDEX(Equipment!$F$2:$F$153,MATCH(E110,Equipment!$A$2:$A$153,0))</f>
        <v>0.5</v>
      </c>
      <c r="AL110" s="33" t="n">
        <f aca="false">INDEX(Equipment!$D$2:$D$153,MATCH(G110,Equipment!$A$2:$A$153,0))</f>
        <v>-4</v>
      </c>
      <c r="AM110" s="33" t="n">
        <f aca="false">INDEX(Equipment!$E$2:$E$153,MATCH(G110,Equipment!$A$2:$A$153,0))</f>
        <v>92.45</v>
      </c>
      <c r="AN110" s="33" t="n">
        <f aca="false">INDEX(Equipment!$F$2:$F$153,MATCH(G110,Equipment!$A$2:$A$153,0))</f>
        <v>1</v>
      </c>
      <c r="AO110" s="33" t="n">
        <f aca="false">IF(INDEX(Raceways!$D$2:$D$18,MATCH(L110,Raceways!$A$2:$A$18,0))="",0,INDEX(Raceways!$D$2:$D$18,MATCH(L110,Raceways!$A$2:$A$18,0)))</f>
        <v>3</v>
      </c>
      <c r="AP110" s="34" t="n">
        <f aca="false">IF(INDEX(Raceways!$I$2:$I$18,MATCH(L110,Raceways!$A$2:$A$18,0))="","",INDEX(Raceways!$I$2:$I$18,MATCH(L110,Raceways!$A$2:$A$18,0)))</f>
        <v>0.88</v>
      </c>
      <c r="AQ110" s="27" t="n">
        <f aca="false">INDEX('Cable Types'!$D$2:$D$45,MATCH(I110,'Cable Types'!$A$2:$A$45,0))</f>
        <v>1</v>
      </c>
      <c r="AR110" s="27" t="n">
        <f aca="false">IF(INDEX('Cable Types'!$E$2:$E$45,MATCH(I110,'Cable Types'!$A$2:$A$45,0))="","",INDEX('Cable Types'!$E$2:$E$45,MATCH(I110,'Cable Types'!$A$2:$A$45,0)))</f>
        <v>37</v>
      </c>
      <c r="AS110" s="27" t="n">
        <f aca="false">IF(INDEX('Cable Types'!$F$2:$F$45,MATCH(I110,'Cable Types'!$A$2:$A$45,0))="","",INDEX('Cable Types'!$F$2:$F$45,MATCH(I110,'Cable Types'!$A$2:$A$45,0)))</f>
        <v>150</v>
      </c>
      <c r="AT110" s="35" t="n">
        <f aca="false">IF(INDEX('Cable Types'!$G$2:$G$45,MATCH(I110,'Cable Types'!$A$2:$A$45,0))="","",INDEX('Cable Types'!$G$2:$G$45,MATCH(I110,'Cable Types'!$A$2:$A$45,0)))</f>
        <v>0.682</v>
      </c>
    </row>
    <row r="111" customFormat="false" ht="15" hidden="false" customHeight="false" outlineLevel="0" collapsed="false">
      <c r="A111" s="26" t="s">
        <v>925</v>
      </c>
      <c r="B111" s="26" t="s">
        <v>133</v>
      </c>
      <c r="C111" s="26" t="s">
        <v>74</v>
      </c>
      <c r="D111" s="26" t="s">
        <v>926</v>
      </c>
      <c r="E111" s="26" t="s">
        <v>400</v>
      </c>
      <c r="F111" s="27" t="str">
        <f aca="false">INDEX(Equipment!$B$2:$B$153,MATCH(E111,Equipment!$A$2:$A$153,0))</f>
        <v>RICE auxiliary MCC 480 V</v>
      </c>
      <c r="G111" s="26" t="s">
        <v>443</v>
      </c>
      <c r="H111" s="27" t="str">
        <f aca="false">INDEX(Equipment!$B$2:$B$153,MATCH(G111,Equipment!$A$2:$A$153,0))</f>
        <v>Genset 7 auxiliary panel (radiator fans, pre-lube, jacket heater)</v>
      </c>
      <c r="I111" s="26" t="s">
        <v>577</v>
      </c>
      <c r="J111" s="27" t="str">
        <f aca="false">INDEX('Cable Types'!$B$2:$B$45,MATCH(I111,'Cable Types'!$A$2:$A$45,0))</f>
        <v>600 V 3/C 1/0 AWG + G Cu XHHW-2, Type MC-HL, CCW Al armor (Armor-X type), PVC jkt</v>
      </c>
      <c r="K111" s="26" t="n">
        <v>1</v>
      </c>
      <c r="L111" s="26" t="s">
        <v>783</v>
      </c>
      <c r="M111" s="26" t="s">
        <v>703</v>
      </c>
      <c r="N111" s="26"/>
      <c r="O111" s="28" t="n">
        <f aca="false">IF(N111&lt;&gt;"",N111,IF(M111="D",ROUNDUP(SQRT((AL111-AI111)^2+(AM111-AJ111)^2+(AN111-AK111)^2)*(1+'Design Basis'!$C$6),0),ROUNDUP((ABS(AL111-AI111)+ABS(AM111-AJ111)+ABS(AO111-AK111)+ABS(AO111-AN111))*(1+'Design Basis'!$C$4)+2*'Design Basis'!$C$5,0)))</f>
        <v>36</v>
      </c>
      <c r="P111" s="28" t="n">
        <f aca="false">ROUND(O111*'Design Basis'!$C$10,0)</f>
        <v>118</v>
      </c>
      <c r="Q111" s="28" t="n">
        <f aca="false">O111*K111*AQ111</f>
        <v>36</v>
      </c>
      <c r="R111" s="28" t="n">
        <f aca="false">ROUND(Q111*'Design Basis'!$C$10,0)</f>
        <v>118</v>
      </c>
      <c r="S111" s="29" t="n">
        <v>480</v>
      </c>
      <c r="T111" s="26" t="n">
        <v>3</v>
      </c>
      <c r="U111" s="29" t="n">
        <v>75</v>
      </c>
      <c r="V111" s="30" t="n">
        <v>1</v>
      </c>
      <c r="W111" s="28" t="n">
        <f aca="false">IF(OR(U111="",S111=""),"",IF(T111=3,U111*1000/(SQRT(3)*S111*V111),U111*1000/(S111*V111)))</f>
        <v>90.210979560879</v>
      </c>
      <c r="X111" s="30" t="n">
        <v>1.25</v>
      </c>
      <c r="Y111" s="28" t="n">
        <f aca="false">IF(W111="","",W111*IF(X111="",1,X111))</f>
        <v>112.763724451099</v>
      </c>
      <c r="Z111" s="28" t="n">
        <f aca="false">IF(OR(AS111="",AP111=""),"",AS111*AP111)</f>
        <v>132</v>
      </c>
      <c r="AA111" s="28" t="n">
        <f aca="false">IF(Z111="","",Z111*K111)</f>
        <v>132</v>
      </c>
      <c r="AB111" s="31" t="n">
        <f aca="false">IF(OR(Y111="",AA111=""),"",Y111/AA111)</f>
        <v>0.854270639781051</v>
      </c>
      <c r="AC111" s="31" t="n">
        <f aca="false">IF(OR(W111="",AT111=""),"",AT111*(W111/K111)*O111/1000/S111)</f>
        <v>0.00461429160453896</v>
      </c>
      <c r="AD111" s="31" t="n">
        <f aca="false">IF(W111="","",IFERROR(IF(INDEX('Design Basis'!$C$13:$C$21,MATCH(C111,'Design Basis'!$A$13:$A$21,0))="","",INDEX('Design Basis'!$C$13:$C$21,MATCH(C111,'Design Basis'!$A$13:$A$21,0))),""))</f>
        <v>0.03</v>
      </c>
      <c r="AE111" s="32" t="str">
        <f aca="false">IF(W111="","n/a",IF(AA111="","CHECK",IF(AND(AB111&lt;=1,OR(AC111="",AD111="",AC111&lt;=AD111)),"OK","CHECK")))</f>
        <v>OK</v>
      </c>
      <c r="AF111" s="28" t="n">
        <f aca="false">IF(AR111="","",K111*AQ111*PI()/4*AR111^2)</f>
        <v>1075.21008569111</v>
      </c>
      <c r="AG111" s="32" t="s">
        <v>676</v>
      </c>
      <c r="AI111" s="33" t="n">
        <f aca="false">INDEX(Equipment!$D$2:$D$153,MATCH(E111,Equipment!$A$2:$A$153,0))</f>
        <v>16</v>
      </c>
      <c r="AJ111" s="33" t="n">
        <f aca="false">INDEX(Equipment!$E$2:$E$153,MATCH(E111,Equipment!$A$2:$A$153,0))</f>
        <v>99</v>
      </c>
      <c r="AK111" s="33" t="n">
        <f aca="false">INDEX(Equipment!$F$2:$F$153,MATCH(E111,Equipment!$A$2:$A$153,0))</f>
        <v>0.5</v>
      </c>
      <c r="AL111" s="33" t="n">
        <f aca="false">INDEX(Equipment!$D$2:$D$153,MATCH(G111,Equipment!$A$2:$A$153,0))</f>
        <v>-4</v>
      </c>
      <c r="AM111" s="33" t="n">
        <f aca="false">INDEX(Equipment!$E$2:$E$153,MATCH(G111,Equipment!$A$2:$A$153,0))</f>
        <v>96.65</v>
      </c>
      <c r="AN111" s="33" t="n">
        <f aca="false">INDEX(Equipment!$F$2:$F$153,MATCH(G111,Equipment!$A$2:$A$153,0))</f>
        <v>1</v>
      </c>
      <c r="AO111" s="33" t="n">
        <f aca="false">IF(INDEX(Raceways!$D$2:$D$18,MATCH(L111,Raceways!$A$2:$A$18,0))="",0,INDEX(Raceways!$D$2:$D$18,MATCH(L111,Raceways!$A$2:$A$18,0)))</f>
        <v>3</v>
      </c>
      <c r="AP111" s="34" t="n">
        <f aca="false">IF(INDEX(Raceways!$I$2:$I$18,MATCH(L111,Raceways!$A$2:$A$18,0))="","",INDEX(Raceways!$I$2:$I$18,MATCH(L111,Raceways!$A$2:$A$18,0)))</f>
        <v>0.88</v>
      </c>
      <c r="AQ111" s="27" t="n">
        <f aca="false">INDEX('Cable Types'!$D$2:$D$45,MATCH(I111,'Cable Types'!$A$2:$A$45,0))</f>
        <v>1</v>
      </c>
      <c r="AR111" s="27" t="n">
        <f aca="false">IF(INDEX('Cable Types'!$E$2:$E$45,MATCH(I111,'Cable Types'!$A$2:$A$45,0))="","",INDEX('Cable Types'!$E$2:$E$45,MATCH(I111,'Cable Types'!$A$2:$A$45,0)))</f>
        <v>37</v>
      </c>
      <c r="AS111" s="27" t="n">
        <f aca="false">IF(INDEX('Cable Types'!$F$2:$F$45,MATCH(I111,'Cable Types'!$A$2:$A$45,0))="","",INDEX('Cable Types'!$F$2:$F$45,MATCH(I111,'Cable Types'!$A$2:$A$45,0)))</f>
        <v>150</v>
      </c>
      <c r="AT111" s="35" t="n">
        <f aca="false">IF(INDEX('Cable Types'!$G$2:$G$45,MATCH(I111,'Cable Types'!$A$2:$A$45,0))="","",INDEX('Cable Types'!$G$2:$G$45,MATCH(I111,'Cable Types'!$A$2:$A$45,0)))</f>
        <v>0.682</v>
      </c>
    </row>
    <row r="112" customFormat="false" ht="15" hidden="false" customHeight="false" outlineLevel="0" collapsed="false">
      <c r="A112" s="26" t="s">
        <v>927</v>
      </c>
      <c r="B112" s="26" t="s">
        <v>133</v>
      </c>
      <c r="C112" s="26" t="s">
        <v>74</v>
      </c>
      <c r="D112" s="26" t="s">
        <v>928</v>
      </c>
      <c r="E112" s="26" t="s">
        <v>400</v>
      </c>
      <c r="F112" s="27" t="str">
        <f aca="false">INDEX(Equipment!$B$2:$B$153,MATCH(E112,Equipment!$A$2:$A$153,0))</f>
        <v>RICE auxiliary MCC 480 V</v>
      </c>
      <c r="G112" s="26" t="s">
        <v>445</v>
      </c>
      <c r="H112" s="27" t="str">
        <f aca="false">INDEX(Equipment!$B$2:$B$153,MATCH(G112,Equipment!$A$2:$A$153,0))</f>
        <v>Genset 8 auxiliary panel (radiator fans, pre-lube, jacket heater)</v>
      </c>
      <c r="I112" s="26" t="s">
        <v>577</v>
      </c>
      <c r="J112" s="27" t="str">
        <f aca="false">INDEX('Cable Types'!$B$2:$B$45,MATCH(I112,'Cable Types'!$A$2:$A$45,0))</f>
        <v>600 V 3/C 1/0 AWG + G Cu XHHW-2, Type MC-HL, CCW Al armor (Armor-X type), PVC jkt</v>
      </c>
      <c r="K112" s="26" t="n">
        <v>1</v>
      </c>
      <c r="L112" s="26" t="s">
        <v>783</v>
      </c>
      <c r="M112" s="26" t="s">
        <v>703</v>
      </c>
      <c r="N112" s="26"/>
      <c r="O112" s="28" t="n">
        <f aca="false">IF(N112&lt;&gt;"",N112,IF(M112="D",ROUNDUP(SQRT((AL112-AI112)^2+(AM112-AJ112)^2+(AN112-AK112)^2)*(1+'Design Basis'!$C$6),0),ROUNDUP((ABS(AL112-AI112)+ABS(AM112-AJ112)+ABS(AO112-AK112)+ABS(AO112-AN112))*(1+'Design Basis'!$C$4)+2*'Design Basis'!$C$5,0)))</f>
        <v>35</v>
      </c>
      <c r="P112" s="28" t="n">
        <f aca="false">ROUND(O112*'Design Basis'!$C$10,0)</f>
        <v>115</v>
      </c>
      <c r="Q112" s="28" t="n">
        <f aca="false">O112*K112*AQ112</f>
        <v>35</v>
      </c>
      <c r="R112" s="28" t="n">
        <f aca="false">ROUND(Q112*'Design Basis'!$C$10,0)</f>
        <v>115</v>
      </c>
      <c r="S112" s="29" t="n">
        <v>480</v>
      </c>
      <c r="T112" s="26" t="n">
        <v>3</v>
      </c>
      <c r="U112" s="29" t="n">
        <v>75</v>
      </c>
      <c r="V112" s="30" t="n">
        <v>1</v>
      </c>
      <c r="W112" s="28" t="n">
        <f aca="false">IF(OR(U112="",S112=""),"",IF(T112=3,U112*1000/(SQRT(3)*S112*V112),U112*1000/(S112*V112)))</f>
        <v>90.210979560879</v>
      </c>
      <c r="X112" s="30" t="n">
        <v>1.25</v>
      </c>
      <c r="Y112" s="28" t="n">
        <f aca="false">IF(W112="","",W112*IF(X112="",1,X112))</f>
        <v>112.763724451099</v>
      </c>
      <c r="Z112" s="28" t="n">
        <f aca="false">IF(OR(AS112="",AP112=""),"",AS112*AP112)</f>
        <v>132</v>
      </c>
      <c r="AA112" s="28" t="n">
        <f aca="false">IF(Z112="","",Z112*K112)</f>
        <v>132</v>
      </c>
      <c r="AB112" s="31" t="n">
        <f aca="false">IF(OR(Y112="",AA112=""),"",Y112/AA112)</f>
        <v>0.854270639781051</v>
      </c>
      <c r="AC112" s="31" t="n">
        <f aca="false">IF(OR(W112="",AT112=""),"",AT112*(W112/K112)*O112/1000/S112)</f>
        <v>0.00448611683774621</v>
      </c>
      <c r="AD112" s="31" t="n">
        <f aca="false">IF(W112="","",IFERROR(IF(INDEX('Design Basis'!$C$13:$C$21,MATCH(C112,'Design Basis'!$A$13:$A$21,0))="","",INDEX('Design Basis'!$C$13:$C$21,MATCH(C112,'Design Basis'!$A$13:$A$21,0))),""))</f>
        <v>0.03</v>
      </c>
      <c r="AE112" s="32" t="str">
        <f aca="false">IF(W112="","n/a",IF(AA112="","CHECK",IF(AND(AB112&lt;=1,OR(AC112="",AD112="",AC112&lt;=AD112)),"OK","CHECK")))</f>
        <v>OK</v>
      </c>
      <c r="AF112" s="28" t="n">
        <f aca="false">IF(AR112="","",K112*AQ112*PI()/4*AR112^2)</f>
        <v>1075.21008569111</v>
      </c>
      <c r="AG112" s="32" t="s">
        <v>676</v>
      </c>
      <c r="AI112" s="33" t="n">
        <f aca="false">INDEX(Equipment!$D$2:$D$153,MATCH(E112,Equipment!$A$2:$A$153,0))</f>
        <v>16</v>
      </c>
      <c r="AJ112" s="33" t="n">
        <f aca="false">INDEX(Equipment!$E$2:$E$153,MATCH(E112,Equipment!$A$2:$A$153,0))</f>
        <v>99</v>
      </c>
      <c r="AK112" s="33" t="n">
        <f aca="false">INDEX(Equipment!$F$2:$F$153,MATCH(E112,Equipment!$A$2:$A$153,0))</f>
        <v>0.5</v>
      </c>
      <c r="AL112" s="33" t="n">
        <f aca="false">INDEX(Equipment!$D$2:$D$153,MATCH(G112,Equipment!$A$2:$A$153,0))</f>
        <v>-4</v>
      </c>
      <c r="AM112" s="33" t="n">
        <f aca="false">INDEX(Equipment!$E$2:$E$153,MATCH(G112,Equipment!$A$2:$A$153,0))</f>
        <v>100.85</v>
      </c>
      <c r="AN112" s="33" t="n">
        <f aca="false">INDEX(Equipment!$F$2:$F$153,MATCH(G112,Equipment!$A$2:$A$153,0))</f>
        <v>1</v>
      </c>
      <c r="AO112" s="33" t="n">
        <f aca="false">IF(INDEX(Raceways!$D$2:$D$18,MATCH(L112,Raceways!$A$2:$A$18,0))="",0,INDEX(Raceways!$D$2:$D$18,MATCH(L112,Raceways!$A$2:$A$18,0)))</f>
        <v>3</v>
      </c>
      <c r="AP112" s="34" t="n">
        <f aca="false">IF(INDEX(Raceways!$I$2:$I$18,MATCH(L112,Raceways!$A$2:$A$18,0))="","",INDEX(Raceways!$I$2:$I$18,MATCH(L112,Raceways!$A$2:$A$18,0)))</f>
        <v>0.88</v>
      </c>
      <c r="AQ112" s="27" t="n">
        <f aca="false">INDEX('Cable Types'!$D$2:$D$45,MATCH(I112,'Cable Types'!$A$2:$A$45,0))</f>
        <v>1</v>
      </c>
      <c r="AR112" s="27" t="n">
        <f aca="false">IF(INDEX('Cable Types'!$E$2:$E$45,MATCH(I112,'Cable Types'!$A$2:$A$45,0))="","",INDEX('Cable Types'!$E$2:$E$45,MATCH(I112,'Cable Types'!$A$2:$A$45,0)))</f>
        <v>37</v>
      </c>
      <c r="AS112" s="27" t="n">
        <f aca="false">IF(INDEX('Cable Types'!$F$2:$F$45,MATCH(I112,'Cable Types'!$A$2:$A$45,0))="","",INDEX('Cable Types'!$F$2:$F$45,MATCH(I112,'Cable Types'!$A$2:$A$45,0)))</f>
        <v>150</v>
      </c>
      <c r="AT112" s="35" t="n">
        <f aca="false">IF(INDEX('Cable Types'!$G$2:$G$45,MATCH(I112,'Cable Types'!$A$2:$A$45,0))="","",INDEX('Cable Types'!$G$2:$G$45,MATCH(I112,'Cable Types'!$A$2:$A$45,0)))</f>
        <v>0.682</v>
      </c>
    </row>
    <row r="113" customFormat="false" ht="15" hidden="false" customHeight="false" outlineLevel="0" collapsed="false">
      <c r="A113" s="26" t="s">
        <v>929</v>
      </c>
      <c r="B113" s="26" t="s">
        <v>449</v>
      </c>
      <c r="C113" s="26" t="s">
        <v>74</v>
      </c>
      <c r="D113" s="26" t="s">
        <v>930</v>
      </c>
      <c r="E113" s="26" t="s">
        <v>473</v>
      </c>
      <c r="F113" s="27" t="str">
        <f aca="false">INDEX(Equipment!$B$2:$B$153,MATCH(E113,Equipment!$A$2:$A$153,0))</f>
        <v>Gas station MCC 480 V (shelter)</v>
      </c>
      <c r="G113" s="26" t="s">
        <v>495</v>
      </c>
      <c r="H113" s="27" t="str">
        <f aca="false">INDEX(Equipment!$B$2:$B$153,MATCH(G113,Equipment!$A$2:$A$153,0))</f>
        <v>Fuel gas electric heater 400 kW</v>
      </c>
      <c r="I113" s="26" t="s">
        <v>583</v>
      </c>
      <c r="J113" s="27" t="str">
        <f aca="false">INDEX('Cable Types'!$B$2:$B$45,MATCH(I113,'Cable Types'!$A$2:$A$45,0))</f>
        <v>600 V 3/C 500 kcmil + G Cu XHHW-2, Type MC-HL, CCW Al armor (Armor-X type), PVC jkt</v>
      </c>
      <c r="K113" s="26" t="n">
        <v>2</v>
      </c>
      <c r="L113" s="26" t="s">
        <v>931</v>
      </c>
      <c r="M113" s="26" t="s">
        <v>703</v>
      </c>
      <c r="N113" s="26"/>
      <c r="O113" s="28" t="n">
        <f aca="false">IF(N113&lt;&gt;"",N113,IF(M113="D",ROUNDUP(SQRT((AL113-AI113)^2+(AM113-AJ113)^2+(AN113-AK113)^2)*(1+'Design Basis'!$C$6),0),ROUNDUP((ABS(AL113-AI113)+ABS(AM113-AJ113)+ABS(AO113-AK113)+ABS(AO113-AN113))*(1+'Design Basis'!$C$4)+2*'Design Basis'!$C$5,0)))</f>
        <v>41</v>
      </c>
      <c r="P113" s="28" t="n">
        <f aca="false">ROUND(O113*'Design Basis'!$C$10,0)</f>
        <v>135</v>
      </c>
      <c r="Q113" s="28" t="n">
        <f aca="false">O113*K113*AQ113</f>
        <v>82</v>
      </c>
      <c r="R113" s="28" t="n">
        <f aca="false">ROUND(Q113*'Design Basis'!$C$10,0)</f>
        <v>269</v>
      </c>
      <c r="S113" s="29" t="n">
        <v>480</v>
      </c>
      <c r="T113" s="26" t="n">
        <v>3</v>
      </c>
      <c r="U113" s="29" t="n">
        <v>400</v>
      </c>
      <c r="V113" s="30" t="n">
        <v>0.98</v>
      </c>
      <c r="W113" s="28" t="n">
        <f aca="false">IF(OR(U113="",S113=""),"",IF(T113=3,U113*1000/(SQRT(3)*S113*V113),U113*1000/(S113*V113)))</f>
        <v>490.944106453764</v>
      </c>
      <c r="X113" s="30" t="n">
        <v>1.25</v>
      </c>
      <c r="Y113" s="28" t="n">
        <f aca="false">IF(W113="","",W113*IF(X113="",1,X113))</f>
        <v>613.680133067204</v>
      </c>
      <c r="Z113" s="28" t="n">
        <f aca="false">IF(OR(AS113="",AP113=""),"",AS113*AP113)</f>
        <v>334.4</v>
      </c>
      <c r="AA113" s="28" t="n">
        <f aca="false">IF(Z113="","",Z113*K113)</f>
        <v>668.8</v>
      </c>
      <c r="AB113" s="31" t="n">
        <f aca="false">IF(OR(Y113="",AA113=""),"",Y113/AA113)</f>
        <v>0.917583931021538</v>
      </c>
      <c r="AC113" s="31" t="n">
        <f aca="false">IF(OR(W113="",AT113=""),"",AT113*(W113/K113)*O113/1000/S113)</f>
        <v>0.00465476380931475</v>
      </c>
      <c r="AD113" s="31" t="n">
        <f aca="false">IF(W113="","",IFERROR(IF(INDEX('Design Basis'!$C$13:$C$21,MATCH(C113,'Design Basis'!$A$13:$A$21,0))="","",INDEX('Design Basis'!$C$13:$C$21,MATCH(C113,'Design Basis'!$A$13:$A$21,0))),""))</f>
        <v>0.03</v>
      </c>
      <c r="AE113" s="32" t="str">
        <f aca="false">IF(W113="","n/a",IF(AA113="","CHECK",IF(AND(AB113&lt;=1,OR(AC113="",AD113="",AC113&lt;=AD113)),"OK","CHECK")))</f>
        <v>OK</v>
      </c>
      <c r="AF113" s="28" t="n">
        <f aca="false">IF(AR113="","",K113*AQ113*PI()/4*AR113^2)</f>
        <v>6842.38879951857</v>
      </c>
      <c r="AG113" s="32" t="s">
        <v>753</v>
      </c>
      <c r="AI113" s="33" t="n">
        <f aca="false">INDEX(Equipment!$D$2:$D$153,MATCH(E113,Equipment!$A$2:$A$153,0))</f>
        <v>-20</v>
      </c>
      <c r="AJ113" s="33" t="n">
        <f aca="false">INDEX(Equipment!$E$2:$E$153,MATCH(E113,Equipment!$A$2:$A$153,0))</f>
        <v>12</v>
      </c>
      <c r="AK113" s="33" t="n">
        <f aca="false">INDEX(Equipment!$F$2:$F$153,MATCH(E113,Equipment!$A$2:$A$153,0))</f>
        <v>0.5</v>
      </c>
      <c r="AL113" s="33" t="n">
        <f aca="false">INDEX(Equipment!$D$2:$D$153,MATCH(G113,Equipment!$A$2:$A$153,0))</f>
        <v>2</v>
      </c>
      <c r="AM113" s="33" t="n">
        <f aca="false">INDEX(Equipment!$E$2:$E$153,MATCH(G113,Equipment!$A$2:$A$153,0))</f>
        <v>7</v>
      </c>
      <c r="AN113" s="33" t="n">
        <f aca="false">INDEX(Equipment!$F$2:$F$153,MATCH(G113,Equipment!$A$2:$A$153,0))</f>
        <v>1.5</v>
      </c>
      <c r="AO113" s="33" t="n">
        <f aca="false">IF(INDEX(Raceways!$D$2:$D$18,MATCH(L113,Raceways!$A$2:$A$18,0))="",0,INDEX(Raceways!$D$2:$D$18,MATCH(L113,Raceways!$A$2:$A$18,0)))</f>
        <v>3</v>
      </c>
      <c r="AP113" s="34" t="n">
        <f aca="false">IF(INDEX(Raceways!$I$2:$I$18,MATCH(L113,Raceways!$A$2:$A$18,0))="","",INDEX(Raceways!$I$2:$I$18,MATCH(L113,Raceways!$A$2:$A$18,0)))</f>
        <v>0.88</v>
      </c>
      <c r="AQ113" s="27" t="n">
        <f aca="false">INDEX('Cable Types'!$D$2:$D$45,MATCH(I113,'Cable Types'!$A$2:$A$45,0))</f>
        <v>1</v>
      </c>
      <c r="AR113" s="27" t="n">
        <f aca="false">IF(INDEX('Cable Types'!$E$2:$E$45,MATCH(I113,'Cable Types'!$A$2:$A$45,0))="","",INDEX('Cable Types'!$E$2:$E$45,MATCH(I113,'Cable Types'!$A$2:$A$45,0)))</f>
        <v>66</v>
      </c>
      <c r="AS113" s="27" t="n">
        <f aca="false">IF(INDEX('Cable Types'!$F$2:$F$45,MATCH(I113,'Cable Types'!$A$2:$A$45,0))="","",INDEX('Cable Types'!$F$2:$F$45,MATCH(I113,'Cable Types'!$A$2:$A$45,0)))</f>
        <v>380</v>
      </c>
      <c r="AT113" s="35" t="n">
        <f aca="false">IF(INDEX('Cable Types'!$G$2:$G$45,MATCH(I113,'Cable Types'!$A$2:$A$45,0))="","",INDEX('Cable Types'!$G$2:$G$45,MATCH(I113,'Cable Types'!$A$2:$A$45,0)))</f>
        <v>0.222</v>
      </c>
    </row>
    <row r="114" customFormat="false" ht="15" hidden="false" customHeight="false" outlineLevel="0" collapsed="false">
      <c r="A114" s="26" t="s">
        <v>932</v>
      </c>
      <c r="B114" s="26" t="s">
        <v>449</v>
      </c>
      <c r="C114" s="26" t="s">
        <v>74</v>
      </c>
      <c r="D114" s="26" t="s">
        <v>933</v>
      </c>
      <c r="E114" s="26" t="s">
        <v>473</v>
      </c>
      <c r="F114" s="27" t="str">
        <f aca="false">INDEX(Equipment!$B$2:$B$153,MATCH(E114,Equipment!$A$2:$A$153,0))</f>
        <v>Gas station MCC 480 V (shelter)</v>
      </c>
      <c r="G114" s="26" t="s">
        <v>451</v>
      </c>
      <c r="H114" s="27" t="str">
        <f aca="false">INDEX(Equipment!$B$2:$B$153,MATCH(G114,Equipment!$A$2:$A$153,0))</f>
        <v>LNG in-tank send-out pump 1, 250 kW 480 V (top penetration)</v>
      </c>
      <c r="I114" s="26" t="s">
        <v>583</v>
      </c>
      <c r="J114" s="27" t="str">
        <f aca="false">INDEX('Cable Types'!$B$2:$B$45,MATCH(I114,'Cable Types'!$A$2:$A$45,0))</f>
        <v>600 V 3/C 500 kcmil + G Cu XHHW-2, Type MC-HL, CCW Al armor (Armor-X type), PVC jkt</v>
      </c>
      <c r="K114" s="26" t="n">
        <v>2</v>
      </c>
      <c r="L114" s="26" t="s">
        <v>931</v>
      </c>
      <c r="M114" s="26" t="s">
        <v>703</v>
      </c>
      <c r="N114" s="26"/>
      <c r="O114" s="28" t="n">
        <f aca="false">IF(N114&lt;&gt;"",N114,IF(M114="D",ROUNDUP(SQRT((AL114-AI114)^2+(AM114-AJ114)^2+(AN114-AK114)^2)*(1+'Design Basis'!$C$6),0),ROUNDUP((ABS(AL114-AI114)+ABS(AM114-AJ114)+ABS(AO114-AK114)+ABS(AO114-AN114))*(1+'Design Basis'!$C$4)+2*'Design Basis'!$C$5,0)))</f>
        <v>79</v>
      </c>
      <c r="P114" s="28" t="n">
        <f aca="false">ROUND(O114*'Design Basis'!$C$10,0)</f>
        <v>259</v>
      </c>
      <c r="Q114" s="28" t="n">
        <f aca="false">O114*K114*AQ114</f>
        <v>158</v>
      </c>
      <c r="R114" s="28" t="n">
        <f aca="false">ROUND(Q114*'Design Basis'!$C$10,0)</f>
        <v>518</v>
      </c>
      <c r="S114" s="29" t="n">
        <v>480</v>
      </c>
      <c r="T114" s="26" t="n">
        <v>3</v>
      </c>
      <c r="U114" s="29" t="n">
        <v>250</v>
      </c>
      <c r="V114" s="30" t="n">
        <v>0.84</v>
      </c>
      <c r="W114" s="28" t="n">
        <f aca="false">IF(OR(U114="",S114=""),"",IF(T114=3,U114*1000/(SQRT(3)*S114*V114),U114*1000/(S114*V114)))</f>
        <v>357.980077622536</v>
      </c>
      <c r="X114" s="30" t="n">
        <v>1.25</v>
      </c>
      <c r="Y114" s="28" t="n">
        <f aca="false">IF(W114="","",W114*IF(X114="",1,X114))</f>
        <v>447.47509702817</v>
      </c>
      <c r="Z114" s="28" t="n">
        <f aca="false">IF(OR(AS114="",AP114=""),"",AS114*AP114)</f>
        <v>334.4</v>
      </c>
      <c r="AA114" s="28" t="n">
        <f aca="false">IF(Z114="","",Z114*K114)</f>
        <v>668.8</v>
      </c>
      <c r="AB114" s="31" t="n">
        <f aca="false">IF(OR(Y114="",AA114=""),"",Y114/AA114)</f>
        <v>0.669071616369871</v>
      </c>
      <c r="AC114" s="31" t="n">
        <f aca="false">IF(OR(W114="",AT114=""),"",AT114*(W114/K114)*O114/1000/S114)</f>
        <v>0.0065398485430667</v>
      </c>
      <c r="AD114" s="31" t="n">
        <f aca="false">IF(W114="","",IFERROR(IF(INDEX('Design Basis'!$C$13:$C$21,MATCH(C114,'Design Basis'!$A$13:$A$21,0))="","",INDEX('Design Basis'!$C$13:$C$21,MATCH(C114,'Design Basis'!$A$13:$A$21,0))),""))</f>
        <v>0.03</v>
      </c>
      <c r="AE114" s="32" t="str">
        <f aca="false">IF(W114="","n/a",IF(AA114="","CHECK",IF(AND(AB114&lt;=1,OR(AC114="",AD114="",AC114&lt;=AD114)),"OK","CHECK")))</f>
        <v>OK</v>
      </c>
      <c r="AF114" s="28" t="n">
        <f aca="false">IF(AR114="","",K114*AQ114*PI()/4*AR114^2)</f>
        <v>6842.38879951857</v>
      </c>
      <c r="AG114" s="32" t="s">
        <v>934</v>
      </c>
      <c r="AI114" s="33" t="n">
        <f aca="false">INDEX(Equipment!$D$2:$D$153,MATCH(E114,Equipment!$A$2:$A$153,0))</f>
        <v>-20</v>
      </c>
      <c r="AJ114" s="33" t="n">
        <f aca="false">INDEX(Equipment!$E$2:$E$153,MATCH(E114,Equipment!$A$2:$A$153,0))</f>
        <v>12</v>
      </c>
      <c r="AK114" s="33" t="n">
        <f aca="false">INDEX(Equipment!$F$2:$F$153,MATCH(E114,Equipment!$A$2:$A$153,0))</f>
        <v>0.5</v>
      </c>
      <c r="AL114" s="33" t="n">
        <f aca="false">INDEX(Equipment!$D$2:$D$153,MATCH(G114,Equipment!$A$2:$A$153,0))</f>
        <v>-60</v>
      </c>
      <c r="AM114" s="33" t="n">
        <f aca="false">INDEX(Equipment!$E$2:$E$153,MATCH(G114,Equipment!$A$2:$A$153,0))</f>
        <v>10</v>
      </c>
      <c r="AN114" s="33" t="n">
        <f aca="false">INDEX(Equipment!$F$2:$F$153,MATCH(G114,Equipment!$A$2:$A$153,0))</f>
        <v>24</v>
      </c>
      <c r="AO114" s="33" t="n">
        <f aca="false">IF(INDEX(Raceways!$D$2:$D$18,MATCH(L114,Raceways!$A$2:$A$18,0))="",0,INDEX(Raceways!$D$2:$D$18,MATCH(L114,Raceways!$A$2:$A$18,0)))</f>
        <v>3</v>
      </c>
      <c r="AP114" s="34" t="n">
        <f aca="false">IF(INDEX(Raceways!$I$2:$I$18,MATCH(L114,Raceways!$A$2:$A$18,0))="","",INDEX(Raceways!$I$2:$I$18,MATCH(L114,Raceways!$A$2:$A$18,0)))</f>
        <v>0.88</v>
      </c>
      <c r="AQ114" s="27" t="n">
        <f aca="false">INDEX('Cable Types'!$D$2:$D$45,MATCH(I114,'Cable Types'!$A$2:$A$45,0))</f>
        <v>1</v>
      </c>
      <c r="AR114" s="27" t="n">
        <f aca="false">IF(INDEX('Cable Types'!$E$2:$E$45,MATCH(I114,'Cable Types'!$A$2:$A$45,0))="","",INDEX('Cable Types'!$E$2:$E$45,MATCH(I114,'Cable Types'!$A$2:$A$45,0)))</f>
        <v>66</v>
      </c>
      <c r="AS114" s="27" t="n">
        <f aca="false">IF(INDEX('Cable Types'!$F$2:$F$45,MATCH(I114,'Cable Types'!$A$2:$A$45,0))="","",INDEX('Cable Types'!$F$2:$F$45,MATCH(I114,'Cable Types'!$A$2:$A$45,0)))</f>
        <v>380</v>
      </c>
      <c r="AT114" s="35" t="n">
        <f aca="false">IF(INDEX('Cable Types'!$G$2:$G$45,MATCH(I114,'Cable Types'!$A$2:$A$45,0))="","",INDEX('Cable Types'!$G$2:$G$45,MATCH(I114,'Cable Types'!$A$2:$A$45,0)))</f>
        <v>0.222</v>
      </c>
    </row>
    <row r="115" customFormat="false" ht="15" hidden="false" customHeight="false" outlineLevel="0" collapsed="false">
      <c r="A115" s="26" t="s">
        <v>935</v>
      </c>
      <c r="B115" s="26" t="s">
        <v>449</v>
      </c>
      <c r="C115" s="26" t="s">
        <v>74</v>
      </c>
      <c r="D115" s="26" t="s">
        <v>936</v>
      </c>
      <c r="E115" s="26" t="s">
        <v>473</v>
      </c>
      <c r="F115" s="27" t="str">
        <f aca="false">INDEX(Equipment!$B$2:$B$153,MATCH(E115,Equipment!$A$2:$A$153,0))</f>
        <v>Gas station MCC 480 V (shelter)</v>
      </c>
      <c r="G115" s="26" t="s">
        <v>454</v>
      </c>
      <c r="H115" s="27" t="str">
        <f aca="false">INDEX(Equipment!$B$2:$B$153,MATCH(G115,Equipment!$A$2:$A$153,0))</f>
        <v>LNG in-tank send-out pump 2, 250 kW 480 V (top penetration)</v>
      </c>
      <c r="I115" s="26" t="s">
        <v>583</v>
      </c>
      <c r="J115" s="27" t="str">
        <f aca="false">INDEX('Cable Types'!$B$2:$B$45,MATCH(I115,'Cable Types'!$A$2:$A$45,0))</f>
        <v>600 V 3/C 500 kcmil + G Cu XHHW-2, Type MC-HL, CCW Al armor (Armor-X type), PVC jkt</v>
      </c>
      <c r="K115" s="26" t="n">
        <v>2</v>
      </c>
      <c r="L115" s="26" t="s">
        <v>931</v>
      </c>
      <c r="M115" s="26" t="s">
        <v>703</v>
      </c>
      <c r="N115" s="26"/>
      <c r="O115" s="28" t="n">
        <f aca="false">IF(N115&lt;&gt;"",N115,IF(M115="D",ROUNDUP(SQRT((AL115-AI115)^2+(AM115-AJ115)^2+(AN115-AK115)^2)*(1+'Design Basis'!$C$6),0),ROUNDUP((ABS(AL115-AI115)+ABS(AM115-AJ115)+ABS(AO115-AK115)+ABS(AO115-AN115))*(1+'Design Basis'!$C$4)+2*'Design Basis'!$C$5,0)))</f>
        <v>74</v>
      </c>
      <c r="P115" s="28" t="n">
        <f aca="false">ROUND(O115*'Design Basis'!$C$10,0)</f>
        <v>243</v>
      </c>
      <c r="Q115" s="28" t="n">
        <f aca="false">O115*K115*AQ115</f>
        <v>148</v>
      </c>
      <c r="R115" s="28" t="n">
        <f aca="false">ROUND(Q115*'Design Basis'!$C$10,0)</f>
        <v>486</v>
      </c>
      <c r="S115" s="29" t="n">
        <v>480</v>
      </c>
      <c r="T115" s="26" t="n">
        <v>3</v>
      </c>
      <c r="U115" s="29" t="n">
        <v>250</v>
      </c>
      <c r="V115" s="30" t="n">
        <v>0.84</v>
      </c>
      <c r="W115" s="28" t="n">
        <f aca="false">IF(OR(U115="",S115=""),"",IF(T115=3,U115*1000/(SQRT(3)*S115*V115),U115*1000/(S115*V115)))</f>
        <v>357.980077622536</v>
      </c>
      <c r="X115" s="30" t="n">
        <v>1.25</v>
      </c>
      <c r="Y115" s="28" t="n">
        <f aca="false">IF(W115="","",W115*IF(X115="",1,X115))</f>
        <v>447.47509702817</v>
      </c>
      <c r="Z115" s="28" t="n">
        <f aca="false">IF(OR(AS115="",AP115=""),"",AS115*AP115)</f>
        <v>334.4</v>
      </c>
      <c r="AA115" s="28" t="n">
        <f aca="false">IF(Z115="","",Z115*K115)</f>
        <v>668.8</v>
      </c>
      <c r="AB115" s="31" t="n">
        <f aca="false">IF(OR(Y115="",AA115=""),"",Y115/AA115)</f>
        <v>0.669071616369871</v>
      </c>
      <c r="AC115" s="31" t="n">
        <f aca="false">IF(OR(W115="",AT115=""),"",AT115*(W115/K115)*O115/1000/S115)</f>
        <v>0.00612593407831564</v>
      </c>
      <c r="AD115" s="31" t="n">
        <f aca="false">IF(W115="","",IFERROR(IF(INDEX('Design Basis'!$C$13:$C$21,MATCH(C115,'Design Basis'!$A$13:$A$21,0))="","",INDEX('Design Basis'!$C$13:$C$21,MATCH(C115,'Design Basis'!$A$13:$A$21,0))),""))</f>
        <v>0.03</v>
      </c>
      <c r="AE115" s="32" t="str">
        <f aca="false">IF(W115="","n/a",IF(AA115="","CHECK",IF(AND(AB115&lt;=1,OR(AC115="",AD115="",AC115&lt;=AD115)),"OK","CHECK")))</f>
        <v>OK</v>
      </c>
      <c r="AF115" s="28" t="n">
        <f aca="false">IF(AR115="","",K115*AQ115*PI()/4*AR115^2)</f>
        <v>6842.38879951857</v>
      </c>
      <c r="AG115" s="32" t="s">
        <v>934</v>
      </c>
      <c r="AI115" s="33" t="n">
        <f aca="false">INDEX(Equipment!$D$2:$D$153,MATCH(E115,Equipment!$A$2:$A$153,0))</f>
        <v>-20</v>
      </c>
      <c r="AJ115" s="33" t="n">
        <f aca="false">INDEX(Equipment!$E$2:$E$153,MATCH(E115,Equipment!$A$2:$A$153,0))</f>
        <v>12</v>
      </c>
      <c r="AK115" s="33" t="n">
        <f aca="false">INDEX(Equipment!$F$2:$F$153,MATCH(E115,Equipment!$A$2:$A$153,0))</f>
        <v>0.5</v>
      </c>
      <c r="AL115" s="33" t="n">
        <f aca="false">INDEX(Equipment!$D$2:$D$153,MATCH(G115,Equipment!$A$2:$A$153,0))</f>
        <v>-58</v>
      </c>
      <c r="AM115" s="33" t="n">
        <f aca="false">INDEX(Equipment!$E$2:$E$153,MATCH(G115,Equipment!$A$2:$A$153,0))</f>
        <v>12</v>
      </c>
      <c r="AN115" s="33" t="n">
        <f aca="false">INDEX(Equipment!$F$2:$F$153,MATCH(G115,Equipment!$A$2:$A$153,0))</f>
        <v>24</v>
      </c>
      <c r="AO115" s="33" t="n">
        <f aca="false">IF(INDEX(Raceways!$D$2:$D$18,MATCH(L115,Raceways!$A$2:$A$18,0))="",0,INDEX(Raceways!$D$2:$D$18,MATCH(L115,Raceways!$A$2:$A$18,0)))</f>
        <v>3</v>
      </c>
      <c r="AP115" s="34" t="n">
        <f aca="false">IF(INDEX(Raceways!$I$2:$I$18,MATCH(L115,Raceways!$A$2:$A$18,0))="","",INDEX(Raceways!$I$2:$I$18,MATCH(L115,Raceways!$A$2:$A$18,0)))</f>
        <v>0.88</v>
      </c>
      <c r="AQ115" s="27" t="n">
        <f aca="false">INDEX('Cable Types'!$D$2:$D$45,MATCH(I115,'Cable Types'!$A$2:$A$45,0))</f>
        <v>1</v>
      </c>
      <c r="AR115" s="27" t="n">
        <f aca="false">IF(INDEX('Cable Types'!$E$2:$E$45,MATCH(I115,'Cable Types'!$A$2:$A$45,0))="","",INDEX('Cable Types'!$E$2:$E$45,MATCH(I115,'Cable Types'!$A$2:$A$45,0)))</f>
        <v>66</v>
      </c>
      <c r="AS115" s="27" t="n">
        <f aca="false">IF(INDEX('Cable Types'!$F$2:$F$45,MATCH(I115,'Cable Types'!$A$2:$A$45,0))="","",INDEX('Cable Types'!$F$2:$F$45,MATCH(I115,'Cable Types'!$A$2:$A$45,0)))</f>
        <v>380</v>
      </c>
      <c r="AT115" s="35" t="n">
        <f aca="false">IF(INDEX('Cable Types'!$G$2:$G$45,MATCH(I115,'Cable Types'!$A$2:$A$45,0))="","",INDEX('Cable Types'!$G$2:$G$45,MATCH(I115,'Cable Types'!$A$2:$A$45,0)))</f>
        <v>0.222</v>
      </c>
    </row>
    <row r="116" customFormat="false" ht="15" hidden="false" customHeight="false" outlineLevel="0" collapsed="false">
      <c r="A116" s="26" t="s">
        <v>937</v>
      </c>
      <c r="B116" s="26" t="s">
        <v>449</v>
      </c>
      <c r="C116" s="26" t="s">
        <v>74</v>
      </c>
      <c r="D116" s="26" t="s">
        <v>938</v>
      </c>
      <c r="E116" s="26" t="s">
        <v>473</v>
      </c>
      <c r="F116" s="27" t="str">
        <f aca="false">INDEX(Equipment!$B$2:$B$153,MATCH(E116,Equipment!$A$2:$A$153,0))</f>
        <v>Gas station MCC 480 V (shelter)</v>
      </c>
      <c r="G116" s="26" t="s">
        <v>465</v>
      </c>
      <c r="H116" s="27" t="str">
        <f aca="false">INDEX(Equipment!$B$2:$B$153,MATCH(G116,Equipment!$A$2:$A$153,0))</f>
        <v>Heat tracing / lighting panel - LNG area</v>
      </c>
      <c r="I116" s="26" t="s">
        <v>575</v>
      </c>
      <c r="J116" s="27" t="str">
        <f aca="false">INDEX('Cable Types'!$B$2:$B$45,MATCH(I116,'Cable Types'!$A$2:$A$45,0))</f>
        <v>600 V 3/C #2 AWG + G Cu XHHW-2, Type MC-HL, CCW Al armor (Armor-X type), PVC jkt</v>
      </c>
      <c r="K116" s="26" t="n">
        <v>1</v>
      </c>
      <c r="L116" s="26" t="s">
        <v>931</v>
      </c>
      <c r="M116" s="26" t="s">
        <v>703</v>
      </c>
      <c r="N116" s="26"/>
      <c r="O116" s="28" t="n">
        <f aca="false">IF(N116&lt;&gt;"",N116,IF(M116="D",ROUNDUP(SQRT((AL116-AI116)^2+(AM116-AJ116)^2+(AN116-AK116)^2)*(1+'Design Basis'!$C$6),0),ROUNDUP((ABS(AL116-AI116)+ABS(AM116-AJ116)+ABS(AO116-AK116)+ABS(AO116-AN116))*(1+'Design Basis'!$C$4)+2*'Design Basis'!$C$5,0)))</f>
        <v>45</v>
      </c>
      <c r="P116" s="28" t="n">
        <f aca="false">ROUND(O116*'Design Basis'!$C$10,0)</f>
        <v>148</v>
      </c>
      <c r="Q116" s="28" t="n">
        <f aca="false">O116*K116*AQ116</f>
        <v>45</v>
      </c>
      <c r="R116" s="28" t="n">
        <f aca="false">ROUND(Q116*'Design Basis'!$C$10,0)</f>
        <v>148</v>
      </c>
      <c r="S116" s="29" t="n">
        <v>480</v>
      </c>
      <c r="T116" s="26" t="n">
        <v>3</v>
      </c>
      <c r="U116" s="29" t="n">
        <v>60</v>
      </c>
      <c r="V116" s="30" t="n">
        <v>1</v>
      </c>
      <c r="W116" s="28" t="n">
        <f aca="false">IF(OR(U116="",S116=""),"",IF(T116=3,U116*1000/(SQRT(3)*S116*V116),U116*1000/(S116*V116)))</f>
        <v>72.1687836487032</v>
      </c>
      <c r="X116" s="30" t="n">
        <v>1.25</v>
      </c>
      <c r="Y116" s="28" t="n">
        <f aca="false">IF(W116="","",W116*IF(X116="",1,X116))</f>
        <v>90.210979560879</v>
      </c>
      <c r="Z116" s="28" t="n">
        <f aca="false">IF(OR(AS116="",AP116=""),"",AS116*AP116)</f>
        <v>101.2</v>
      </c>
      <c r="AA116" s="28" t="n">
        <f aca="false">IF(Z116="","",Z116*K116)</f>
        <v>101.2</v>
      </c>
      <c r="AB116" s="31" t="n">
        <f aca="false">IF(OR(Y116="",AA116=""),"",Y116/AA116)</f>
        <v>0.891412841510662</v>
      </c>
      <c r="AC116" s="31" t="n">
        <f aca="false">IF(OR(W116="",AT116=""),"",AT116*(W116/K116)*O116/1000/S116)</f>
        <v>0.0073070893444312</v>
      </c>
      <c r="AD116" s="31" t="n">
        <f aca="false">IF(W116="","",IFERROR(IF(INDEX('Design Basis'!$C$13:$C$21,MATCH(C116,'Design Basis'!$A$13:$A$21,0))="","",INDEX('Design Basis'!$C$13:$C$21,MATCH(C116,'Design Basis'!$A$13:$A$21,0))),""))</f>
        <v>0.03</v>
      </c>
      <c r="AE116" s="32" t="str">
        <f aca="false">IF(W116="","n/a",IF(AA116="","CHECK",IF(AND(AB116&lt;=1,OR(AC116="",AD116="",AC116&lt;=AD116)),"OK","CHECK")))</f>
        <v>OK</v>
      </c>
      <c r="AF116" s="28" t="n">
        <f aca="false">IF(AR116="","",K116*AQ116*PI()/4*AR116^2)</f>
        <v>754.767635024948</v>
      </c>
      <c r="AG116" s="32"/>
      <c r="AI116" s="33" t="n">
        <f aca="false">INDEX(Equipment!$D$2:$D$153,MATCH(E116,Equipment!$A$2:$A$153,0))</f>
        <v>-20</v>
      </c>
      <c r="AJ116" s="33" t="n">
        <f aca="false">INDEX(Equipment!$E$2:$E$153,MATCH(E116,Equipment!$A$2:$A$153,0))</f>
        <v>12</v>
      </c>
      <c r="AK116" s="33" t="n">
        <f aca="false">INDEX(Equipment!$F$2:$F$153,MATCH(E116,Equipment!$A$2:$A$153,0))</f>
        <v>0.5</v>
      </c>
      <c r="AL116" s="33" t="n">
        <f aca="false">INDEX(Equipment!$D$2:$D$153,MATCH(G116,Equipment!$A$2:$A$153,0))</f>
        <v>-42</v>
      </c>
      <c r="AM116" s="33" t="n">
        <f aca="false">INDEX(Equipment!$E$2:$E$153,MATCH(G116,Equipment!$A$2:$A$153,0))</f>
        <v>4</v>
      </c>
      <c r="AN116" s="33" t="n">
        <f aca="false">INDEX(Equipment!$F$2:$F$153,MATCH(G116,Equipment!$A$2:$A$153,0))</f>
        <v>0.5</v>
      </c>
      <c r="AO116" s="33" t="n">
        <f aca="false">IF(INDEX(Raceways!$D$2:$D$18,MATCH(L116,Raceways!$A$2:$A$18,0))="",0,INDEX(Raceways!$D$2:$D$18,MATCH(L116,Raceways!$A$2:$A$18,0)))</f>
        <v>3</v>
      </c>
      <c r="AP116" s="34" t="n">
        <f aca="false">IF(INDEX(Raceways!$I$2:$I$18,MATCH(L116,Raceways!$A$2:$A$18,0))="","",INDEX(Raceways!$I$2:$I$18,MATCH(L116,Raceways!$A$2:$A$18,0)))</f>
        <v>0.88</v>
      </c>
      <c r="AQ116" s="27" t="n">
        <f aca="false">INDEX('Cable Types'!$D$2:$D$45,MATCH(I116,'Cable Types'!$A$2:$A$45,0))</f>
        <v>1</v>
      </c>
      <c r="AR116" s="27" t="n">
        <f aca="false">IF(INDEX('Cable Types'!$E$2:$E$45,MATCH(I116,'Cable Types'!$A$2:$A$45,0))="","",INDEX('Cable Types'!$E$2:$E$45,MATCH(I116,'Cable Types'!$A$2:$A$45,0)))</f>
        <v>31</v>
      </c>
      <c r="AS116" s="27" t="n">
        <f aca="false">IF(INDEX('Cable Types'!$F$2:$F$45,MATCH(I116,'Cable Types'!$A$2:$A$45,0))="","",INDEX('Cable Types'!$F$2:$F$45,MATCH(I116,'Cable Types'!$A$2:$A$45,0)))</f>
        <v>115</v>
      </c>
      <c r="AT116" s="35" t="n">
        <f aca="false">IF(INDEX('Cable Types'!$G$2:$G$45,MATCH(I116,'Cable Types'!$A$2:$A$45,0))="","",INDEX('Cable Types'!$G$2:$G$45,MATCH(I116,'Cable Types'!$A$2:$A$45,0)))</f>
        <v>1.08</v>
      </c>
    </row>
    <row r="117" customFormat="false" ht="15" hidden="false" customHeight="false" outlineLevel="0" collapsed="false">
      <c r="A117" s="26" t="s">
        <v>939</v>
      </c>
      <c r="B117" s="26" t="s">
        <v>449</v>
      </c>
      <c r="C117" s="26" t="s">
        <v>74</v>
      </c>
      <c r="D117" s="26" t="s">
        <v>940</v>
      </c>
      <c r="E117" s="26" t="s">
        <v>473</v>
      </c>
      <c r="F117" s="27" t="str">
        <f aca="false">INDEX(Equipment!$B$2:$B$153,MATCH(E117,Equipment!$A$2:$A$153,0))</f>
        <v>Gas station MCC 480 V (shelter)</v>
      </c>
      <c r="G117" s="26" t="s">
        <v>467</v>
      </c>
      <c r="H117" s="27" t="str">
        <f aca="false">INDEX(Equipment!$B$2:$B$153,MATCH(G117,Equipment!$A$2:$A$153,0))</f>
        <v>Station inlet ESD valve (electro-hydraulic actuator)</v>
      </c>
      <c r="I117" s="26" t="s">
        <v>570</v>
      </c>
      <c r="J117" s="27" t="str">
        <f aca="false">INDEX('Cable Types'!$B$2:$B$45,MATCH(I117,'Cable Types'!$A$2:$A$45,0))</f>
        <v>600 V 3/C #10 AWG + G Cu XHHW-2, Type MC-HL, CCW Al armor (Armor-X type), PVC jkt</v>
      </c>
      <c r="K117" s="26" t="n">
        <v>1</v>
      </c>
      <c r="L117" s="26" t="s">
        <v>931</v>
      </c>
      <c r="M117" s="26" t="s">
        <v>703</v>
      </c>
      <c r="N117" s="26"/>
      <c r="O117" s="28" t="n">
        <f aca="false">IF(N117&lt;&gt;"",N117,IF(M117="D",ROUNDUP(SQRT((AL117-AI117)^2+(AM117-AJ117)^2+(AN117-AK117)^2)*(1+'Design Basis'!$C$6),0),ROUNDUP((ABS(AL117-AI117)+ABS(AM117-AJ117)+ABS(AO117-AK117)+ABS(AO117-AN117))*(1+'Design Basis'!$C$4)+2*'Design Basis'!$C$5,0)))</f>
        <v>17</v>
      </c>
      <c r="P117" s="28" t="n">
        <f aca="false">ROUND(O117*'Design Basis'!$C$10,0)</f>
        <v>56</v>
      </c>
      <c r="Q117" s="28" t="n">
        <f aca="false">O117*K117*AQ117</f>
        <v>17</v>
      </c>
      <c r="R117" s="28" t="n">
        <f aca="false">ROUND(Q117*'Design Basis'!$C$10,0)</f>
        <v>56</v>
      </c>
      <c r="S117" s="29" t="n">
        <v>480</v>
      </c>
      <c r="T117" s="26" t="n">
        <v>3</v>
      </c>
      <c r="U117" s="29" t="n">
        <v>3</v>
      </c>
      <c r="V117" s="30" t="n">
        <v>0.8</v>
      </c>
      <c r="W117" s="28" t="n">
        <f aca="false">IF(OR(U117="",S117=""),"",IF(T117=3,U117*1000/(SQRT(3)*S117*V117),U117*1000/(S117*V117)))</f>
        <v>4.51054897804395</v>
      </c>
      <c r="X117" s="30" t="n">
        <v>1.25</v>
      </c>
      <c r="Y117" s="28" t="n">
        <f aca="false">IF(W117="","",W117*IF(X117="",1,X117))</f>
        <v>5.63818622255494</v>
      </c>
      <c r="Z117" s="28" t="n">
        <f aca="false">IF(OR(AS117="",AP117=""),"",AS117*AP117)</f>
        <v>30.8</v>
      </c>
      <c r="AA117" s="28" t="n">
        <f aca="false">IF(Z117="","",Z117*K117)</f>
        <v>30.8</v>
      </c>
      <c r="AB117" s="31" t="n">
        <f aca="false">IF(OR(Y117="",AA117=""),"",Y117/AA117)</f>
        <v>0.183057994238797</v>
      </c>
      <c r="AC117" s="31" t="n">
        <f aca="false">IF(OR(W117="",AT117=""),"",AT117*(W117/K117)*O117/1000/S117)</f>
        <v>0.000998588558853743</v>
      </c>
      <c r="AD117" s="31" t="n">
        <f aca="false">IF(W117="","",IFERROR(IF(INDEX('Design Basis'!$C$13:$C$21,MATCH(C117,'Design Basis'!$A$13:$A$21,0))="","",INDEX('Design Basis'!$C$13:$C$21,MATCH(C117,'Design Basis'!$A$13:$A$21,0))),""))</f>
        <v>0.03</v>
      </c>
      <c r="AE117" s="32" t="str">
        <f aca="false">IF(W117="","n/a",IF(AA117="","CHECK",IF(AND(AB117&lt;=1,OR(AC117="",AD117="",AC117&lt;=AD117)),"OK","CHECK")))</f>
        <v>OK</v>
      </c>
      <c r="AF117" s="28" t="n">
        <f aca="false">IF(AR117="","",K117*AQ117*PI()/4*AR117^2)</f>
        <v>314.159265358979</v>
      </c>
      <c r="AG117" s="32" t="s">
        <v>753</v>
      </c>
      <c r="AI117" s="33" t="n">
        <f aca="false">INDEX(Equipment!$D$2:$D$153,MATCH(E117,Equipment!$A$2:$A$153,0))</f>
        <v>-20</v>
      </c>
      <c r="AJ117" s="33" t="n">
        <f aca="false">INDEX(Equipment!$E$2:$E$153,MATCH(E117,Equipment!$A$2:$A$153,0))</f>
        <v>12</v>
      </c>
      <c r="AK117" s="33" t="n">
        <f aca="false">INDEX(Equipment!$F$2:$F$153,MATCH(E117,Equipment!$A$2:$A$153,0))</f>
        <v>0.5</v>
      </c>
      <c r="AL117" s="33" t="n">
        <f aca="false">INDEX(Equipment!$D$2:$D$153,MATCH(G117,Equipment!$A$2:$A$153,0))</f>
        <v>-24</v>
      </c>
      <c r="AM117" s="33" t="n">
        <f aca="false">INDEX(Equipment!$E$2:$E$153,MATCH(G117,Equipment!$A$2:$A$153,0))</f>
        <v>10</v>
      </c>
      <c r="AN117" s="33" t="n">
        <f aca="false">INDEX(Equipment!$F$2:$F$153,MATCH(G117,Equipment!$A$2:$A$153,0))</f>
        <v>4</v>
      </c>
      <c r="AO117" s="33" t="n">
        <f aca="false">IF(INDEX(Raceways!$D$2:$D$18,MATCH(L117,Raceways!$A$2:$A$18,0))="",0,INDEX(Raceways!$D$2:$D$18,MATCH(L117,Raceways!$A$2:$A$18,0)))</f>
        <v>3</v>
      </c>
      <c r="AP117" s="34" t="n">
        <f aca="false">IF(INDEX(Raceways!$I$2:$I$18,MATCH(L117,Raceways!$A$2:$A$18,0))="","",INDEX(Raceways!$I$2:$I$18,MATCH(L117,Raceways!$A$2:$A$18,0)))</f>
        <v>0.88</v>
      </c>
      <c r="AQ117" s="27" t="n">
        <f aca="false">INDEX('Cable Types'!$D$2:$D$45,MATCH(I117,'Cable Types'!$A$2:$A$45,0))</f>
        <v>1</v>
      </c>
      <c r="AR117" s="27" t="n">
        <f aca="false">IF(INDEX('Cable Types'!$E$2:$E$45,MATCH(I117,'Cable Types'!$A$2:$A$45,0))="","",INDEX('Cable Types'!$E$2:$E$45,MATCH(I117,'Cable Types'!$A$2:$A$45,0)))</f>
        <v>20</v>
      </c>
      <c r="AS117" s="27" t="n">
        <f aca="false">IF(INDEX('Cable Types'!$F$2:$F$45,MATCH(I117,'Cable Types'!$A$2:$A$45,0))="","",INDEX('Cable Types'!$F$2:$F$45,MATCH(I117,'Cable Types'!$A$2:$A$45,0)))</f>
        <v>35</v>
      </c>
      <c r="AT117" s="35" t="n">
        <f aca="false">IF(INDEX('Cable Types'!$G$2:$G$45,MATCH(I117,'Cable Types'!$A$2:$A$45,0))="","",INDEX('Cable Types'!$G$2:$G$45,MATCH(I117,'Cable Types'!$A$2:$A$45,0)))</f>
        <v>6.251</v>
      </c>
    </row>
    <row r="118" customFormat="false" ht="15" hidden="false" customHeight="false" outlineLevel="0" collapsed="false">
      <c r="A118" s="26" t="s">
        <v>941</v>
      </c>
      <c r="B118" s="26" t="s">
        <v>449</v>
      </c>
      <c r="C118" s="26" t="s">
        <v>74</v>
      </c>
      <c r="D118" s="26" t="s">
        <v>942</v>
      </c>
      <c r="E118" s="26" t="s">
        <v>473</v>
      </c>
      <c r="F118" s="27" t="str">
        <f aca="false">INDEX(Equipment!$B$2:$B$153,MATCH(E118,Equipment!$A$2:$A$153,0))</f>
        <v>Gas station MCC 480 V (shelter)</v>
      </c>
      <c r="G118" s="26" t="s">
        <v>481</v>
      </c>
      <c r="H118" s="27" t="str">
        <f aca="false">INDEX(Equipment!$B$2:$B$153,MATCH(G118,Equipment!$A$2:$A$153,0))</f>
        <v>Gas chromatograph (shelter)</v>
      </c>
      <c r="I118" s="26" t="s">
        <v>589</v>
      </c>
      <c r="J118" s="27" t="str">
        <f aca="false">INDEX('Cable Types'!$B$2:$B$45,MATCH(I118,'Cable Types'!$A$2:$A$45,0))</f>
        <v>600 V 2/C #10 AWG + G Cu XHHW-2, Type MC-HL, CCW Al armor (Armor-X type), PVC jkt</v>
      </c>
      <c r="K118" s="26" t="n">
        <v>1</v>
      </c>
      <c r="L118" s="26" t="s">
        <v>714</v>
      </c>
      <c r="M118" s="26" t="s">
        <v>703</v>
      </c>
      <c r="N118" s="26"/>
      <c r="O118" s="28" t="n">
        <f aca="false">IF(N118&lt;&gt;"",N118,IF(M118="D",ROUNDUP(SQRT((AL118-AI118)^2+(AM118-AJ118)^2+(AN118-AK118)^2)*(1+'Design Basis'!$C$6),0),ROUNDUP((ABS(AL118-AI118)+ABS(AM118-AJ118)+ABS(AO118-AK118)+ABS(AO118-AN118))*(1+'Design Basis'!$C$4)+2*'Design Basis'!$C$5,0)))</f>
        <v>10</v>
      </c>
      <c r="P118" s="28" t="n">
        <f aca="false">ROUND(O118*'Design Basis'!$C$10,0)</f>
        <v>33</v>
      </c>
      <c r="Q118" s="28" t="n">
        <f aca="false">O118*K118*AQ118</f>
        <v>10</v>
      </c>
      <c r="R118" s="28" t="n">
        <f aca="false">ROUND(Q118*'Design Basis'!$C$10,0)</f>
        <v>33</v>
      </c>
      <c r="S118" s="29" t="n">
        <v>120</v>
      </c>
      <c r="T118" s="26" t="n">
        <v>1</v>
      </c>
      <c r="U118" s="29" t="n">
        <v>2</v>
      </c>
      <c r="V118" s="30" t="n">
        <v>1</v>
      </c>
      <c r="W118" s="28" t="n">
        <f aca="false">IF(OR(U118="",S118=""),"",IF(T118=3,U118*1000/(SQRT(3)*S118*V118),U118*1000/(S118*V118)))</f>
        <v>16.6666666666667</v>
      </c>
      <c r="X118" s="30" t="n">
        <v>1.25</v>
      </c>
      <c r="Y118" s="28" t="n">
        <f aca="false">IF(W118="","",W118*IF(X118="",1,X118))</f>
        <v>20.8333333333333</v>
      </c>
      <c r="Z118" s="28" t="n">
        <f aca="false">IF(OR(AS118="",AP118=""),"",AS118*AP118)</f>
        <v>30.8</v>
      </c>
      <c r="AA118" s="28" t="n">
        <f aca="false">IF(Z118="","",Z118*K118)</f>
        <v>30.8</v>
      </c>
      <c r="AB118" s="31" t="n">
        <f aca="false">IF(OR(Y118="",AA118=""),"",Y118/AA118)</f>
        <v>0.676406926406927</v>
      </c>
      <c r="AC118" s="31" t="n">
        <f aca="false">IF(OR(W118="",AT118=""),"",AT118*(W118/K118)*O118/1000/S118)</f>
        <v>0.0113013888888889</v>
      </c>
      <c r="AD118" s="31" t="n">
        <f aca="false">IF(W118="","",IFERROR(IF(INDEX('Design Basis'!$C$13:$C$21,MATCH(C118,'Design Basis'!$A$13:$A$21,0))="","",INDEX('Design Basis'!$C$13:$C$21,MATCH(C118,'Design Basis'!$A$13:$A$21,0))),""))</f>
        <v>0.03</v>
      </c>
      <c r="AE118" s="32" t="str">
        <f aca="false">IF(W118="","n/a",IF(AA118="","CHECK",IF(AND(AB118&lt;=1,OR(AC118="",AD118="",AC118&lt;=AD118)),"OK","CHECK")))</f>
        <v>OK</v>
      </c>
      <c r="AF118" s="28" t="n">
        <f aca="false">IF(AR118="","",K118*AQ118*PI()/4*AR118^2)</f>
        <v>254.469004940773</v>
      </c>
      <c r="AG118" s="32"/>
      <c r="AI118" s="33" t="n">
        <f aca="false">INDEX(Equipment!$D$2:$D$153,MATCH(E118,Equipment!$A$2:$A$153,0))</f>
        <v>-20</v>
      </c>
      <c r="AJ118" s="33" t="n">
        <f aca="false">INDEX(Equipment!$E$2:$E$153,MATCH(E118,Equipment!$A$2:$A$153,0))</f>
        <v>12</v>
      </c>
      <c r="AK118" s="33" t="n">
        <f aca="false">INDEX(Equipment!$F$2:$F$153,MATCH(E118,Equipment!$A$2:$A$153,0))</f>
        <v>0.5</v>
      </c>
      <c r="AL118" s="33" t="n">
        <f aca="false">INDEX(Equipment!$D$2:$D$153,MATCH(G118,Equipment!$A$2:$A$153,0))</f>
        <v>-22</v>
      </c>
      <c r="AM118" s="33" t="n">
        <f aca="false">INDEX(Equipment!$E$2:$E$153,MATCH(G118,Equipment!$A$2:$A$153,0))</f>
        <v>12</v>
      </c>
      <c r="AN118" s="33" t="n">
        <f aca="false">INDEX(Equipment!$F$2:$F$153,MATCH(G118,Equipment!$A$2:$A$153,0))</f>
        <v>0.5</v>
      </c>
      <c r="AO118" s="33" t="n">
        <f aca="false">IF(INDEX(Raceways!$D$2:$D$18,MATCH(L118,Raceways!$A$2:$A$18,0))="",0,INDEX(Raceways!$D$2:$D$18,MATCH(L118,Raceways!$A$2:$A$18,0)))</f>
        <v>1</v>
      </c>
      <c r="AP118" s="34" t="n">
        <f aca="false">IF(INDEX(Raceways!$I$2:$I$18,MATCH(L118,Raceways!$A$2:$A$18,0))="","",INDEX(Raceways!$I$2:$I$18,MATCH(L118,Raceways!$A$2:$A$18,0)))</f>
        <v>0.88</v>
      </c>
      <c r="AQ118" s="27" t="n">
        <f aca="false">INDEX('Cable Types'!$D$2:$D$45,MATCH(I118,'Cable Types'!$A$2:$A$45,0))</f>
        <v>1</v>
      </c>
      <c r="AR118" s="27" t="n">
        <f aca="false">IF(INDEX('Cable Types'!$E$2:$E$45,MATCH(I118,'Cable Types'!$A$2:$A$45,0))="","",INDEX('Cable Types'!$E$2:$E$45,MATCH(I118,'Cable Types'!$A$2:$A$45,0)))</f>
        <v>18</v>
      </c>
      <c r="AS118" s="27" t="n">
        <f aca="false">IF(INDEX('Cable Types'!$F$2:$F$45,MATCH(I118,'Cable Types'!$A$2:$A$45,0))="","",INDEX('Cable Types'!$F$2:$F$45,MATCH(I118,'Cable Types'!$A$2:$A$45,0)))</f>
        <v>35</v>
      </c>
      <c r="AT118" s="35" t="n">
        <f aca="false">IF(INDEX('Cable Types'!$G$2:$G$45,MATCH(I118,'Cable Types'!$A$2:$A$45,0))="","",INDEX('Cable Types'!$G$2:$G$45,MATCH(I118,'Cable Types'!$A$2:$A$45,0)))</f>
        <v>8.137</v>
      </c>
    </row>
    <row r="119" customFormat="false" ht="15" hidden="false" customHeight="false" outlineLevel="0" collapsed="false">
      <c r="A119" s="26" t="s">
        <v>943</v>
      </c>
      <c r="B119" s="26" t="s">
        <v>139</v>
      </c>
      <c r="C119" s="26" t="s">
        <v>77</v>
      </c>
      <c r="D119" s="26" t="s">
        <v>944</v>
      </c>
      <c r="E119" s="26" t="s">
        <v>516</v>
      </c>
      <c r="F119" s="27" t="str">
        <f aca="false">INDEX(Equipment!$B$2:$B$153,MATCH(E119,Equipment!$A$2:$A$153,0))</f>
        <v>125 V DC battery and chargers</v>
      </c>
      <c r="G119" s="26" t="s">
        <v>177</v>
      </c>
      <c r="H119" s="27" t="str">
        <f aca="false">INDEX(Equipment!$B$2:$B$153,MATCH(G119,Equipment!$A$2:$A$153,0))</f>
        <v>GT DC emergency lube oil pump motor 15 kW</v>
      </c>
      <c r="I119" s="26" t="s">
        <v>596</v>
      </c>
      <c r="J119" s="27" t="str">
        <f aca="false">INDEX('Cable Types'!$B$2:$B$45,MATCH(I119,'Cable Types'!$A$2:$A$45,0))</f>
        <v>600 V 1/C 500 kcmil Cu XHHW-2, Type MC-HL, CCW Al armor (Armor-X type), PVC jkt (+/- pair)</v>
      </c>
      <c r="K119" s="26" t="n">
        <v>1</v>
      </c>
      <c r="L119" s="26" t="s">
        <v>730</v>
      </c>
      <c r="M119" s="26" t="s">
        <v>703</v>
      </c>
      <c r="N119" s="26"/>
      <c r="O119" s="28" t="n">
        <f aca="false">IF(N119&lt;&gt;"",N119,IF(M119="D",ROUNDUP(SQRT((AL119-AI119)^2+(AM119-AJ119)^2+(AN119-AK119)^2)*(1+'Design Basis'!$C$6),0),ROUNDUP((ABS(AL119-AI119)+ABS(AM119-AJ119)+ABS(AO119-AK119)+ABS(AO119-AN119))*(1+'Design Basis'!$C$4)+2*'Design Basis'!$C$5,0)))</f>
        <v>103</v>
      </c>
      <c r="P119" s="28" t="n">
        <f aca="false">ROUND(O119*'Design Basis'!$C$10,0)</f>
        <v>338</v>
      </c>
      <c r="Q119" s="28" t="n">
        <f aca="false">O119*K119*AQ119</f>
        <v>206</v>
      </c>
      <c r="R119" s="28" t="n">
        <f aca="false">ROUND(Q119*'Design Basis'!$C$10,0)</f>
        <v>676</v>
      </c>
      <c r="S119" s="29" t="n">
        <v>125</v>
      </c>
      <c r="T119" s="26" t="s">
        <v>945</v>
      </c>
      <c r="U119" s="29" t="n">
        <v>15</v>
      </c>
      <c r="V119" s="30" t="n">
        <v>1</v>
      </c>
      <c r="W119" s="28" t="n">
        <f aca="false">IF(OR(U119="",S119=""),"",IF(T119=3,U119*1000/(SQRT(3)*S119*V119),U119*1000/(S119*V119)))</f>
        <v>120</v>
      </c>
      <c r="X119" s="30" t="n">
        <v>1.25</v>
      </c>
      <c r="Y119" s="28" t="n">
        <f aca="false">IF(W119="","",W119*IF(X119="",1,X119))</f>
        <v>150</v>
      </c>
      <c r="Z119" s="28" t="n">
        <f aca="false">IF(OR(AS119="",AP119=""),"",AS119*AP119)</f>
        <v>409.2</v>
      </c>
      <c r="AA119" s="28" t="n">
        <f aca="false">IF(Z119="","",Z119*K119)</f>
        <v>409.2</v>
      </c>
      <c r="AB119" s="31" t="n">
        <f aca="false">IF(OR(Y119="",AA119=""),"",Y119/AA119)</f>
        <v>0.366568914956012</v>
      </c>
      <c r="AC119" s="31" t="n">
        <f aca="false">IF(OR(W119="",AT119=""),"",AT119*(W119/K119)*O119/1000/S119)</f>
        <v>0.01671072</v>
      </c>
      <c r="AD119" s="31" t="n">
        <f aca="false">IF(W119="","",IFERROR(IF(INDEX('Design Basis'!$C$13:$C$21,MATCH(C119,'Design Basis'!$A$13:$A$21,0))="","",INDEX('Design Basis'!$C$13:$C$21,MATCH(C119,'Design Basis'!$A$13:$A$21,0))),""))</f>
        <v>0.03</v>
      </c>
      <c r="AE119" s="32" t="str">
        <f aca="false">IF(W119="","n/a",IF(AA119="","CHECK",IF(AND(AB119&lt;=1,OR(AC119="",AD119="",AC119&lt;=AD119)),"OK","CHECK")))</f>
        <v>OK</v>
      </c>
      <c r="AF119" s="28" t="n">
        <f aca="false">IF(AR119="","",K119*AQ119*PI()/4*AR119^2)</f>
        <v>1815.8405537749</v>
      </c>
      <c r="AG119" s="32" t="s">
        <v>946</v>
      </c>
      <c r="AI119" s="33" t="n">
        <f aca="false">INDEX(Equipment!$D$2:$D$153,MATCH(E119,Equipment!$A$2:$A$153,0))</f>
        <v>42</v>
      </c>
      <c r="AJ119" s="33" t="n">
        <f aca="false">INDEX(Equipment!$E$2:$E$153,MATCH(E119,Equipment!$A$2:$A$153,0))</f>
        <v>55</v>
      </c>
      <c r="AK119" s="33" t="n">
        <f aca="false">INDEX(Equipment!$F$2:$F$153,MATCH(E119,Equipment!$A$2:$A$153,0))</f>
        <v>0.5</v>
      </c>
      <c r="AL119" s="33" t="n">
        <f aca="false">INDEX(Equipment!$D$2:$D$153,MATCH(G119,Equipment!$A$2:$A$153,0))</f>
        <v>61</v>
      </c>
      <c r="AM119" s="33" t="n">
        <f aca="false">INDEX(Equipment!$E$2:$E$153,MATCH(G119,Equipment!$A$2:$A$153,0))</f>
        <v>-5</v>
      </c>
      <c r="AN119" s="33" t="n">
        <f aca="false">INDEX(Equipment!$F$2:$F$153,MATCH(G119,Equipment!$A$2:$A$153,0))</f>
        <v>0.5</v>
      </c>
      <c r="AO119" s="33" t="n">
        <f aca="false">IF(INDEX(Raceways!$D$2:$D$18,MATCH(L119,Raceways!$A$2:$A$18,0))="",0,INDEX(Raceways!$D$2:$D$18,MATCH(L119,Raceways!$A$2:$A$18,0)))</f>
        <v>5</v>
      </c>
      <c r="AP119" s="34" t="n">
        <f aca="false">IF(INDEX(Raceways!$I$2:$I$18,MATCH(L119,Raceways!$A$2:$A$18,0))="","",INDEX(Raceways!$I$2:$I$18,MATCH(L119,Raceways!$A$2:$A$18,0)))</f>
        <v>0.88</v>
      </c>
      <c r="AQ119" s="27" t="n">
        <f aca="false">INDEX('Cable Types'!$D$2:$D$45,MATCH(I119,'Cable Types'!$A$2:$A$45,0))</f>
        <v>2</v>
      </c>
      <c r="AR119" s="27" t="n">
        <f aca="false">IF(INDEX('Cable Types'!$E$2:$E$45,MATCH(I119,'Cable Types'!$A$2:$A$45,0))="","",INDEX('Cable Types'!$E$2:$E$45,MATCH(I119,'Cable Types'!$A$2:$A$45,0)))</f>
        <v>34</v>
      </c>
      <c r="AS119" s="27" t="n">
        <f aca="false">IF(INDEX('Cable Types'!$F$2:$F$45,MATCH(I119,'Cable Types'!$A$2:$A$45,0))="","",INDEX('Cable Types'!$F$2:$F$45,MATCH(I119,'Cable Types'!$A$2:$A$45,0)))</f>
        <v>465</v>
      </c>
      <c r="AT119" s="35" t="n">
        <f aca="false">IF(INDEX('Cable Types'!$G$2:$G$45,MATCH(I119,'Cable Types'!$A$2:$A$45,0))="","",INDEX('Cable Types'!$G$2:$G$45,MATCH(I119,'Cable Types'!$A$2:$A$45,0)))</f>
        <v>0.169</v>
      </c>
    </row>
    <row r="120" customFormat="false" ht="15" hidden="false" customHeight="false" outlineLevel="0" collapsed="false">
      <c r="A120" s="26" t="s">
        <v>947</v>
      </c>
      <c r="B120" s="26" t="s">
        <v>139</v>
      </c>
      <c r="C120" s="26" t="s">
        <v>77</v>
      </c>
      <c r="D120" s="26" t="s">
        <v>948</v>
      </c>
      <c r="E120" s="26" t="s">
        <v>516</v>
      </c>
      <c r="F120" s="27" t="str">
        <f aca="false">INDEX(Equipment!$B$2:$B$153,MATCH(E120,Equipment!$A$2:$A$153,0))</f>
        <v>125 V DC battery and chargers</v>
      </c>
      <c r="G120" s="26" t="s">
        <v>223</v>
      </c>
      <c r="H120" s="27" t="str">
        <f aca="false">INDEX(Equipment!$B$2:$B$153,MATCH(G120,Equipment!$A$2:$A$153,0))</f>
        <v>ST DC emergency lube oil pump motor 22 kW</v>
      </c>
      <c r="I120" s="26" t="s">
        <v>596</v>
      </c>
      <c r="J120" s="27" t="str">
        <f aca="false">INDEX('Cable Types'!$B$2:$B$45,MATCH(I120,'Cable Types'!$A$2:$A$45,0))</f>
        <v>600 V 1/C 500 kcmil Cu XHHW-2, Type MC-HL, CCW Al armor (Armor-X type), PVC jkt (+/- pair)</v>
      </c>
      <c r="K120" s="26" t="n">
        <v>1</v>
      </c>
      <c r="L120" s="26" t="s">
        <v>724</v>
      </c>
      <c r="M120" s="26" t="s">
        <v>703</v>
      </c>
      <c r="N120" s="26"/>
      <c r="O120" s="28" t="n">
        <f aca="false">IF(N120&lt;&gt;"",N120,IF(M120="D",ROUNDUP(SQRT((AL120-AI120)^2+(AM120-AJ120)^2+(AN120-AK120)^2)*(1+'Design Basis'!$C$6),0),ROUNDUP((ABS(AL120-AI120)+ABS(AM120-AJ120)+ABS(AO120-AK120)+ABS(AO120-AN120))*(1+'Design Basis'!$C$4)+2*'Design Basis'!$C$5,0)))</f>
        <v>77</v>
      </c>
      <c r="P120" s="28" t="n">
        <f aca="false">ROUND(O120*'Design Basis'!$C$10,0)</f>
        <v>253</v>
      </c>
      <c r="Q120" s="28" t="n">
        <f aca="false">O120*K120*AQ120</f>
        <v>154</v>
      </c>
      <c r="R120" s="28" t="n">
        <f aca="false">ROUND(Q120*'Design Basis'!$C$10,0)</f>
        <v>505</v>
      </c>
      <c r="S120" s="29" t="n">
        <v>125</v>
      </c>
      <c r="T120" s="26" t="s">
        <v>945</v>
      </c>
      <c r="U120" s="29" t="n">
        <v>22</v>
      </c>
      <c r="V120" s="30" t="n">
        <v>1</v>
      </c>
      <c r="W120" s="28" t="n">
        <f aca="false">IF(OR(U120="",S120=""),"",IF(T120=3,U120*1000/(SQRT(3)*S120*V120),U120*1000/(S120*V120)))</f>
        <v>176</v>
      </c>
      <c r="X120" s="30" t="n">
        <v>1.25</v>
      </c>
      <c r="Y120" s="28" t="n">
        <f aca="false">IF(W120="","",W120*IF(X120="",1,X120))</f>
        <v>220</v>
      </c>
      <c r="Z120" s="28" t="n">
        <f aca="false">IF(OR(AS120="",AP120=""),"",AS120*AP120)</f>
        <v>409.2</v>
      </c>
      <c r="AA120" s="28" t="n">
        <f aca="false">IF(Z120="","",Z120*K120)</f>
        <v>409.2</v>
      </c>
      <c r="AB120" s="31" t="n">
        <f aca="false">IF(OR(Y120="",AA120=""),"",Y120/AA120)</f>
        <v>0.537634408602151</v>
      </c>
      <c r="AC120" s="31" t="n">
        <f aca="false">IF(OR(W120="",AT120=""),"",AT120*(W120/K120)*O120/1000/S120)</f>
        <v>0.018322304</v>
      </c>
      <c r="AD120" s="31" t="n">
        <f aca="false">IF(W120="","",IFERROR(IF(INDEX('Design Basis'!$C$13:$C$21,MATCH(C120,'Design Basis'!$A$13:$A$21,0))="","",INDEX('Design Basis'!$C$13:$C$21,MATCH(C120,'Design Basis'!$A$13:$A$21,0))),""))</f>
        <v>0.03</v>
      </c>
      <c r="AE120" s="32" t="str">
        <f aca="false">IF(W120="","n/a",IF(AA120="","CHECK",IF(AND(AB120&lt;=1,OR(AC120="",AD120="",AC120&lt;=AD120)),"OK","CHECK")))</f>
        <v>OK</v>
      </c>
      <c r="AF120" s="28" t="n">
        <f aca="false">IF(AR120="","",K120*AQ120*PI()/4*AR120^2)</f>
        <v>1815.8405537749</v>
      </c>
      <c r="AG120" s="32" t="s">
        <v>946</v>
      </c>
      <c r="AI120" s="33" t="n">
        <f aca="false">INDEX(Equipment!$D$2:$D$153,MATCH(E120,Equipment!$A$2:$A$153,0))</f>
        <v>42</v>
      </c>
      <c r="AJ120" s="33" t="n">
        <f aca="false">INDEX(Equipment!$E$2:$E$153,MATCH(E120,Equipment!$A$2:$A$153,0))</f>
        <v>55</v>
      </c>
      <c r="AK120" s="33" t="n">
        <f aca="false">INDEX(Equipment!$F$2:$F$153,MATCH(E120,Equipment!$A$2:$A$153,0))</f>
        <v>0.5</v>
      </c>
      <c r="AL120" s="33" t="n">
        <f aca="false">INDEX(Equipment!$D$2:$D$153,MATCH(G120,Equipment!$A$2:$A$153,0))</f>
        <v>72</v>
      </c>
      <c r="AM120" s="33" t="n">
        <f aca="false">INDEX(Equipment!$E$2:$E$153,MATCH(G120,Equipment!$A$2:$A$153,0))</f>
        <v>30</v>
      </c>
      <c r="AN120" s="33" t="n">
        <f aca="false">INDEX(Equipment!$F$2:$F$153,MATCH(G120,Equipment!$A$2:$A$153,0))</f>
        <v>0.5</v>
      </c>
      <c r="AO120" s="33" t="n">
        <f aca="false">IF(INDEX(Raceways!$D$2:$D$18,MATCH(L120,Raceways!$A$2:$A$18,0))="",0,INDEX(Raceways!$D$2:$D$18,MATCH(L120,Raceways!$A$2:$A$18,0)))</f>
        <v>5</v>
      </c>
      <c r="AP120" s="34" t="n">
        <f aca="false">IF(INDEX(Raceways!$I$2:$I$18,MATCH(L120,Raceways!$A$2:$A$18,0))="","",INDEX(Raceways!$I$2:$I$18,MATCH(L120,Raceways!$A$2:$A$18,0)))</f>
        <v>0.88</v>
      </c>
      <c r="AQ120" s="27" t="n">
        <f aca="false">INDEX('Cable Types'!$D$2:$D$45,MATCH(I120,'Cable Types'!$A$2:$A$45,0))</f>
        <v>2</v>
      </c>
      <c r="AR120" s="27" t="n">
        <f aca="false">IF(INDEX('Cable Types'!$E$2:$E$45,MATCH(I120,'Cable Types'!$A$2:$A$45,0))="","",INDEX('Cable Types'!$E$2:$E$45,MATCH(I120,'Cable Types'!$A$2:$A$45,0)))</f>
        <v>34</v>
      </c>
      <c r="AS120" s="27" t="n">
        <f aca="false">IF(INDEX('Cable Types'!$F$2:$F$45,MATCH(I120,'Cable Types'!$A$2:$A$45,0))="","",INDEX('Cable Types'!$F$2:$F$45,MATCH(I120,'Cable Types'!$A$2:$A$45,0)))</f>
        <v>465</v>
      </c>
      <c r="AT120" s="35" t="n">
        <f aca="false">IF(INDEX('Cable Types'!$G$2:$G$45,MATCH(I120,'Cable Types'!$A$2:$A$45,0))="","",INDEX('Cable Types'!$G$2:$G$45,MATCH(I120,'Cable Types'!$A$2:$A$45,0)))</f>
        <v>0.169</v>
      </c>
    </row>
    <row r="121" customFormat="false" ht="15" hidden="false" customHeight="false" outlineLevel="0" collapsed="false">
      <c r="A121" s="26" t="s">
        <v>949</v>
      </c>
      <c r="B121" s="26" t="s">
        <v>505</v>
      </c>
      <c r="C121" s="26" t="s">
        <v>77</v>
      </c>
      <c r="D121" s="26" t="s">
        <v>950</v>
      </c>
      <c r="E121" s="26" t="s">
        <v>516</v>
      </c>
      <c r="F121" s="27" t="str">
        <f aca="false">INDEX(Equipment!$B$2:$B$153,MATCH(E121,Equipment!$A$2:$A$153,0))</f>
        <v>125 V DC battery and chargers</v>
      </c>
      <c r="G121" s="26" t="s">
        <v>503</v>
      </c>
      <c r="H121" s="27" t="str">
        <f aca="false">INDEX(Equipment!$B$2:$B$153,MATCH(G121,Equipment!$A$2:$A$153,0))</f>
        <v>Main 13.8 kV switchboard (main electrical building)</v>
      </c>
      <c r="I121" s="26" t="s">
        <v>589</v>
      </c>
      <c r="J121" s="27" t="str">
        <f aca="false">INDEX('Cable Types'!$B$2:$B$45,MATCH(I121,'Cable Types'!$A$2:$A$45,0))</f>
        <v>600 V 2/C #10 AWG + G Cu XHHW-2, Type MC-HL, CCW Al armor (Armor-X type), PVC jkt</v>
      </c>
      <c r="K121" s="26" t="n">
        <v>1</v>
      </c>
      <c r="L121" s="26" t="s">
        <v>714</v>
      </c>
      <c r="M121" s="26" t="s">
        <v>703</v>
      </c>
      <c r="N121" s="26"/>
      <c r="O121" s="28" t="n">
        <f aca="false">IF(N121&lt;&gt;"",N121,IF(M121="D",ROUNDUP(SQRT((AL121-AI121)^2+(AM121-AJ121)^2+(AN121-AK121)^2)*(1+'Design Basis'!$C$6),0),ROUNDUP((ABS(AL121-AI121)+ABS(AM121-AJ121)+ABS(AO121-AK121)+ABS(AO121-AN121))*(1+'Design Basis'!$C$4)+2*'Design Basis'!$C$5,0)))</f>
        <v>17</v>
      </c>
      <c r="P121" s="28" t="n">
        <f aca="false">ROUND(O121*'Design Basis'!$C$10,0)</f>
        <v>56</v>
      </c>
      <c r="Q121" s="28" t="n">
        <f aca="false">O121*K121*AQ121</f>
        <v>17</v>
      </c>
      <c r="R121" s="28" t="n">
        <f aca="false">ROUND(Q121*'Design Basis'!$C$10,0)</f>
        <v>56</v>
      </c>
      <c r="S121" s="29" t="n">
        <v>125</v>
      </c>
      <c r="T121" s="26" t="s">
        <v>945</v>
      </c>
      <c r="U121" s="29" t="n">
        <v>2</v>
      </c>
      <c r="V121" s="30" t="n">
        <v>1</v>
      </c>
      <c r="W121" s="28" t="n">
        <f aca="false">IF(OR(U121="",S121=""),"",IF(T121=3,U121*1000/(SQRT(3)*S121*V121),U121*1000/(S121*V121)))</f>
        <v>16</v>
      </c>
      <c r="X121" s="30" t="n">
        <v>1.25</v>
      </c>
      <c r="Y121" s="28" t="n">
        <f aca="false">IF(W121="","",W121*IF(X121="",1,X121))</f>
        <v>20</v>
      </c>
      <c r="Z121" s="28" t="n">
        <f aca="false">IF(OR(AS121="",AP121=""),"",AS121*AP121)</f>
        <v>30.8</v>
      </c>
      <c r="AA121" s="28" t="n">
        <f aca="false">IF(Z121="","",Z121*K121)</f>
        <v>30.8</v>
      </c>
      <c r="AB121" s="31" t="n">
        <f aca="false">IF(OR(Y121="",AA121=""),"",Y121/AA121)</f>
        <v>0.649350649350649</v>
      </c>
      <c r="AC121" s="31" t="n">
        <f aca="false">IF(OR(W121="",AT121=""),"",AT121*(W121/K121)*O121/1000/S121)</f>
        <v>0.017706112</v>
      </c>
      <c r="AD121" s="31" t="n">
        <f aca="false">IF(W121="","",IFERROR(IF(INDEX('Design Basis'!$C$13:$C$21,MATCH(C121,'Design Basis'!$A$13:$A$21,0))="","",INDEX('Design Basis'!$C$13:$C$21,MATCH(C121,'Design Basis'!$A$13:$A$21,0))),""))</f>
        <v>0.03</v>
      </c>
      <c r="AE121" s="32" t="str">
        <f aca="false">IF(W121="","n/a",IF(AA121="","CHECK",IF(AND(AB121&lt;=1,OR(AC121="",AD121="",AC121&lt;=AD121)),"OK","CHECK")))</f>
        <v>OK</v>
      </c>
      <c r="AF121" s="28" t="n">
        <f aca="false">IF(AR121="","",K121*AQ121*PI()/4*AR121^2)</f>
        <v>254.469004940773</v>
      </c>
      <c r="AG121" s="32"/>
      <c r="AI121" s="33" t="n">
        <f aca="false">INDEX(Equipment!$D$2:$D$153,MATCH(E121,Equipment!$A$2:$A$153,0))</f>
        <v>42</v>
      </c>
      <c r="AJ121" s="33" t="n">
        <f aca="false">INDEX(Equipment!$E$2:$E$153,MATCH(E121,Equipment!$A$2:$A$153,0))</f>
        <v>55</v>
      </c>
      <c r="AK121" s="33" t="n">
        <f aca="false">INDEX(Equipment!$F$2:$F$153,MATCH(E121,Equipment!$A$2:$A$153,0))</f>
        <v>0.5</v>
      </c>
      <c r="AL121" s="33" t="n">
        <f aca="false">INDEX(Equipment!$D$2:$D$153,MATCH(G121,Equipment!$A$2:$A$153,0))</f>
        <v>36</v>
      </c>
      <c r="AM121" s="33" t="n">
        <f aca="false">INDEX(Equipment!$E$2:$E$153,MATCH(G121,Equipment!$A$2:$A$153,0))</f>
        <v>52</v>
      </c>
      <c r="AN121" s="33" t="n">
        <f aca="false">INDEX(Equipment!$F$2:$F$153,MATCH(G121,Equipment!$A$2:$A$153,0))</f>
        <v>0.5</v>
      </c>
      <c r="AO121" s="33" t="n">
        <f aca="false">IF(INDEX(Raceways!$D$2:$D$18,MATCH(L121,Raceways!$A$2:$A$18,0))="",0,INDEX(Raceways!$D$2:$D$18,MATCH(L121,Raceways!$A$2:$A$18,0)))</f>
        <v>1</v>
      </c>
      <c r="AP121" s="34" t="n">
        <f aca="false">IF(INDEX(Raceways!$I$2:$I$18,MATCH(L121,Raceways!$A$2:$A$18,0))="","",INDEX(Raceways!$I$2:$I$18,MATCH(L121,Raceways!$A$2:$A$18,0)))</f>
        <v>0.88</v>
      </c>
      <c r="AQ121" s="27" t="n">
        <f aca="false">INDEX('Cable Types'!$D$2:$D$45,MATCH(I121,'Cable Types'!$A$2:$A$45,0))</f>
        <v>1</v>
      </c>
      <c r="AR121" s="27" t="n">
        <f aca="false">IF(INDEX('Cable Types'!$E$2:$E$45,MATCH(I121,'Cable Types'!$A$2:$A$45,0))="","",INDEX('Cable Types'!$E$2:$E$45,MATCH(I121,'Cable Types'!$A$2:$A$45,0)))</f>
        <v>18</v>
      </c>
      <c r="AS121" s="27" t="n">
        <f aca="false">IF(INDEX('Cable Types'!$F$2:$F$45,MATCH(I121,'Cable Types'!$A$2:$A$45,0))="","",INDEX('Cable Types'!$F$2:$F$45,MATCH(I121,'Cable Types'!$A$2:$A$45,0)))</f>
        <v>35</v>
      </c>
      <c r="AT121" s="35" t="n">
        <f aca="false">IF(INDEX('Cable Types'!$G$2:$G$45,MATCH(I121,'Cable Types'!$A$2:$A$45,0))="","",INDEX('Cable Types'!$G$2:$G$45,MATCH(I121,'Cable Types'!$A$2:$A$45,0)))</f>
        <v>8.137</v>
      </c>
    </row>
    <row r="122" customFormat="false" ht="15" hidden="false" customHeight="false" outlineLevel="0" collapsed="false">
      <c r="A122" s="26" t="s">
        <v>951</v>
      </c>
      <c r="B122" s="26" t="s">
        <v>139</v>
      </c>
      <c r="C122" s="26" t="s">
        <v>77</v>
      </c>
      <c r="D122" s="26" t="s">
        <v>952</v>
      </c>
      <c r="E122" s="26" t="s">
        <v>516</v>
      </c>
      <c r="F122" s="27" t="str">
        <f aca="false">INDEX(Equipment!$B$2:$B$153,MATCH(E122,Equipment!$A$2:$A$153,0))</f>
        <v>125 V DC battery and chargers</v>
      </c>
      <c r="G122" s="26" t="s">
        <v>170</v>
      </c>
      <c r="H122" s="27" t="str">
        <f aca="false">INDEX(Equipment!$B$2:$B$153,MATCH(G122,Equipment!$A$2:$A$153,0))</f>
        <v>GT control panel (in PEECC)</v>
      </c>
      <c r="I122" s="26" t="s">
        <v>594</v>
      </c>
      <c r="J122" s="27" t="str">
        <f aca="false">INDEX('Cable Types'!$B$2:$B$45,MATCH(I122,'Cable Types'!$A$2:$A$45,0))</f>
        <v>600 V 2/C #2 AWG + G Cu XHHW-2, Type MC-HL, CCW Al armor (Armor-X type), PVC jkt</v>
      </c>
      <c r="K122" s="26" t="n">
        <v>1</v>
      </c>
      <c r="L122" s="26" t="s">
        <v>730</v>
      </c>
      <c r="M122" s="26" t="s">
        <v>703</v>
      </c>
      <c r="N122" s="26"/>
      <c r="O122" s="28" t="n">
        <f aca="false">IF(N122&lt;&gt;"",N122,IF(M122="D",ROUNDUP(SQRT((AL122-AI122)^2+(AM122-AJ122)^2+(AN122-AK122)^2)*(1+'Design Basis'!$C$6),0),ROUNDUP((ABS(AL122-AI122)+ABS(AM122-AJ122)+ABS(AO122-AK122)+ABS(AO122-AN122))*(1+'Design Basis'!$C$4)+2*'Design Basis'!$C$5,0)))</f>
        <v>88</v>
      </c>
      <c r="P122" s="28" t="n">
        <f aca="false">ROUND(O122*'Design Basis'!$C$10,0)</f>
        <v>289</v>
      </c>
      <c r="Q122" s="28" t="n">
        <f aca="false">O122*K122*AQ122</f>
        <v>88</v>
      </c>
      <c r="R122" s="28" t="n">
        <f aca="false">ROUND(Q122*'Design Basis'!$C$10,0)</f>
        <v>289</v>
      </c>
      <c r="S122" s="29" t="n">
        <v>125</v>
      </c>
      <c r="T122" s="26" t="s">
        <v>945</v>
      </c>
      <c r="U122" s="29" t="n">
        <v>3</v>
      </c>
      <c r="V122" s="30" t="n">
        <v>1</v>
      </c>
      <c r="W122" s="28" t="n">
        <f aca="false">IF(OR(U122="",S122=""),"",IF(T122=3,U122*1000/(SQRT(3)*S122*V122),U122*1000/(S122*V122)))</f>
        <v>24</v>
      </c>
      <c r="X122" s="30" t="n">
        <v>1.25</v>
      </c>
      <c r="Y122" s="28" t="n">
        <f aca="false">IF(W122="","",W122*IF(X122="",1,X122))</f>
        <v>30</v>
      </c>
      <c r="Z122" s="28" t="n">
        <f aca="false">IF(OR(AS122="",AP122=""),"",AS122*AP122)</f>
        <v>101.2</v>
      </c>
      <c r="AA122" s="28" t="n">
        <f aca="false">IF(Z122="","",Z122*K122)</f>
        <v>101.2</v>
      </c>
      <c r="AB122" s="31" t="n">
        <f aca="false">IF(OR(Y122="",AA122=""),"",Y122/AA122)</f>
        <v>0.296442687747036</v>
      </c>
      <c r="AC122" s="31" t="n">
        <f aca="false">IF(OR(W122="",AT122=""),"",AT122*(W122/K122)*O122/1000/S122)</f>
        <v>0.021508608</v>
      </c>
      <c r="AD122" s="31" t="n">
        <f aca="false">IF(W122="","",IFERROR(IF(INDEX('Design Basis'!$C$13:$C$21,MATCH(C122,'Design Basis'!$A$13:$A$21,0))="","",INDEX('Design Basis'!$C$13:$C$21,MATCH(C122,'Design Basis'!$A$13:$A$21,0))),""))</f>
        <v>0.03</v>
      </c>
      <c r="AE122" s="32" t="str">
        <f aca="false">IF(W122="","n/a",IF(AA122="","CHECK",IF(AND(AB122&lt;=1,OR(AC122="",AD122="",AC122&lt;=AD122)),"OK","CHECK")))</f>
        <v>OK</v>
      </c>
      <c r="AF122" s="28" t="n">
        <f aca="false">IF(AR122="","",K122*AQ122*PI()/4*AR122^2)</f>
        <v>615.752160103599</v>
      </c>
      <c r="AG122" s="32"/>
      <c r="AI122" s="33" t="n">
        <f aca="false">INDEX(Equipment!$D$2:$D$153,MATCH(E122,Equipment!$A$2:$A$153,0))</f>
        <v>42</v>
      </c>
      <c r="AJ122" s="33" t="n">
        <f aca="false">INDEX(Equipment!$E$2:$E$153,MATCH(E122,Equipment!$A$2:$A$153,0))</f>
        <v>55</v>
      </c>
      <c r="AK122" s="33" t="n">
        <f aca="false">INDEX(Equipment!$F$2:$F$153,MATCH(E122,Equipment!$A$2:$A$153,0))</f>
        <v>0.5</v>
      </c>
      <c r="AL122" s="33" t="n">
        <f aca="false">INDEX(Equipment!$D$2:$D$153,MATCH(G122,Equipment!$A$2:$A$153,0))</f>
        <v>46</v>
      </c>
      <c r="AM122" s="33" t="n">
        <f aca="false">INDEX(Equipment!$E$2:$E$153,MATCH(G122,Equipment!$A$2:$A$153,0))</f>
        <v>-6</v>
      </c>
      <c r="AN122" s="33" t="n">
        <f aca="false">INDEX(Equipment!$F$2:$F$153,MATCH(G122,Equipment!$A$2:$A$153,0))</f>
        <v>0.5</v>
      </c>
      <c r="AO122" s="33" t="n">
        <f aca="false">IF(INDEX(Raceways!$D$2:$D$18,MATCH(L122,Raceways!$A$2:$A$18,0))="",0,INDEX(Raceways!$D$2:$D$18,MATCH(L122,Raceways!$A$2:$A$18,0)))</f>
        <v>5</v>
      </c>
      <c r="AP122" s="34" t="n">
        <f aca="false">IF(INDEX(Raceways!$I$2:$I$18,MATCH(L122,Raceways!$A$2:$A$18,0))="","",INDEX(Raceways!$I$2:$I$18,MATCH(L122,Raceways!$A$2:$A$18,0)))</f>
        <v>0.88</v>
      </c>
      <c r="AQ122" s="27" t="n">
        <f aca="false">INDEX('Cable Types'!$D$2:$D$45,MATCH(I122,'Cable Types'!$A$2:$A$45,0))</f>
        <v>1</v>
      </c>
      <c r="AR122" s="27" t="n">
        <f aca="false">IF(INDEX('Cable Types'!$E$2:$E$45,MATCH(I122,'Cable Types'!$A$2:$A$45,0))="","",INDEX('Cable Types'!$E$2:$E$45,MATCH(I122,'Cable Types'!$A$2:$A$45,0)))</f>
        <v>28</v>
      </c>
      <c r="AS122" s="27" t="n">
        <f aca="false">IF(INDEX('Cable Types'!$F$2:$F$45,MATCH(I122,'Cable Types'!$A$2:$A$45,0))="","",INDEX('Cable Types'!$F$2:$F$45,MATCH(I122,'Cable Types'!$A$2:$A$45,0)))</f>
        <v>115</v>
      </c>
      <c r="AT122" s="35" t="n">
        <f aca="false">IF(INDEX('Cable Types'!$G$2:$G$45,MATCH(I122,'Cable Types'!$A$2:$A$45,0))="","",INDEX('Cable Types'!$G$2:$G$45,MATCH(I122,'Cable Types'!$A$2:$A$45,0)))</f>
        <v>1.273</v>
      </c>
    </row>
    <row r="123" customFormat="false" ht="15" hidden="false" customHeight="false" outlineLevel="0" collapsed="false">
      <c r="A123" s="26" t="s">
        <v>953</v>
      </c>
      <c r="B123" s="26" t="s">
        <v>505</v>
      </c>
      <c r="C123" s="26" t="s">
        <v>77</v>
      </c>
      <c r="D123" s="26" t="s">
        <v>954</v>
      </c>
      <c r="E123" s="26" t="s">
        <v>518</v>
      </c>
      <c r="F123" s="27" t="str">
        <f aca="false">INDEX(Equipment!$B$2:$B$153,MATCH(E123,Equipment!$A$2:$A$153,0))</f>
        <v>230 V AC UPS</v>
      </c>
      <c r="G123" s="26" t="s">
        <v>512</v>
      </c>
      <c r="H123" s="27" t="str">
        <f aca="false">INDEX(Equipment!$B$2:$B$153,MATCH(G123,Equipment!$A$2:$A$153,0))</f>
        <v>DCS servers / central control room</v>
      </c>
      <c r="I123" s="26" t="s">
        <v>594</v>
      </c>
      <c r="J123" s="27" t="str">
        <f aca="false">INDEX('Cable Types'!$B$2:$B$45,MATCH(I123,'Cable Types'!$A$2:$A$45,0))</f>
        <v>600 V 2/C #2 AWG + G Cu XHHW-2, Type MC-HL, CCW Al armor (Armor-X type), PVC jkt</v>
      </c>
      <c r="K123" s="26" t="n">
        <v>1</v>
      </c>
      <c r="L123" s="26" t="s">
        <v>714</v>
      </c>
      <c r="M123" s="26" t="s">
        <v>703</v>
      </c>
      <c r="N123" s="26"/>
      <c r="O123" s="28" t="n">
        <f aca="false">IF(N123&lt;&gt;"",N123,IF(M123="D",ROUNDUP(SQRT((AL123-AI123)^2+(AM123-AJ123)^2+(AN123-AK123)^2)*(1+'Design Basis'!$C$6),0),ROUNDUP((ABS(AL123-AI123)+ABS(AM123-AJ123)+ABS(AO123-AK123)+ABS(AO123-AN123))*(1+'Design Basis'!$C$4)+2*'Design Basis'!$C$5,0)))</f>
        <v>11</v>
      </c>
      <c r="P123" s="28" t="n">
        <f aca="false">ROUND(O123*'Design Basis'!$C$10,0)</f>
        <v>36</v>
      </c>
      <c r="Q123" s="28" t="n">
        <f aca="false">O123*K123*AQ123</f>
        <v>11</v>
      </c>
      <c r="R123" s="28" t="n">
        <f aca="false">ROUND(Q123*'Design Basis'!$C$10,0)</f>
        <v>36</v>
      </c>
      <c r="S123" s="29" t="n">
        <v>208</v>
      </c>
      <c r="T123" s="26" t="n">
        <v>1</v>
      </c>
      <c r="U123" s="29" t="n">
        <v>10</v>
      </c>
      <c r="V123" s="30" t="n">
        <v>1</v>
      </c>
      <c r="W123" s="28" t="n">
        <f aca="false">IF(OR(U123="",S123=""),"",IF(T123=3,U123*1000/(SQRT(3)*S123*V123),U123*1000/(S123*V123)))</f>
        <v>48.0769230769231</v>
      </c>
      <c r="X123" s="30" t="n">
        <v>1.25</v>
      </c>
      <c r="Y123" s="28" t="n">
        <f aca="false">IF(W123="","",W123*IF(X123="",1,X123))</f>
        <v>60.0961538461539</v>
      </c>
      <c r="Z123" s="28" t="n">
        <f aca="false">IF(OR(AS123="",AP123=""),"",AS123*AP123)</f>
        <v>101.2</v>
      </c>
      <c r="AA123" s="28" t="n">
        <f aca="false">IF(Z123="","",Z123*K123)</f>
        <v>101.2</v>
      </c>
      <c r="AB123" s="31" t="n">
        <f aca="false">IF(OR(Y123="",AA123=""),"",Y123/AA123)</f>
        <v>0.593835512313773</v>
      </c>
      <c r="AC123" s="31" t="n">
        <f aca="false">IF(OR(W123="",AT123=""),"",AT123*(W123/K123)*O123/1000/S123)</f>
        <v>0.00323664016272189</v>
      </c>
      <c r="AD123" s="31" t="n">
        <f aca="false">IF(W123="","",IFERROR(IF(INDEX('Design Basis'!$C$13:$C$21,MATCH(C123,'Design Basis'!$A$13:$A$21,0))="","",INDEX('Design Basis'!$C$13:$C$21,MATCH(C123,'Design Basis'!$A$13:$A$21,0))),""))</f>
        <v>0.03</v>
      </c>
      <c r="AE123" s="32" t="str">
        <f aca="false">IF(W123="","n/a",IF(AA123="","CHECK",IF(AND(AB123&lt;=1,OR(AC123="",AD123="",AC123&lt;=AD123)),"OK","CHECK")))</f>
        <v>OK</v>
      </c>
      <c r="AF123" s="28" t="n">
        <f aca="false">IF(AR123="","",K123*AQ123*PI()/4*AR123^2)</f>
        <v>615.752160103599</v>
      </c>
      <c r="AG123" s="32"/>
      <c r="AI123" s="33" t="n">
        <f aca="false">INDEX(Equipment!$D$2:$D$153,MATCH(E123,Equipment!$A$2:$A$153,0))</f>
        <v>43</v>
      </c>
      <c r="AJ123" s="33" t="n">
        <f aca="false">INDEX(Equipment!$E$2:$E$153,MATCH(E123,Equipment!$A$2:$A$153,0))</f>
        <v>55</v>
      </c>
      <c r="AK123" s="33" t="n">
        <f aca="false">INDEX(Equipment!$F$2:$F$153,MATCH(E123,Equipment!$A$2:$A$153,0))</f>
        <v>0.5</v>
      </c>
      <c r="AL123" s="33" t="n">
        <f aca="false">INDEX(Equipment!$D$2:$D$153,MATCH(G123,Equipment!$A$2:$A$153,0))</f>
        <v>40</v>
      </c>
      <c r="AM123" s="33" t="n">
        <f aca="false">INDEX(Equipment!$E$2:$E$153,MATCH(G123,Equipment!$A$2:$A$153,0))</f>
        <v>55</v>
      </c>
      <c r="AN123" s="33" t="n">
        <f aca="false">INDEX(Equipment!$F$2:$F$153,MATCH(G123,Equipment!$A$2:$A$153,0))</f>
        <v>0.5</v>
      </c>
      <c r="AO123" s="33" t="n">
        <f aca="false">IF(INDEX(Raceways!$D$2:$D$18,MATCH(L123,Raceways!$A$2:$A$18,0))="",0,INDEX(Raceways!$D$2:$D$18,MATCH(L123,Raceways!$A$2:$A$18,0)))</f>
        <v>1</v>
      </c>
      <c r="AP123" s="34" t="n">
        <f aca="false">IF(INDEX(Raceways!$I$2:$I$18,MATCH(L123,Raceways!$A$2:$A$18,0))="","",INDEX(Raceways!$I$2:$I$18,MATCH(L123,Raceways!$A$2:$A$18,0)))</f>
        <v>0.88</v>
      </c>
      <c r="AQ123" s="27" t="n">
        <f aca="false">INDEX('Cable Types'!$D$2:$D$45,MATCH(I123,'Cable Types'!$A$2:$A$45,0))</f>
        <v>1</v>
      </c>
      <c r="AR123" s="27" t="n">
        <f aca="false">IF(INDEX('Cable Types'!$E$2:$E$45,MATCH(I123,'Cable Types'!$A$2:$A$45,0))="","",INDEX('Cable Types'!$E$2:$E$45,MATCH(I123,'Cable Types'!$A$2:$A$45,0)))</f>
        <v>28</v>
      </c>
      <c r="AS123" s="27" t="n">
        <f aca="false">IF(INDEX('Cable Types'!$F$2:$F$45,MATCH(I123,'Cable Types'!$A$2:$A$45,0))="","",INDEX('Cable Types'!$F$2:$F$45,MATCH(I123,'Cable Types'!$A$2:$A$45,0)))</f>
        <v>115</v>
      </c>
      <c r="AT123" s="35" t="n">
        <f aca="false">IF(INDEX('Cable Types'!$G$2:$G$45,MATCH(I123,'Cable Types'!$A$2:$A$45,0))="","",INDEX('Cable Types'!$G$2:$G$45,MATCH(I123,'Cable Types'!$A$2:$A$45,0)))</f>
        <v>1.273</v>
      </c>
    </row>
    <row r="124" customFormat="false" ht="15" hidden="false" customHeight="false" outlineLevel="0" collapsed="false">
      <c r="A124" s="26" t="s">
        <v>955</v>
      </c>
      <c r="B124" s="26" t="s">
        <v>139</v>
      </c>
      <c r="C124" s="26" t="s">
        <v>77</v>
      </c>
      <c r="D124" s="26" t="s">
        <v>956</v>
      </c>
      <c r="E124" s="26" t="s">
        <v>518</v>
      </c>
      <c r="F124" s="27" t="str">
        <f aca="false">INDEX(Equipment!$B$2:$B$153,MATCH(E124,Equipment!$A$2:$A$153,0))</f>
        <v>230 V AC UPS</v>
      </c>
      <c r="G124" s="26" t="s">
        <v>170</v>
      </c>
      <c r="H124" s="27" t="str">
        <f aca="false">INDEX(Equipment!$B$2:$B$153,MATCH(G124,Equipment!$A$2:$A$153,0))</f>
        <v>GT control panel (in PEECC)</v>
      </c>
      <c r="I124" s="26" t="s">
        <v>594</v>
      </c>
      <c r="J124" s="27" t="str">
        <f aca="false">INDEX('Cable Types'!$B$2:$B$45,MATCH(I124,'Cable Types'!$A$2:$A$45,0))</f>
        <v>600 V 2/C #2 AWG + G Cu XHHW-2, Type MC-HL, CCW Al armor (Armor-X type), PVC jkt</v>
      </c>
      <c r="K124" s="26" t="n">
        <v>1</v>
      </c>
      <c r="L124" s="26" t="s">
        <v>730</v>
      </c>
      <c r="M124" s="26" t="s">
        <v>703</v>
      </c>
      <c r="N124" s="26"/>
      <c r="O124" s="28" t="n">
        <f aca="false">IF(N124&lt;&gt;"",N124,IF(M124="D",ROUNDUP(SQRT((AL124-AI124)^2+(AM124-AJ124)^2+(AN124-AK124)^2)*(1+'Design Basis'!$C$6),0),ROUNDUP((ABS(AL124-AI124)+ABS(AM124-AJ124)+ABS(AO124-AK124)+ABS(AO124-AN124))*(1+'Design Basis'!$C$4)+2*'Design Basis'!$C$5,0)))</f>
        <v>87</v>
      </c>
      <c r="P124" s="28" t="n">
        <f aca="false">ROUND(O124*'Design Basis'!$C$10,0)</f>
        <v>285</v>
      </c>
      <c r="Q124" s="28" t="n">
        <f aca="false">O124*K124*AQ124</f>
        <v>87</v>
      </c>
      <c r="R124" s="28" t="n">
        <f aca="false">ROUND(Q124*'Design Basis'!$C$10,0)</f>
        <v>285</v>
      </c>
      <c r="S124" s="29" t="n">
        <v>208</v>
      </c>
      <c r="T124" s="26" t="n">
        <v>1</v>
      </c>
      <c r="U124" s="29" t="n">
        <v>5</v>
      </c>
      <c r="V124" s="30" t="n">
        <v>1</v>
      </c>
      <c r="W124" s="28" t="n">
        <f aca="false">IF(OR(U124="",S124=""),"",IF(T124=3,U124*1000/(SQRT(3)*S124*V124),U124*1000/(S124*V124)))</f>
        <v>24.0384615384615</v>
      </c>
      <c r="X124" s="30" t="n">
        <v>1.25</v>
      </c>
      <c r="Y124" s="28" t="n">
        <f aca="false">IF(W124="","",W124*IF(X124="",1,X124))</f>
        <v>30.0480769230769</v>
      </c>
      <c r="Z124" s="28" t="n">
        <f aca="false">IF(OR(AS124="",AP124=""),"",AS124*AP124)</f>
        <v>101.2</v>
      </c>
      <c r="AA124" s="28" t="n">
        <f aca="false">IF(Z124="","",Z124*K124)</f>
        <v>101.2</v>
      </c>
      <c r="AB124" s="31" t="n">
        <f aca="false">IF(OR(Y124="",AA124=""),"",Y124/AA124)</f>
        <v>0.296917756156887</v>
      </c>
      <c r="AC124" s="31" t="n">
        <f aca="false">IF(OR(W124="",AT124=""),"",AT124*(W124/K124)*O124/1000/S124)</f>
        <v>0.0127994406434911</v>
      </c>
      <c r="AD124" s="31" t="n">
        <f aca="false">IF(W124="","",IFERROR(IF(INDEX('Design Basis'!$C$13:$C$21,MATCH(C124,'Design Basis'!$A$13:$A$21,0))="","",INDEX('Design Basis'!$C$13:$C$21,MATCH(C124,'Design Basis'!$A$13:$A$21,0))),""))</f>
        <v>0.03</v>
      </c>
      <c r="AE124" s="32" t="str">
        <f aca="false">IF(W124="","n/a",IF(AA124="","CHECK",IF(AND(AB124&lt;=1,OR(AC124="",AD124="",AC124&lt;=AD124)),"OK","CHECK")))</f>
        <v>OK</v>
      </c>
      <c r="AF124" s="28" t="n">
        <f aca="false">IF(AR124="","",K124*AQ124*PI()/4*AR124^2)</f>
        <v>615.752160103599</v>
      </c>
      <c r="AG124" s="32"/>
      <c r="AI124" s="33" t="n">
        <f aca="false">INDEX(Equipment!$D$2:$D$153,MATCH(E124,Equipment!$A$2:$A$153,0))</f>
        <v>43</v>
      </c>
      <c r="AJ124" s="33" t="n">
        <f aca="false">INDEX(Equipment!$E$2:$E$153,MATCH(E124,Equipment!$A$2:$A$153,0))</f>
        <v>55</v>
      </c>
      <c r="AK124" s="33" t="n">
        <f aca="false">INDEX(Equipment!$F$2:$F$153,MATCH(E124,Equipment!$A$2:$A$153,0))</f>
        <v>0.5</v>
      </c>
      <c r="AL124" s="33" t="n">
        <f aca="false">INDEX(Equipment!$D$2:$D$153,MATCH(G124,Equipment!$A$2:$A$153,0))</f>
        <v>46</v>
      </c>
      <c r="AM124" s="33" t="n">
        <f aca="false">INDEX(Equipment!$E$2:$E$153,MATCH(G124,Equipment!$A$2:$A$153,0))</f>
        <v>-6</v>
      </c>
      <c r="AN124" s="33" t="n">
        <f aca="false">INDEX(Equipment!$F$2:$F$153,MATCH(G124,Equipment!$A$2:$A$153,0))</f>
        <v>0.5</v>
      </c>
      <c r="AO124" s="33" t="n">
        <f aca="false">IF(INDEX(Raceways!$D$2:$D$18,MATCH(L124,Raceways!$A$2:$A$18,0))="",0,INDEX(Raceways!$D$2:$D$18,MATCH(L124,Raceways!$A$2:$A$18,0)))</f>
        <v>5</v>
      </c>
      <c r="AP124" s="34" t="n">
        <f aca="false">IF(INDEX(Raceways!$I$2:$I$18,MATCH(L124,Raceways!$A$2:$A$18,0))="","",INDEX(Raceways!$I$2:$I$18,MATCH(L124,Raceways!$A$2:$A$18,0)))</f>
        <v>0.88</v>
      </c>
      <c r="AQ124" s="27" t="n">
        <f aca="false">INDEX('Cable Types'!$D$2:$D$45,MATCH(I124,'Cable Types'!$A$2:$A$45,0))</f>
        <v>1</v>
      </c>
      <c r="AR124" s="27" t="n">
        <f aca="false">IF(INDEX('Cable Types'!$E$2:$E$45,MATCH(I124,'Cable Types'!$A$2:$A$45,0))="","",INDEX('Cable Types'!$E$2:$E$45,MATCH(I124,'Cable Types'!$A$2:$A$45,0)))</f>
        <v>28</v>
      </c>
      <c r="AS124" s="27" t="n">
        <f aca="false">IF(INDEX('Cable Types'!$F$2:$F$45,MATCH(I124,'Cable Types'!$A$2:$A$45,0))="","",INDEX('Cable Types'!$F$2:$F$45,MATCH(I124,'Cable Types'!$A$2:$A$45,0)))</f>
        <v>115</v>
      </c>
      <c r="AT124" s="35" t="n">
        <f aca="false">IF(INDEX('Cable Types'!$G$2:$G$45,MATCH(I124,'Cable Types'!$A$2:$A$45,0))="","",INDEX('Cable Types'!$G$2:$G$45,MATCH(I124,'Cable Types'!$A$2:$A$45,0)))</f>
        <v>1.273</v>
      </c>
    </row>
    <row r="125" customFormat="false" ht="15" hidden="false" customHeight="false" outlineLevel="0" collapsed="false">
      <c r="A125" s="26" t="s">
        <v>957</v>
      </c>
      <c r="B125" s="26" t="s">
        <v>139</v>
      </c>
      <c r="C125" s="26" t="s">
        <v>77</v>
      </c>
      <c r="D125" s="26" t="s">
        <v>958</v>
      </c>
      <c r="E125" s="26" t="s">
        <v>518</v>
      </c>
      <c r="F125" s="27" t="str">
        <f aca="false">INDEX(Equipment!$B$2:$B$153,MATCH(E125,Equipment!$A$2:$A$153,0))</f>
        <v>230 V AC UPS</v>
      </c>
      <c r="G125" s="26" t="s">
        <v>212</v>
      </c>
      <c r="H125" s="27" t="str">
        <f aca="false">INDEX(Equipment!$B$2:$B$153,MATCH(G125,Equipment!$A$2:$A$153,0))</f>
        <v>ST control panel</v>
      </c>
      <c r="I125" s="26" t="s">
        <v>594</v>
      </c>
      <c r="J125" s="27" t="str">
        <f aca="false">INDEX('Cable Types'!$B$2:$B$45,MATCH(I125,'Cable Types'!$A$2:$A$45,0))</f>
        <v>600 V 2/C #2 AWG + G Cu XHHW-2, Type MC-HL, CCW Al armor (Armor-X type), PVC jkt</v>
      </c>
      <c r="K125" s="26" t="n">
        <v>1</v>
      </c>
      <c r="L125" s="26" t="s">
        <v>724</v>
      </c>
      <c r="M125" s="26" t="s">
        <v>703</v>
      </c>
      <c r="N125" s="26"/>
      <c r="O125" s="28" t="n">
        <f aca="false">IF(N125&lt;&gt;"",N125,IF(M125="D",ROUNDUP(SQRT((AL125-AI125)^2+(AM125-AJ125)^2+(AN125-AK125)^2)*(1+'Design Basis'!$C$6),0),ROUNDUP((ABS(AL125-AI125)+ABS(AM125-AJ125)+ABS(AO125-AK125)+ABS(AO125-AN125))*(1+'Design Basis'!$C$4)+2*'Design Basis'!$C$5,0)))</f>
        <v>79</v>
      </c>
      <c r="P125" s="28" t="n">
        <f aca="false">ROUND(O125*'Design Basis'!$C$10,0)</f>
        <v>259</v>
      </c>
      <c r="Q125" s="28" t="n">
        <f aca="false">O125*K125*AQ125</f>
        <v>79</v>
      </c>
      <c r="R125" s="28" t="n">
        <f aca="false">ROUND(Q125*'Design Basis'!$C$10,0)</f>
        <v>259</v>
      </c>
      <c r="S125" s="29" t="n">
        <v>208</v>
      </c>
      <c r="T125" s="26" t="n">
        <v>1</v>
      </c>
      <c r="U125" s="29" t="n">
        <v>5</v>
      </c>
      <c r="V125" s="30" t="n">
        <v>1</v>
      </c>
      <c r="W125" s="28" t="n">
        <f aca="false">IF(OR(U125="",S125=""),"",IF(T125=3,U125*1000/(SQRT(3)*S125*V125),U125*1000/(S125*V125)))</f>
        <v>24.0384615384615</v>
      </c>
      <c r="X125" s="30" t="n">
        <v>1.25</v>
      </c>
      <c r="Y125" s="28" t="n">
        <f aca="false">IF(W125="","",W125*IF(X125="",1,X125))</f>
        <v>30.0480769230769</v>
      </c>
      <c r="Z125" s="28" t="n">
        <f aca="false">IF(OR(AS125="",AP125=""),"",AS125*AP125)</f>
        <v>101.2</v>
      </c>
      <c r="AA125" s="28" t="n">
        <f aca="false">IF(Z125="","",Z125*K125)</f>
        <v>101.2</v>
      </c>
      <c r="AB125" s="31" t="n">
        <f aca="false">IF(OR(Y125="",AA125=""),"",Y125/AA125)</f>
        <v>0.296917756156887</v>
      </c>
      <c r="AC125" s="31" t="n">
        <f aca="false">IF(OR(W125="",AT125=""),"",AT125*(W125/K125)*O125/1000/S125)</f>
        <v>0.0116224805843195</v>
      </c>
      <c r="AD125" s="31" t="n">
        <f aca="false">IF(W125="","",IFERROR(IF(INDEX('Design Basis'!$C$13:$C$21,MATCH(C125,'Design Basis'!$A$13:$A$21,0))="","",INDEX('Design Basis'!$C$13:$C$21,MATCH(C125,'Design Basis'!$A$13:$A$21,0))),""))</f>
        <v>0.03</v>
      </c>
      <c r="AE125" s="32" t="str">
        <f aca="false">IF(W125="","n/a",IF(AA125="","CHECK",IF(AND(AB125&lt;=1,OR(AC125="",AD125="",AC125&lt;=AD125)),"OK","CHECK")))</f>
        <v>OK</v>
      </c>
      <c r="AF125" s="28" t="n">
        <f aca="false">IF(AR125="","",K125*AQ125*PI()/4*AR125^2)</f>
        <v>615.752160103599</v>
      </c>
      <c r="AG125" s="32"/>
      <c r="AI125" s="33" t="n">
        <f aca="false">INDEX(Equipment!$D$2:$D$153,MATCH(E125,Equipment!$A$2:$A$153,0))</f>
        <v>43</v>
      </c>
      <c r="AJ125" s="33" t="n">
        <f aca="false">INDEX(Equipment!$E$2:$E$153,MATCH(E125,Equipment!$A$2:$A$153,0))</f>
        <v>55</v>
      </c>
      <c r="AK125" s="33" t="n">
        <f aca="false">INDEX(Equipment!$F$2:$F$153,MATCH(E125,Equipment!$A$2:$A$153,0))</f>
        <v>0.5</v>
      </c>
      <c r="AL125" s="33" t="n">
        <f aca="false">INDEX(Equipment!$D$2:$D$153,MATCH(G125,Equipment!$A$2:$A$153,0))</f>
        <v>85</v>
      </c>
      <c r="AM125" s="33" t="n">
        <f aca="false">INDEX(Equipment!$E$2:$E$153,MATCH(G125,Equipment!$A$2:$A$153,0))</f>
        <v>40</v>
      </c>
      <c r="AN125" s="33" t="n">
        <f aca="false">INDEX(Equipment!$F$2:$F$153,MATCH(G125,Equipment!$A$2:$A$153,0))</f>
        <v>0.5</v>
      </c>
      <c r="AO125" s="33" t="n">
        <f aca="false">IF(INDEX(Raceways!$D$2:$D$18,MATCH(L125,Raceways!$A$2:$A$18,0))="",0,INDEX(Raceways!$D$2:$D$18,MATCH(L125,Raceways!$A$2:$A$18,0)))</f>
        <v>5</v>
      </c>
      <c r="AP125" s="34" t="n">
        <f aca="false">IF(INDEX(Raceways!$I$2:$I$18,MATCH(L125,Raceways!$A$2:$A$18,0))="","",INDEX(Raceways!$I$2:$I$18,MATCH(L125,Raceways!$A$2:$A$18,0)))</f>
        <v>0.88</v>
      </c>
      <c r="AQ125" s="27" t="n">
        <f aca="false">INDEX('Cable Types'!$D$2:$D$45,MATCH(I125,'Cable Types'!$A$2:$A$45,0))</f>
        <v>1</v>
      </c>
      <c r="AR125" s="27" t="n">
        <f aca="false">IF(INDEX('Cable Types'!$E$2:$E$45,MATCH(I125,'Cable Types'!$A$2:$A$45,0))="","",INDEX('Cable Types'!$E$2:$E$45,MATCH(I125,'Cable Types'!$A$2:$A$45,0)))</f>
        <v>28</v>
      </c>
      <c r="AS125" s="27" t="n">
        <f aca="false">IF(INDEX('Cable Types'!$F$2:$F$45,MATCH(I125,'Cable Types'!$A$2:$A$45,0))="","",INDEX('Cable Types'!$F$2:$F$45,MATCH(I125,'Cable Types'!$A$2:$A$45,0)))</f>
        <v>115</v>
      </c>
      <c r="AT125" s="35" t="n">
        <f aca="false">IF(INDEX('Cable Types'!$G$2:$G$45,MATCH(I125,'Cable Types'!$A$2:$A$45,0))="","",INDEX('Cable Types'!$G$2:$G$45,MATCH(I125,'Cable Types'!$A$2:$A$45,0)))</f>
        <v>1.273</v>
      </c>
    </row>
    <row r="126" customFormat="false" ht="15" hidden="false" customHeight="false" outlineLevel="0" collapsed="false">
      <c r="A126" s="26" t="s">
        <v>959</v>
      </c>
      <c r="B126" s="26" t="s">
        <v>139</v>
      </c>
      <c r="C126" s="26" t="s">
        <v>77</v>
      </c>
      <c r="D126" s="26" t="s">
        <v>960</v>
      </c>
      <c r="E126" s="26" t="s">
        <v>518</v>
      </c>
      <c r="F126" s="27" t="str">
        <f aca="false">INDEX(Equipment!$B$2:$B$153,MATCH(E126,Equipment!$A$2:$A$153,0))</f>
        <v>230 V AC UPS</v>
      </c>
      <c r="G126" s="26" t="s">
        <v>229</v>
      </c>
      <c r="H126" s="27" t="str">
        <f aca="false">INDEX(Equipment!$B$2:$B$153,MATCH(G126,Equipment!$A$2:$A$153,0))</f>
        <v>DCS remote I/O cabinet - power block</v>
      </c>
      <c r="I126" s="26" t="s">
        <v>592</v>
      </c>
      <c r="J126" s="27" t="str">
        <f aca="false">INDEX('Cable Types'!$B$2:$B$45,MATCH(I126,'Cable Types'!$A$2:$A$45,0))</f>
        <v>600 V 2/C #6 AWG + G Cu XHHW-2, Type MC-HL, CCW Al armor (Armor-X type), PVC jkt</v>
      </c>
      <c r="K126" s="26" t="n">
        <v>1</v>
      </c>
      <c r="L126" s="26" t="s">
        <v>730</v>
      </c>
      <c r="M126" s="26" t="s">
        <v>703</v>
      </c>
      <c r="N126" s="26"/>
      <c r="O126" s="28" t="n">
        <f aca="false">IF(N126&lt;&gt;"",N126,IF(M126="D",ROUNDUP(SQRT((AL126-AI126)^2+(AM126-AJ126)^2+(AN126-AK126)^2)*(1+'Design Basis'!$C$6),0),ROUNDUP((ABS(AL126-AI126)+ABS(AM126-AJ126)+ABS(AO126-AK126)+ABS(AO126-AN126))*(1+'Design Basis'!$C$4)+2*'Design Basis'!$C$5,0)))</f>
        <v>80</v>
      </c>
      <c r="P126" s="28" t="n">
        <f aca="false">ROUND(O126*'Design Basis'!$C$10,0)</f>
        <v>262</v>
      </c>
      <c r="Q126" s="28" t="n">
        <f aca="false">O126*K126*AQ126</f>
        <v>80</v>
      </c>
      <c r="R126" s="28" t="n">
        <f aca="false">ROUND(Q126*'Design Basis'!$C$10,0)</f>
        <v>262</v>
      </c>
      <c r="S126" s="29" t="n">
        <v>208</v>
      </c>
      <c r="T126" s="26" t="n">
        <v>1</v>
      </c>
      <c r="U126" s="29" t="n">
        <v>3</v>
      </c>
      <c r="V126" s="30" t="n">
        <v>1</v>
      </c>
      <c r="W126" s="28" t="n">
        <f aca="false">IF(OR(U126="",S126=""),"",IF(T126=3,U126*1000/(SQRT(3)*S126*V126),U126*1000/(S126*V126)))</f>
        <v>14.4230769230769</v>
      </c>
      <c r="X126" s="30" t="n">
        <v>1.25</v>
      </c>
      <c r="Y126" s="28" t="n">
        <f aca="false">IF(W126="","",W126*IF(X126="",1,X126))</f>
        <v>18.0288461538462</v>
      </c>
      <c r="Z126" s="28" t="n">
        <f aca="false">IF(OR(AS126="",AP126=""),"",AS126*AP126)</f>
        <v>57.2</v>
      </c>
      <c r="AA126" s="28" t="n">
        <f aca="false">IF(Z126="","",Z126*K126)</f>
        <v>57.2</v>
      </c>
      <c r="AB126" s="31" t="n">
        <f aca="false">IF(OR(Y126="",AA126=""),"",Y126/AA126)</f>
        <v>0.315189618074233</v>
      </c>
      <c r="AC126" s="31" t="n">
        <f aca="false">IF(OR(W126="",AT126=""),"",AT126*(W126/K126)*O126/1000/S126)</f>
        <v>0.0178735207100592</v>
      </c>
      <c r="AD126" s="31" t="n">
        <f aca="false">IF(W126="","",IFERROR(IF(INDEX('Design Basis'!$C$13:$C$21,MATCH(C126,'Design Basis'!$A$13:$A$21,0))="","",INDEX('Design Basis'!$C$13:$C$21,MATCH(C126,'Design Basis'!$A$13:$A$21,0))),""))</f>
        <v>0.03</v>
      </c>
      <c r="AE126" s="32" t="str">
        <f aca="false">IF(W126="","n/a",IF(AA126="","CHECK",IF(AND(AB126&lt;=1,OR(AC126="",AD126="",AC126&lt;=AD126)),"OK","CHECK")))</f>
        <v>OK</v>
      </c>
      <c r="AF126" s="28" t="n">
        <f aca="false">IF(AR126="","",K126*AQ126*PI()/4*AR126^2)</f>
        <v>380.132711084365</v>
      </c>
      <c r="AG126" s="32"/>
      <c r="AI126" s="33" t="n">
        <f aca="false">INDEX(Equipment!$D$2:$D$153,MATCH(E126,Equipment!$A$2:$A$153,0))</f>
        <v>43</v>
      </c>
      <c r="AJ126" s="33" t="n">
        <f aca="false">INDEX(Equipment!$E$2:$E$153,MATCH(E126,Equipment!$A$2:$A$153,0))</f>
        <v>55</v>
      </c>
      <c r="AK126" s="33" t="n">
        <f aca="false">INDEX(Equipment!$F$2:$F$153,MATCH(E126,Equipment!$A$2:$A$153,0))</f>
        <v>0.5</v>
      </c>
      <c r="AL126" s="33" t="n">
        <f aca="false">INDEX(Equipment!$D$2:$D$153,MATCH(G126,Equipment!$A$2:$A$153,0))</f>
        <v>68</v>
      </c>
      <c r="AM126" s="33" t="n">
        <f aca="false">INDEX(Equipment!$E$2:$E$153,MATCH(G126,Equipment!$A$2:$A$153,0))</f>
        <v>22</v>
      </c>
      <c r="AN126" s="33" t="n">
        <f aca="false">INDEX(Equipment!$F$2:$F$153,MATCH(G126,Equipment!$A$2:$A$153,0))</f>
        <v>0.5</v>
      </c>
      <c r="AO126" s="33" t="n">
        <f aca="false">IF(INDEX(Raceways!$D$2:$D$18,MATCH(L126,Raceways!$A$2:$A$18,0))="",0,INDEX(Raceways!$D$2:$D$18,MATCH(L126,Raceways!$A$2:$A$18,0)))</f>
        <v>5</v>
      </c>
      <c r="AP126" s="34" t="n">
        <f aca="false">IF(INDEX(Raceways!$I$2:$I$18,MATCH(L126,Raceways!$A$2:$A$18,0))="","",INDEX(Raceways!$I$2:$I$18,MATCH(L126,Raceways!$A$2:$A$18,0)))</f>
        <v>0.88</v>
      </c>
      <c r="AQ126" s="27" t="n">
        <f aca="false">INDEX('Cable Types'!$D$2:$D$45,MATCH(I126,'Cable Types'!$A$2:$A$45,0))</f>
        <v>1</v>
      </c>
      <c r="AR126" s="27" t="n">
        <f aca="false">IF(INDEX('Cable Types'!$E$2:$E$45,MATCH(I126,'Cable Types'!$A$2:$A$45,0))="","",INDEX('Cable Types'!$E$2:$E$45,MATCH(I126,'Cable Types'!$A$2:$A$45,0)))</f>
        <v>22</v>
      </c>
      <c r="AS126" s="27" t="n">
        <f aca="false">IF(INDEX('Cable Types'!$F$2:$F$45,MATCH(I126,'Cable Types'!$A$2:$A$45,0))="","",INDEX('Cable Types'!$F$2:$F$45,MATCH(I126,'Cable Types'!$A$2:$A$45,0)))</f>
        <v>65</v>
      </c>
      <c r="AT126" s="35" t="n">
        <f aca="false">IF(INDEX('Cable Types'!$G$2:$G$45,MATCH(I126,'Cable Types'!$A$2:$A$45,0))="","",INDEX('Cable Types'!$G$2:$G$45,MATCH(I126,'Cable Types'!$A$2:$A$45,0)))</f>
        <v>3.222</v>
      </c>
    </row>
    <row r="127" customFormat="false" ht="15" hidden="false" customHeight="false" outlineLevel="0" collapsed="false">
      <c r="A127" s="26" t="s">
        <v>961</v>
      </c>
      <c r="B127" s="26" t="s">
        <v>336</v>
      </c>
      <c r="C127" s="26" t="s">
        <v>77</v>
      </c>
      <c r="D127" s="26" t="s">
        <v>962</v>
      </c>
      <c r="E127" s="26" t="s">
        <v>518</v>
      </c>
      <c r="F127" s="27" t="str">
        <f aca="false">INDEX(Equipment!$B$2:$B$153,MATCH(E127,Equipment!$A$2:$A$153,0))</f>
        <v>230 V AC UPS</v>
      </c>
      <c r="G127" s="26" t="s">
        <v>343</v>
      </c>
      <c r="H127" s="27" t="str">
        <f aca="false">INDEX(Equipment!$B$2:$B$153,MATCH(G127,Equipment!$A$2:$A$153,0))</f>
        <v>DCS remote I/O cabinet - CCS</v>
      </c>
      <c r="I127" s="26" t="s">
        <v>594</v>
      </c>
      <c r="J127" s="27" t="str">
        <f aca="false">INDEX('Cable Types'!$B$2:$B$45,MATCH(I127,'Cable Types'!$A$2:$A$45,0))</f>
        <v>600 V 2/C #2 AWG + G Cu XHHW-2, Type MC-HL, CCW Al armor (Armor-X type), PVC jkt</v>
      </c>
      <c r="K127" s="26" t="n">
        <v>1</v>
      </c>
      <c r="L127" s="26" t="s">
        <v>724</v>
      </c>
      <c r="M127" s="26" t="s">
        <v>703</v>
      </c>
      <c r="N127" s="26"/>
      <c r="O127" s="28" t="n">
        <f aca="false">IF(N127&lt;&gt;"",N127,IF(M127="D",ROUNDUP(SQRT((AL127-AI127)^2+(AM127-AJ127)^2+(AN127-AK127)^2)*(1+'Design Basis'!$C$6),0),ROUNDUP((ABS(AL127-AI127)+ABS(AM127-AJ127)+ABS(AO127-AK127)+ABS(AO127-AN127))*(1+'Design Basis'!$C$4)+2*'Design Basis'!$C$5,0)))</f>
        <v>164</v>
      </c>
      <c r="P127" s="28" t="n">
        <f aca="false">ROUND(O127*'Design Basis'!$C$10,0)</f>
        <v>538</v>
      </c>
      <c r="Q127" s="28" t="n">
        <f aca="false">O127*K127*AQ127</f>
        <v>164</v>
      </c>
      <c r="R127" s="28" t="n">
        <f aca="false">ROUND(Q127*'Design Basis'!$C$10,0)</f>
        <v>538</v>
      </c>
      <c r="S127" s="29" t="n">
        <v>208</v>
      </c>
      <c r="T127" s="26" t="n">
        <v>1</v>
      </c>
      <c r="U127" s="29" t="n">
        <v>5</v>
      </c>
      <c r="V127" s="30" t="n">
        <v>1</v>
      </c>
      <c r="W127" s="28" t="n">
        <f aca="false">IF(OR(U127="",S127=""),"",IF(T127=3,U127*1000/(SQRT(3)*S127*V127),U127*1000/(S127*V127)))</f>
        <v>24.0384615384615</v>
      </c>
      <c r="X127" s="30" t="n">
        <v>1.25</v>
      </c>
      <c r="Y127" s="28" t="n">
        <f aca="false">IF(W127="","",W127*IF(X127="",1,X127))</f>
        <v>30.0480769230769</v>
      </c>
      <c r="Z127" s="28" t="n">
        <f aca="false">IF(OR(AS127="",AP127=""),"",AS127*AP127)</f>
        <v>101.2</v>
      </c>
      <c r="AA127" s="28" t="n">
        <f aca="false">IF(Z127="","",Z127*K127)</f>
        <v>101.2</v>
      </c>
      <c r="AB127" s="31" t="n">
        <f aca="false">IF(OR(Y127="",AA127=""),"",Y127/AA127)</f>
        <v>0.296917756156887</v>
      </c>
      <c r="AC127" s="31" t="n">
        <f aca="false">IF(OR(W127="",AT127=""),"",AT127*(W127/K127)*O127/1000/S127)</f>
        <v>0.0241276812130178</v>
      </c>
      <c r="AD127" s="31" t="n">
        <f aca="false">IF(W127="","",IFERROR(IF(INDEX('Design Basis'!$C$13:$C$21,MATCH(C127,'Design Basis'!$A$13:$A$21,0))="","",INDEX('Design Basis'!$C$13:$C$21,MATCH(C127,'Design Basis'!$A$13:$A$21,0))),""))</f>
        <v>0.03</v>
      </c>
      <c r="AE127" s="32" t="str">
        <f aca="false">IF(W127="","n/a",IF(AA127="","CHECK",IF(AND(AB127&lt;=1,OR(AC127="",AD127="",AC127&lt;=AD127)),"OK","CHECK")))</f>
        <v>OK</v>
      </c>
      <c r="AF127" s="28" t="n">
        <f aca="false">IF(AR127="","",K127*AQ127*PI()/4*AR127^2)</f>
        <v>615.752160103599</v>
      </c>
      <c r="AG127" s="32"/>
      <c r="AI127" s="33" t="n">
        <f aca="false">INDEX(Equipment!$D$2:$D$153,MATCH(E127,Equipment!$A$2:$A$153,0))</f>
        <v>43</v>
      </c>
      <c r="AJ127" s="33" t="n">
        <f aca="false">INDEX(Equipment!$E$2:$E$153,MATCH(E127,Equipment!$A$2:$A$153,0))</f>
        <v>55</v>
      </c>
      <c r="AK127" s="33" t="n">
        <f aca="false">INDEX(Equipment!$F$2:$F$153,MATCH(E127,Equipment!$A$2:$A$153,0))</f>
        <v>0.5</v>
      </c>
      <c r="AL127" s="33" t="n">
        <f aca="false">INDEX(Equipment!$D$2:$D$153,MATCH(G127,Equipment!$A$2:$A$153,0))</f>
        <v>174</v>
      </c>
      <c r="AM127" s="33" t="n">
        <f aca="false">INDEX(Equipment!$E$2:$E$153,MATCH(G127,Equipment!$A$2:$A$153,0))</f>
        <v>58</v>
      </c>
      <c r="AN127" s="33" t="n">
        <f aca="false">INDEX(Equipment!$F$2:$F$153,MATCH(G127,Equipment!$A$2:$A$153,0))</f>
        <v>0.5</v>
      </c>
      <c r="AO127" s="33" t="n">
        <f aca="false">IF(INDEX(Raceways!$D$2:$D$18,MATCH(L127,Raceways!$A$2:$A$18,0))="",0,INDEX(Raceways!$D$2:$D$18,MATCH(L127,Raceways!$A$2:$A$18,0)))</f>
        <v>5</v>
      </c>
      <c r="AP127" s="34" t="n">
        <f aca="false">IF(INDEX(Raceways!$I$2:$I$18,MATCH(L127,Raceways!$A$2:$A$18,0))="","",INDEX(Raceways!$I$2:$I$18,MATCH(L127,Raceways!$A$2:$A$18,0)))</f>
        <v>0.88</v>
      </c>
      <c r="AQ127" s="27" t="n">
        <f aca="false">INDEX('Cable Types'!$D$2:$D$45,MATCH(I127,'Cable Types'!$A$2:$A$45,0))</f>
        <v>1</v>
      </c>
      <c r="AR127" s="27" t="n">
        <f aca="false">IF(INDEX('Cable Types'!$E$2:$E$45,MATCH(I127,'Cable Types'!$A$2:$A$45,0))="","",INDEX('Cable Types'!$E$2:$E$45,MATCH(I127,'Cable Types'!$A$2:$A$45,0)))</f>
        <v>28</v>
      </c>
      <c r="AS127" s="27" t="n">
        <f aca="false">IF(INDEX('Cable Types'!$F$2:$F$45,MATCH(I127,'Cable Types'!$A$2:$A$45,0))="","",INDEX('Cable Types'!$F$2:$F$45,MATCH(I127,'Cable Types'!$A$2:$A$45,0)))</f>
        <v>115</v>
      </c>
      <c r="AT127" s="35" t="n">
        <f aca="false">IF(INDEX('Cable Types'!$G$2:$G$45,MATCH(I127,'Cable Types'!$A$2:$A$45,0))="","",INDEX('Cable Types'!$G$2:$G$45,MATCH(I127,'Cable Types'!$A$2:$A$45,0)))</f>
        <v>1.273</v>
      </c>
    </row>
    <row r="128" customFormat="false" ht="15" hidden="false" customHeight="false" outlineLevel="0" collapsed="false">
      <c r="A128" s="26" t="s">
        <v>963</v>
      </c>
      <c r="B128" s="26" t="s">
        <v>449</v>
      </c>
      <c r="C128" s="26" t="s">
        <v>77</v>
      </c>
      <c r="D128" s="26" t="s">
        <v>964</v>
      </c>
      <c r="E128" s="26" t="s">
        <v>518</v>
      </c>
      <c r="F128" s="27" t="str">
        <f aca="false">INDEX(Equipment!$B$2:$B$153,MATCH(E128,Equipment!$A$2:$A$153,0))</f>
        <v>230 V AC UPS</v>
      </c>
      <c r="G128" s="26" t="s">
        <v>476</v>
      </c>
      <c r="H128" s="27" t="str">
        <f aca="false">INDEX(Equipment!$B$2:$B$153,MATCH(G128,Equipment!$A$2:$A$153,0))</f>
        <v>DCS remote I/O cabinet - gas station (shelter)</v>
      </c>
      <c r="I128" s="26" t="s">
        <v>594</v>
      </c>
      <c r="J128" s="27" t="str">
        <f aca="false">INDEX('Cable Types'!$B$2:$B$45,MATCH(I128,'Cable Types'!$A$2:$A$45,0))</f>
        <v>600 V 2/C #2 AWG + G Cu XHHW-2, Type MC-HL, CCW Al armor (Armor-X type), PVC jkt</v>
      </c>
      <c r="K128" s="26" t="n">
        <v>1</v>
      </c>
      <c r="L128" s="26" t="s">
        <v>750</v>
      </c>
      <c r="M128" s="26" t="s">
        <v>703</v>
      </c>
      <c r="N128" s="26"/>
      <c r="O128" s="28" t="n">
        <f aca="false">IF(N128&lt;&gt;"",N128,IF(M128="D",ROUNDUP(SQRT((AL128-AI128)^2+(AM128-AJ128)^2+(AN128-AK128)^2)*(1+'Design Basis'!$C$6),0),ROUNDUP((ABS(AL128-AI128)+ABS(AM128-AJ128)+ABS(AO128-AK128)+ABS(AO128-AN128))*(1+'Design Basis'!$C$4)+2*'Design Basis'!$C$5,0)))</f>
        <v>131</v>
      </c>
      <c r="P128" s="28" t="n">
        <f aca="false">ROUND(O128*'Design Basis'!$C$10,0)</f>
        <v>430</v>
      </c>
      <c r="Q128" s="28" t="n">
        <f aca="false">O128*K128*AQ128</f>
        <v>131</v>
      </c>
      <c r="R128" s="28" t="n">
        <f aca="false">ROUND(Q128*'Design Basis'!$C$10,0)</f>
        <v>430</v>
      </c>
      <c r="S128" s="29" t="n">
        <v>208</v>
      </c>
      <c r="T128" s="26" t="n">
        <v>1</v>
      </c>
      <c r="U128" s="29" t="n">
        <v>3</v>
      </c>
      <c r="V128" s="30" t="n">
        <v>1</v>
      </c>
      <c r="W128" s="28" t="n">
        <f aca="false">IF(OR(U128="",S128=""),"",IF(T128=3,U128*1000/(SQRT(3)*S128*V128),U128*1000/(S128*V128)))</f>
        <v>14.4230769230769</v>
      </c>
      <c r="X128" s="30" t="n">
        <v>1.25</v>
      </c>
      <c r="Y128" s="28" t="n">
        <f aca="false">IF(W128="","",W128*IF(X128="",1,X128))</f>
        <v>18.0288461538462</v>
      </c>
      <c r="Z128" s="28" t="n">
        <f aca="false">IF(OR(AS128="",AP128=""),"",AS128*AP128)</f>
        <v>101.2</v>
      </c>
      <c r="AA128" s="28" t="n">
        <f aca="false">IF(Z128="","",Z128*K128)</f>
        <v>101.2</v>
      </c>
      <c r="AB128" s="31" t="n">
        <f aca="false">IF(OR(Y128="",AA128=""),"",Y128/AA128)</f>
        <v>0.178150653694132</v>
      </c>
      <c r="AC128" s="31" t="n">
        <f aca="false">IF(OR(W128="",AT128=""),"",AT128*(W128/K128)*O128/1000/S128)</f>
        <v>0.0115636325813609</v>
      </c>
      <c r="AD128" s="31" t="n">
        <f aca="false">IF(W128="","",IFERROR(IF(INDEX('Design Basis'!$C$13:$C$21,MATCH(C128,'Design Basis'!$A$13:$A$21,0))="","",INDEX('Design Basis'!$C$13:$C$21,MATCH(C128,'Design Basis'!$A$13:$A$21,0))),""))</f>
        <v>0.03</v>
      </c>
      <c r="AE128" s="32" t="str">
        <f aca="false">IF(W128="","n/a",IF(AA128="","CHECK",IF(AND(AB128&lt;=1,OR(AC128="",AD128="",AC128&lt;=AD128)),"OK","CHECK")))</f>
        <v>OK</v>
      </c>
      <c r="AF128" s="28" t="n">
        <f aca="false">IF(AR128="","",K128*AQ128*PI()/4*AR128^2)</f>
        <v>615.752160103599</v>
      </c>
      <c r="AG128" s="32"/>
      <c r="AI128" s="33" t="n">
        <f aca="false">INDEX(Equipment!$D$2:$D$153,MATCH(E128,Equipment!$A$2:$A$153,0))</f>
        <v>43</v>
      </c>
      <c r="AJ128" s="33" t="n">
        <f aca="false">INDEX(Equipment!$E$2:$E$153,MATCH(E128,Equipment!$A$2:$A$153,0))</f>
        <v>55</v>
      </c>
      <c r="AK128" s="33" t="n">
        <f aca="false">INDEX(Equipment!$F$2:$F$153,MATCH(E128,Equipment!$A$2:$A$153,0))</f>
        <v>0.5</v>
      </c>
      <c r="AL128" s="33" t="n">
        <f aca="false">INDEX(Equipment!$D$2:$D$153,MATCH(G128,Equipment!$A$2:$A$153,0))</f>
        <v>-18</v>
      </c>
      <c r="AM128" s="33" t="n">
        <f aca="false">INDEX(Equipment!$E$2:$E$153,MATCH(G128,Equipment!$A$2:$A$153,0))</f>
        <v>12</v>
      </c>
      <c r="AN128" s="33" t="n">
        <f aca="false">INDEX(Equipment!$F$2:$F$153,MATCH(G128,Equipment!$A$2:$A$153,0))</f>
        <v>0.5</v>
      </c>
      <c r="AO128" s="33" t="n">
        <f aca="false">IF(INDEX(Raceways!$D$2:$D$18,MATCH(L128,Raceways!$A$2:$A$18,0))="",0,INDEX(Raceways!$D$2:$D$18,MATCH(L128,Raceways!$A$2:$A$18,0)))</f>
        <v>5</v>
      </c>
      <c r="AP128" s="34" t="n">
        <f aca="false">IF(INDEX(Raceways!$I$2:$I$18,MATCH(L128,Raceways!$A$2:$A$18,0))="","",INDEX(Raceways!$I$2:$I$18,MATCH(L128,Raceways!$A$2:$A$18,0)))</f>
        <v>0.88</v>
      </c>
      <c r="AQ128" s="27" t="n">
        <f aca="false">INDEX('Cable Types'!$D$2:$D$45,MATCH(I128,'Cable Types'!$A$2:$A$45,0))</f>
        <v>1</v>
      </c>
      <c r="AR128" s="27" t="n">
        <f aca="false">IF(INDEX('Cable Types'!$E$2:$E$45,MATCH(I128,'Cable Types'!$A$2:$A$45,0))="","",INDEX('Cable Types'!$E$2:$E$45,MATCH(I128,'Cable Types'!$A$2:$A$45,0)))</f>
        <v>28</v>
      </c>
      <c r="AS128" s="27" t="n">
        <f aca="false">IF(INDEX('Cable Types'!$F$2:$F$45,MATCH(I128,'Cable Types'!$A$2:$A$45,0))="","",INDEX('Cable Types'!$F$2:$F$45,MATCH(I128,'Cable Types'!$A$2:$A$45,0)))</f>
        <v>115</v>
      </c>
      <c r="AT128" s="35" t="n">
        <f aca="false">IF(INDEX('Cable Types'!$G$2:$G$45,MATCH(I128,'Cable Types'!$A$2:$A$45,0))="","",INDEX('Cable Types'!$G$2:$G$45,MATCH(I128,'Cable Types'!$A$2:$A$45,0)))</f>
        <v>1.273</v>
      </c>
    </row>
    <row r="129" customFormat="false" ht="15" hidden="false" customHeight="false" outlineLevel="0" collapsed="false">
      <c r="A129" s="26" t="s">
        <v>965</v>
      </c>
      <c r="B129" s="26" t="s">
        <v>108</v>
      </c>
      <c r="C129" s="26" t="s">
        <v>80</v>
      </c>
      <c r="D129" s="26" t="s">
        <v>966</v>
      </c>
      <c r="E129" s="26" t="s">
        <v>106</v>
      </c>
      <c r="F129" s="27" t="str">
        <f aca="false">INDEX(Equipment!$B$2:$B$153,MATCH(E129,Equipment!$A$2:$A$153,0))</f>
        <v>230 kV bay 1 - RICE transformer bay (gantry dead-end)</v>
      </c>
      <c r="G129" s="26" t="s">
        <v>128</v>
      </c>
      <c r="H129" s="27" t="str">
        <f aca="false">INDEX(Equipment!$B$2:$B$153,MATCH(G129,Equipment!$A$2:$A$153,0))</f>
        <v>Switchyard relay &amp; control building</v>
      </c>
      <c r="I129" s="26" t="s">
        <v>603</v>
      </c>
      <c r="J129" s="27" t="str">
        <f aca="false">INDEX('Cable Types'!$B$2:$B$45,MATCH(I129,'Cable Types'!$A$2:$A$45,0))</f>
        <v>600 V 25/C #14 AWG Cu XHHW-2 control, Type MC-HL, CCW Al armor (Armor-X type), PVC jkt</v>
      </c>
      <c r="K129" s="26" t="n">
        <v>2</v>
      </c>
      <c r="L129" s="26" t="s">
        <v>967</v>
      </c>
      <c r="M129" s="26" t="s">
        <v>703</v>
      </c>
      <c r="N129" s="26"/>
      <c r="O129" s="28" t="n">
        <f aca="false">IF(N129&lt;&gt;"",N129,IF(M129="D",ROUNDUP(SQRT((AL129-AI129)^2+(AM129-AJ129)^2+(AN129-AK129)^2)*(1+'Design Basis'!$C$6),0),ROUNDUP((ABS(AL129-AI129)+ABS(AM129-AJ129)+ABS(AO129-AK129)+ABS(AO129-AN129))*(1+'Design Basis'!$C$4)+2*'Design Basis'!$C$5,0)))</f>
        <v>116</v>
      </c>
      <c r="P129" s="28" t="n">
        <f aca="false">ROUND(O129*'Design Basis'!$C$10,0)</f>
        <v>381</v>
      </c>
      <c r="Q129" s="28" t="n">
        <f aca="false">O129*K129*AQ129</f>
        <v>232</v>
      </c>
      <c r="R129" s="28" t="n">
        <f aca="false">ROUND(Q129*'Design Basis'!$C$10,0)</f>
        <v>761</v>
      </c>
      <c r="S129" s="29"/>
      <c r="T129" s="26"/>
      <c r="U129" s="29"/>
      <c r="V129" s="30"/>
      <c r="W129" s="28" t="str">
        <f aca="false">IF(OR(U129="",S129=""),"",IF(T129=3,U129*1000/(SQRT(3)*S129*V129),U129*1000/(S129*V129)))</f>
        <v/>
      </c>
      <c r="X129" s="30"/>
      <c r="Y129" s="28" t="str">
        <f aca="false">IF(W129="","",W129*IF(X129="",1,X129))</f>
        <v/>
      </c>
      <c r="Z129" s="28" t="str">
        <f aca="false">IF(OR(AS129="",AP129=""),"",AS129*AP129)</f>
        <v/>
      </c>
      <c r="AA129" s="28" t="str">
        <f aca="false">IF(Z129="","",Z129*K129)</f>
        <v/>
      </c>
      <c r="AB129" s="31" t="str">
        <f aca="false">IF(OR(Y129="",AA129=""),"",Y129/AA129)</f>
        <v/>
      </c>
      <c r="AC129" s="31" t="str">
        <f aca="false">IF(OR(W129="",AT129=""),"",AT129*(W129/K129)*O129/1000/S129)</f>
        <v/>
      </c>
      <c r="AD129" s="31" t="str">
        <f aca="false">IF(W129="","",IFERROR(IF(INDEX('Design Basis'!$C$13:$C$21,MATCH(C129,'Design Basis'!$A$13:$A$21,0))="","",INDEX('Design Basis'!$C$13:$C$21,MATCH(C129,'Design Basis'!$A$13:$A$21,0))),""))</f>
        <v/>
      </c>
      <c r="AE129" s="32" t="str">
        <f aca="false">IF(W129="","n/a",IF(AA129="","CHECK",IF(AND(AB129&lt;=1,OR(AC129="",AD129="",AC129&lt;=AD129)),"OK","CHECK")))</f>
        <v>n/a</v>
      </c>
      <c r="AF129" s="28" t="n">
        <f aca="false">IF(AR129="","",K129*AQ129*PI()/4*AR129^2)</f>
        <v>1145.11052223348</v>
      </c>
      <c r="AG129" s="32"/>
      <c r="AI129" s="33" t="n">
        <f aca="false">INDEX(Equipment!$D$2:$D$153,MATCH(E129,Equipment!$A$2:$A$153,0))</f>
        <v>20</v>
      </c>
      <c r="AJ129" s="33" t="n">
        <f aca="false">INDEX(Equipment!$E$2:$E$153,MATCH(E129,Equipment!$A$2:$A$153,0))</f>
        <v>137.5</v>
      </c>
      <c r="AK129" s="33" t="n">
        <f aca="false">INDEX(Equipment!$F$2:$F$153,MATCH(E129,Equipment!$A$2:$A$153,0))</f>
        <v>12.5</v>
      </c>
      <c r="AL129" s="33" t="n">
        <f aca="false">INDEX(Equipment!$D$2:$D$153,MATCH(G129,Equipment!$A$2:$A$153,0))</f>
        <v>95</v>
      </c>
      <c r="AM129" s="33" t="n">
        <f aca="false">INDEX(Equipment!$E$2:$E$153,MATCH(G129,Equipment!$A$2:$A$153,0))</f>
        <v>128</v>
      </c>
      <c r="AN129" s="33" t="n">
        <f aca="false">INDEX(Equipment!$F$2:$F$153,MATCH(G129,Equipment!$A$2:$A$153,0))</f>
        <v>0.5</v>
      </c>
      <c r="AO129" s="33" t="n">
        <f aca="false">IF(INDEX(Raceways!$D$2:$D$18,MATCH(L129,Raceways!$A$2:$A$18,0))="",0,INDEX(Raceways!$D$2:$D$18,MATCH(L129,Raceways!$A$2:$A$18,0)))</f>
        <v>-0.8</v>
      </c>
      <c r="AP129" s="34" t="n">
        <f aca="false">IF(INDEX(Raceways!$I$2:$I$18,MATCH(L129,Raceways!$A$2:$A$18,0))="","",INDEX(Raceways!$I$2:$I$18,MATCH(L129,Raceways!$A$2:$A$18,0)))</f>
        <v>0.88</v>
      </c>
      <c r="AQ129" s="27" t="n">
        <f aca="false">INDEX('Cable Types'!$D$2:$D$45,MATCH(I129,'Cable Types'!$A$2:$A$45,0))</f>
        <v>1</v>
      </c>
      <c r="AR129" s="27" t="n">
        <f aca="false">IF(INDEX('Cable Types'!$E$2:$E$45,MATCH(I129,'Cable Types'!$A$2:$A$45,0))="","",INDEX('Cable Types'!$E$2:$E$45,MATCH(I129,'Cable Types'!$A$2:$A$45,0)))</f>
        <v>27</v>
      </c>
      <c r="AS129" s="27" t="str">
        <f aca="false">IF(INDEX('Cable Types'!$F$2:$F$45,MATCH(I129,'Cable Types'!$A$2:$A$45,0))="","",INDEX('Cable Types'!$F$2:$F$45,MATCH(I129,'Cable Types'!$A$2:$A$45,0)))</f>
        <v/>
      </c>
      <c r="AT129" s="35" t="str">
        <f aca="false">IF(INDEX('Cable Types'!$G$2:$G$45,MATCH(I129,'Cable Types'!$A$2:$A$45,0))="","",INDEX('Cable Types'!$G$2:$G$45,MATCH(I129,'Cable Types'!$A$2:$A$45,0)))</f>
        <v/>
      </c>
    </row>
    <row r="130" customFormat="false" ht="15" hidden="false" customHeight="false" outlineLevel="0" collapsed="false">
      <c r="A130" s="26" t="s">
        <v>968</v>
      </c>
      <c r="B130" s="26" t="s">
        <v>108</v>
      </c>
      <c r="C130" s="26" t="s">
        <v>80</v>
      </c>
      <c r="D130" s="26" t="s">
        <v>969</v>
      </c>
      <c r="E130" s="26" t="s">
        <v>106</v>
      </c>
      <c r="F130" s="27" t="str">
        <f aca="false">INDEX(Equipment!$B$2:$B$153,MATCH(E130,Equipment!$A$2:$A$153,0))</f>
        <v>230 kV bay 1 - RICE transformer bay (gantry dead-end)</v>
      </c>
      <c r="G130" s="26" t="s">
        <v>128</v>
      </c>
      <c r="H130" s="27" t="str">
        <f aca="false">INDEX(Equipment!$B$2:$B$153,MATCH(G130,Equipment!$A$2:$A$153,0))</f>
        <v>Switchyard relay &amp; control building</v>
      </c>
      <c r="I130" s="26" t="s">
        <v>605</v>
      </c>
      <c r="J130" s="27" t="str">
        <f aca="false">INDEX('Cable Types'!$B$2:$B$45,MATCH(I130,'Cable Types'!$A$2:$A$45,0))</f>
        <v>600 V 12/C #10 AWG Cu XHHW-2 control (CT circuits), Type MC-HL, CCW Al armor (Armor-X type), PVC jkt</v>
      </c>
      <c r="K130" s="26" t="n">
        <v>2</v>
      </c>
      <c r="L130" s="26" t="s">
        <v>967</v>
      </c>
      <c r="M130" s="26" t="s">
        <v>703</v>
      </c>
      <c r="N130" s="26"/>
      <c r="O130" s="28" t="n">
        <f aca="false">IF(N130&lt;&gt;"",N130,IF(M130="D",ROUNDUP(SQRT((AL130-AI130)^2+(AM130-AJ130)^2+(AN130-AK130)^2)*(1+'Design Basis'!$C$6),0),ROUNDUP((ABS(AL130-AI130)+ABS(AM130-AJ130)+ABS(AO130-AK130)+ABS(AO130-AN130))*(1+'Design Basis'!$C$4)+2*'Design Basis'!$C$5,0)))</f>
        <v>116</v>
      </c>
      <c r="P130" s="28" t="n">
        <f aca="false">ROUND(O130*'Design Basis'!$C$10,0)</f>
        <v>381</v>
      </c>
      <c r="Q130" s="28" t="n">
        <f aca="false">O130*K130*AQ130</f>
        <v>232</v>
      </c>
      <c r="R130" s="28" t="n">
        <f aca="false">ROUND(Q130*'Design Basis'!$C$10,0)</f>
        <v>761</v>
      </c>
      <c r="S130" s="29"/>
      <c r="T130" s="26"/>
      <c r="U130" s="29"/>
      <c r="V130" s="30"/>
      <c r="W130" s="28" t="str">
        <f aca="false">IF(OR(U130="",S130=""),"",IF(T130=3,U130*1000/(SQRT(3)*S130*V130),U130*1000/(S130*V130)))</f>
        <v/>
      </c>
      <c r="X130" s="30"/>
      <c r="Y130" s="28" t="str">
        <f aca="false">IF(W130="","",W130*IF(X130="",1,X130))</f>
        <v/>
      </c>
      <c r="Z130" s="28" t="str">
        <f aca="false">IF(OR(AS130="",AP130=""),"",AS130*AP130)</f>
        <v/>
      </c>
      <c r="AA130" s="28" t="str">
        <f aca="false">IF(Z130="","",Z130*K130)</f>
        <v/>
      </c>
      <c r="AB130" s="31" t="str">
        <f aca="false">IF(OR(Y130="",AA130=""),"",Y130/AA130)</f>
        <v/>
      </c>
      <c r="AC130" s="31" t="str">
        <f aca="false">IF(OR(W130="",AT130=""),"",AT130*(W130/K130)*O130/1000/S130)</f>
        <v/>
      </c>
      <c r="AD130" s="31" t="str">
        <f aca="false">IF(W130="","",IFERROR(IF(INDEX('Design Basis'!$C$13:$C$21,MATCH(C130,'Design Basis'!$A$13:$A$21,0))="","",INDEX('Design Basis'!$C$13:$C$21,MATCH(C130,'Design Basis'!$A$13:$A$21,0))),""))</f>
        <v/>
      </c>
      <c r="AE130" s="32" t="str">
        <f aca="false">IF(W130="","n/a",IF(AA130="","CHECK",IF(AND(AB130&lt;=1,OR(AC130="",AD130="",AC130&lt;=AD130)),"OK","CHECK")))</f>
        <v>n/a</v>
      </c>
      <c r="AF130" s="28" t="n">
        <f aca="false">IF(AR130="","",K130*AQ130*PI()/4*AR130^2)</f>
        <v>1145.11052223348</v>
      </c>
      <c r="AG130" s="32" t="s">
        <v>970</v>
      </c>
      <c r="AI130" s="33" t="n">
        <f aca="false">INDEX(Equipment!$D$2:$D$153,MATCH(E130,Equipment!$A$2:$A$153,0))</f>
        <v>20</v>
      </c>
      <c r="AJ130" s="33" t="n">
        <f aca="false">INDEX(Equipment!$E$2:$E$153,MATCH(E130,Equipment!$A$2:$A$153,0))</f>
        <v>137.5</v>
      </c>
      <c r="AK130" s="33" t="n">
        <f aca="false">INDEX(Equipment!$F$2:$F$153,MATCH(E130,Equipment!$A$2:$A$153,0))</f>
        <v>12.5</v>
      </c>
      <c r="AL130" s="33" t="n">
        <f aca="false">INDEX(Equipment!$D$2:$D$153,MATCH(G130,Equipment!$A$2:$A$153,0))</f>
        <v>95</v>
      </c>
      <c r="AM130" s="33" t="n">
        <f aca="false">INDEX(Equipment!$E$2:$E$153,MATCH(G130,Equipment!$A$2:$A$153,0))</f>
        <v>128</v>
      </c>
      <c r="AN130" s="33" t="n">
        <f aca="false">INDEX(Equipment!$F$2:$F$153,MATCH(G130,Equipment!$A$2:$A$153,0))</f>
        <v>0.5</v>
      </c>
      <c r="AO130" s="33" t="n">
        <f aca="false">IF(INDEX(Raceways!$D$2:$D$18,MATCH(L130,Raceways!$A$2:$A$18,0))="",0,INDEX(Raceways!$D$2:$D$18,MATCH(L130,Raceways!$A$2:$A$18,0)))</f>
        <v>-0.8</v>
      </c>
      <c r="AP130" s="34" t="n">
        <f aca="false">IF(INDEX(Raceways!$I$2:$I$18,MATCH(L130,Raceways!$A$2:$A$18,0))="","",INDEX(Raceways!$I$2:$I$18,MATCH(L130,Raceways!$A$2:$A$18,0)))</f>
        <v>0.88</v>
      </c>
      <c r="AQ130" s="27" t="n">
        <f aca="false">INDEX('Cable Types'!$D$2:$D$45,MATCH(I130,'Cable Types'!$A$2:$A$45,0))</f>
        <v>1</v>
      </c>
      <c r="AR130" s="27" t="n">
        <f aca="false">IF(INDEX('Cable Types'!$E$2:$E$45,MATCH(I130,'Cable Types'!$A$2:$A$45,0))="","",INDEX('Cable Types'!$E$2:$E$45,MATCH(I130,'Cable Types'!$A$2:$A$45,0)))</f>
        <v>27</v>
      </c>
      <c r="AS130" s="27" t="str">
        <f aca="false">IF(INDEX('Cable Types'!$F$2:$F$45,MATCH(I130,'Cable Types'!$A$2:$A$45,0))="","",INDEX('Cable Types'!$F$2:$F$45,MATCH(I130,'Cable Types'!$A$2:$A$45,0)))</f>
        <v/>
      </c>
      <c r="AT130" s="35" t="str">
        <f aca="false">IF(INDEX('Cable Types'!$G$2:$G$45,MATCH(I130,'Cable Types'!$A$2:$A$45,0))="","",INDEX('Cable Types'!$G$2:$G$45,MATCH(I130,'Cable Types'!$A$2:$A$45,0)))</f>
        <v/>
      </c>
    </row>
    <row r="131" customFormat="false" ht="15" hidden="false" customHeight="false" outlineLevel="0" collapsed="false">
      <c r="A131" s="26" t="s">
        <v>971</v>
      </c>
      <c r="B131" s="26" t="s">
        <v>108</v>
      </c>
      <c r="C131" s="26" t="s">
        <v>80</v>
      </c>
      <c r="D131" s="26" t="s">
        <v>972</v>
      </c>
      <c r="E131" s="26" t="s">
        <v>110</v>
      </c>
      <c r="F131" s="27" t="str">
        <f aca="false">INDEX(Equipment!$B$2:$B$153,MATCH(E131,Equipment!$A$2:$A$153,0))</f>
        <v>230 kV bay 2 - bus coupler (gantry dead-end)</v>
      </c>
      <c r="G131" s="26" t="s">
        <v>128</v>
      </c>
      <c r="H131" s="27" t="str">
        <f aca="false">INDEX(Equipment!$B$2:$B$153,MATCH(G131,Equipment!$A$2:$A$153,0))</f>
        <v>Switchyard relay &amp; control building</v>
      </c>
      <c r="I131" s="26" t="s">
        <v>603</v>
      </c>
      <c r="J131" s="27" t="str">
        <f aca="false">INDEX('Cable Types'!$B$2:$B$45,MATCH(I131,'Cable Types'!$A$2:$A$45,0))</f>
        <v>600 V 25/C #14 AWG Cu XHHW-2 control, Type MC-HL, CCW Al armor (Armor-X type), PVC jkt</v>
      </c>
      <c r="K131" s="26" t="n">
        <v>2</v>
      </c>
      <c r="L131" s="26" t="s">
        <v>967</v>
      </c>
      <c r="M131" s="26" t="s">
        <v>703</v>
      </c>
      <c r="N131" s="26"/>
      <c r="O131" s="28" t="n">
        <f aca="false">IF(N131&lt;&gt;"",N131,IF(M131="D",ROUNDUP(SQRT((AL131-AI131)^2+(AM131-AJ131)^2+(AN131-AK131)^2)*(1+'Design Basis'!$C$6),0),ROUNDUP((ABS(AL131-AI131)+ABS(AM131-AJ131)+ABS(AO131-AK131)+ABS(AO131-AN131))*(1+'Design Basis'!$C$4)+2*'Design Basis'!$C$5,0)))</f>
        <v>94</v>
      </c>
      <c r="P131" s="28" t="n">
        <f aca="false">ROUND(O131*'Design Basis'!$C$10,0)</f>
        <v>308</v>
      </c>
      <c r="Q131" s="28" t="n">
        <f aca="false">O131*K131*AQ131</f>
        <v>188</v>
      </c>
      <c r="R131" s="28" t="n">
        <f aca="false">ROUND(Q131*'Design Basis'!$C$10,0)</f>
        <v>617</v>
      </c>
      <c r="S131" s="29"/>
      <c r="T131" s="26"/>
      <c r="U131" s="29"/>
      <c r="V131" s="30"/>
      <c r="W131" s="28" t="str">
        <f aca="false">IF(OR(U131="",S131=""),"",IF(T131=3,U131*1000/(SQRT(3)*S131*V131),U131*1000/(S131*V131)))</f>
        <v/>
      </c>
      <c r="X131" s="30"/>
      <c r="Y131" s="28" t="str">
        <f aca="false">IF(W131="","",W131*IF(X131="",1,X131))</f>
        <v/>
      </c>
      <c r="Z131" s="28" t="str">
        <f aca="false">IF(OR(AS131="",AP131=""),"",AS131*AP131)</f>
        <v/>
      </c>
      <c r="AA131" s="28" t="str">
        <f aca="false">IF(Z131="","",Z131*K131)</f>
        <v/>
      </c>
      <c r="AB131" s="31" t="str">
        <f aca="false">IF(OR(Y131="",AA131=""),"",Y131/AA131)</f>
        <v/>
      </c>
      <c r="AC131" s="31" t="str">
        <f aca="false">IF(OR(W131="",AT131=""),"",AT131*(W131/K131)*O131/1000/S131)</f>
        <v/>
      </c>
      <c r="AD131" s="31" t="str">
        <f aca="false">IF(W131="","",IFERROR(IF(INDEX('Design Basis'!$C$13:$C$21,MATCH(C131,'Design Basis'!$A$13:$A$21,0))="","",INDEX('Design Basis'!$C$13:$C$21,MATCH(C131,'Design Basis'!$A$13:$A$21,0))),""))</f>
        <v/>
      </c>
      <c r="AE131" s="32" t="str">
        <f aca="false">IF(W131="","n/a",IF(AA131="","CHECK",IF(AND(AB131&lt;=1,OR(AC131="",AD131="",AC131&lt;=AD131)),"OK","CHECK")))</f>
        <v>n/a</v>
      </c>
      <c r="AF131" s="28" t="n">
        <f aca="false">IF(AR131="","",K131*AQ131*PI()/4*AR131^2)</f>
        <v>1145.11052223348</v>
      </c>
      <c r="AG131" s="32"/>
      <c r="AI131" s="33" t="n">
        <f aca="false">INDEX(Equipment!$D$2:$D$153,MATCH(E131,Equipment!$A$2:$A$153,0))</f>
        <v>40</v>
      </c>
      <c r="AJ131" s="33" t="n">
        <f aca="false">INDEX(Equipment!$E$2:$E$153,MATCH(E131,Equipment!$A$2:$A$153,0))</f>
        <v>137.5</v>
      </c>
      <c r="AK131" s="33" t="n">
        <f aca="false">INDEX(Equipment!$F$2:$F$153,MATCH(E131,Equipment!$A$2:$A$153,0))</f>
        <v>12.5</v>
      </c>
      <c r="AL131" s="33" t="n">
        <f aca="false">INDEX(Equipment!$D$2:$D$153,MATCH(G131,Equipment!$A$2:$A$153,0))</f>
        <v>95</v>
      </c>
      <c r="AM131" s="33" t="n">
        <f aca="false">INDEX(Equipment!$E$2:$E$153,MATCH(G131,Equipment!$A$2:$A$153,0))</f>
        <v>128</v>
      </c>
      <c r="AN131" s="33" t="n">
        <f aca="false">INDEX(Equipment!$F$2:$F$153,MATCH(G131,Equipment!$A$2:$A$153,0))</f>
        <v>0.5</v>
      </c>
      <c r="AO131" s="33" t="n">
        <f aca="false">IF(INDEX(Raceways!$D$2:$D$18,MATCH(L131,Raceways!$A$2:$A$18,0))="",0,INDEX(Raceways!$D$2:$D$18,MATCH(L131,Raceways!$A$2:$A$18,0)))</f>
        <v>-0.8</v>
      </c>
      <c r="AP131" s="34" t="n">
        <f aca="false">IF(INDEX(Raceways!$I$2:$I$18,MATCH(L131,Raceways!$A$2:$A$18,0))="","",INDEX(Raceways!$I$2:$I$18,MATCH(L131,Raceways!$A$2:$A$18,0)))</f>
        <v>0.88</v>
      </c>
      <c r="AQ131" s="27" t="n">
        <f aca="false">INDEX('Cable Types'!$D$2:$D$45,MATCH(I131,'Cable Types'!$A$2:$A$45,0))</f>
        <v>1</v>
      </c>
      <c r="AR131" s="27" t="n">
        <f aca="false">IF(INDEX('Cable Types'!$E$2:$E$45,MATCH(I131,'Cable Types'!$A$2:$A$45,0))="","",INDEX('Cable Types'!$E$2:$E$45,MATCH(I131,'Cable Types'!$A$2:$A$45,0)))</f>
        <v>27</v>
      </c>
      <c r="AS131" s="27" t="str">
        <f aca="false">IF(INDEX('Cable Types'!$F$2:$F$45,MATCH(I131,'Cable Types'!$A$2:$A$45,0))="","",INDEX('Cable Types'!$F$2:$F$45,MATCH(I131,'Cable Types'!$A$2:$A$45,0)))</f>
        <v/>
      </c>
      <c r="AT131" s="35" t="str">
        <f aca="false">IF(INDEX('Cable Types'!$G$2:$G$45,MATCH(I131,'Cable Types'!$A$2:$A$45,0))="","",INDEX('Cable Types'!$G$2:$G$45,MATCH(I131,'Cable Types'!$A$2:$A$45,0)))</f>
        <v/>
      </c>
    </row>
    <row r="132" customFormat="false" ht="15" hidden="false" customHeight="false" outlineLevel="0" collapsed="false">
      <c r="A132" s="26" t="s">
        <v>973</v>
      </c>
      <c r="B132" s="26" t="s">
        <v>108</v>
      </c>
      <c r="C132" s="26" t="s">
        <v>80</v>
      </c>
      <c r="D132" s="26" t="s">
        <v>974</v>
      </c>
      <c r="E132" s="26" t="s">
        <v>110</v>
      </c>
      <c r="F132" s="27" t="str">
        <f aca="false">INDEX(Equipment!$B$2:$B$153,MATCH(E132,Equipment!$A$2:$A$153,0))</f>
        <v>230 kV bay 2 - bus coupler (gantry dead-end)</v>
      </c>
      <c r="G132" s="26" t="s">
        <v>128</v>
      </c>
      <c r="H132" s="27" t="str">
        <f aca="false">INDEX(Equipment!$B$2:$B$153,MATCH(G132,Equipment!$A$2:$A$153,0))</f>
        <v>Switchyard relay &amp; control building</v>
      </c>
      <c r="I132" s="26" t="s">
        <v>605</v>
      </c>
      <c r="J132" s="27" t="str">
        <f aca="false">INDEX('Cable Types'!$B$2:$B$45,MATCH(I132,'Cable Types'!$A$2:$A$45,0))</f>
        <v>600 V 12/C #10 AWG Cu XHHW-2 control (CT circuits), Type MC-HL, CCW Al armor (Armor-X type), PVC jkt</v>
      </c>
      <c r="K132" s="26" t="n">
        <v>2</v>
      </c>
      <c r="L132" s="26" t="s">
        <v>967</v>
      </c>
      <c r="M132" s="26" t="s">
        <v>703</v>
      </c>
      <c r="N132" s="26"/>
      <c r="O132" s="28" t="n">
        <f aca="false">IF(N132&lt;&gt;"",N132,IF(M132="D",ROUNDUP(SQRT((AL132-AI132)^2+(AM132-AJ132)^2+(AN132-AK132)^2)*(1+'Design Basis'!$C$6),0),ROUNDUP((ABS(AL132-AI132)+ABS(AM132-AJ132)+ABS(AO132-AK132)+ABS(AO132-AN132))*(1+'Design Basis'!$C$4)+2*'Design Basis'!$C$5,0)))</f>
        <v>94</v>
      </c>
      <c r="P132" s="28" t="n">
        <f aca="false">ROUND(O132*'Design Basis'!$C$10,0)</f>
        <v>308</v>
      </c>
      <c r="Q132" s="28" t="n">
        <f aca="false">O132*K132*AQ132</f>
        <v>188</v>
      </c>
      <c r="R132" s="28" t="n">
        <f aca="false">ROUND(Q132*'Design Basis'!$C$10,0)</f>
        <v>617</v>
      </c>
      <c r="S132" s="29"/>
      <c r="T132" s="26"/>
      <c r="U132" s="29"/>
      <c r="V132" s="30"/>
      <c r="W132" s="28" t="str">
        <f aca="false">IF(OR(U132="",S132=""),"",IF(T132=3,U132*1000/(SQRT(3)*S132*V132),U132*1000/(S132*V132)))</f>
        <v/>
      </c>
      <c r="X132" s="30"/>
      <c r="Y132" s="28" t="str">
        <f aca="false">IF(W132="","",W132*IF(X132="",1,X132))</f>
        <v/>
      </c>
      <c r="Z132" s="28" t="str">
        <f aca="false">IF(OR(AS132="",AP132=""),"",AS132*AP132)</f>
        <v/>
      </c>
      <c r="AA132" s="28" t="str">
        <f aca="false">IF(Z132="","",Z132*K132)</f>
        <v/>
      </c>
      <c r="AB132" s="31" t="str">
        <f aca="false">IF(OR(Y132="",AA132=""),"",Y132/AA132)</f>
        <v/>
      </c>
      <c r="AC132" s="31" t="str">
        <f aca="false">IF(OR(W132="",AT132=""),"",AT132*(W132/K132)*O132/1000/S132)</f>
        <v/>
      </c>
      <c r="AD132" s="31" t="str">
        <f aca="false">IF(W132="","",IFERROR(IF(INDEX('Design Basis'!$C$13:$C$21,MATCH(C132,'Design Basis'!$A$13:$A$21,0))="","",INDEX('Design Basis'!$C$13:$C$21,MATCH(C132,'Design Basis'!$A$13:$A$21,0))),""))</f>
        <v/>
      </c>
      <c r="AE132" s="32" t="str">
        <f aca="false">IF(W132="","n/a",IF(AA132="","CHECK",IF(AND(AB132&lt;=1,OR(AC132="",AD132="",AC132&lt;=AD132)),"OK","CHECK")))</f>
        <v>n/a</v>
      </c>
      <c r="AF132" s="28" t="n">
        <f aca="false">IF(AR132="","",K132*AQ132*PI()/4*AR132^2)</f>
        <v>1145.11052223348</v>
      </c>
      <c r="AG132" s="32" t="s">
        <v>970</v>
      </c>
      <c r="AI132" s="33" t="n">
        <f aca="false">INDEX(Equipment!$D$2:$D$153,MATCH(E132,Equipment!$A$2:$A$153,0))</f>
        <v>40</v>
      </c>
      <c r="AJ132" s="33" t="n">
        <f aca="false">INDEX(Equipment!$E$2:$E$153,MATCH(E132,Equipment!$A$2:$A$153,0))</f>
        <v>137.5</v>
      </c>
      <c r="AK132" s="33" t="n">
        <f aca="false">INDEX(Equipment!$F$2:$F$153,MATCH(E132,Equipment!$A$2:$A$153,0))</f>
        <v>12.5</v>
      </c>
      <c r="AL132" s="33" t="n">
        <f aca="false">INDEX(Equipment!$D$2:$D$153,MATCH(G132,Equipment!$A$2:$A$153,0))</f>
        <v>95</v>
      </c>
      <c r="AM132" s="33" t="n">
        <f aca="false">INDEX(Equipment!$E$2:$E$153,MATCH(G132,Equipment!$A$2:$A$153,0))</f>
        <v>128</v>
      </c>
      <c r="AN132" s="33" t="n">
        <f aca="false">INDEX(Equipment!$F$2:$F$153,MATCH(G132,Equipment!$A$2:$A$153,0))</f>
        <v>0.5</v>
      </c>
      <c r="AO132" s="33" t="n">
        <f aca="false">IF(INDEX(Raceways!$D$2:$D$18,MATCH(L132,Raceways!$A$2:$A$18,0))="",0,INDEX(Raceways!$D$2:$D$18,MATCH(L132,Raceways!$A$2:$A$18,0)))</f>
        <v>-0.8</v>
      </c>
      <c r="AP132" s="34" t="n">
        <f aca="false">IF(INDEX(Raceways!$I$2:$I$18,MATCH(L132,Raceways!$A$2:$A$18,0))="","",INDEX(Raceways!$I$2:$I$18,MATCH(L132,Raceways!$A$2:$A$18,0)))</f>
        <v>0.88</v>
      </c>
      <c r="AQ132" s="27" t="n">
        <f aca="false">INDEX('Cable Types'!$D$2:$D$45,MATCH(I132,'Cable Types'!$A$2:$A$45,0))</f>
        <v>1</v>
      </c>
      <c r="AR132" s="27" t="n">
        <f aca="false">IF(INDEX('Cable Types'!$E$2:$E$45,MATCH(I132,'Cable Types'!$A$2:$A$45,0))="","",INDEX('Cable Types'!$E$2:$E$45,MATCH(I132,'Cable Types'!$A$2:$A$45,0)))</f>
        <v>27</v>
      </c>
      <c r="AS132" s="27" t="str">
        <f aca="false">IF(INDEX('Cable Types'!$F$2:$F$45,MATCH(I132,'Cable Types'!$A$2:$A$45,0))="","",INDEX('Cable Types'!$F$2:$F$45,MATCH(I132,'Cable Types'!$A$2:$A$45,0)))</f>
        <v/>
      </c>
      <c r="AT132" s="35" t="str">
        <f aca="false">IF(INDEX('Cable Types'!$G$2:$G$45,MATCH(I132,'Cable Types'!$A$2:$A$45,0))="","",INDEX('Cable Types'!$G$2:$G$45,MATCH(I132,'Cable Types'!$A$2:$A$45,0)))</f>
        <v/>
      </c>
    </row>
    <row r="133" customFormat="false" ht="15" hidden="false" customHeight="false" outlineLevel="0" collapsed="false">
      <c r="A133" s="26" t="s">
        <v>975</v>
      </c>
      <c r="B133" s="26" t="s">
        <v>108</v>
      </c>
      <c r="C133" s="26" t="s">
        <v>80</v>
      </c>
      <c r="D133" s="26" t="s">
        <v>976</v>
      </c>
      <c r="E133" s="26" t="s">
        <v>113</v>
      </c>
      <c r="F133" s="27" t="str">
        <f aca="false">INDEX(Equipment!$B$2:$B$153,MATCH(E133,Equipment!$A$2:$A$153,0))</f>
        <v>230 kV bay 3 - GT generator bay (gantry dead-end)</v>
      </c>
      <c r="G133" s="26" t="s">
        <v>128</v>
      </c>
      <c r="H133" s="27" t="str">
        <f aca="false">INDEX(Equipment!$B$2:$B$153,MATCH(G133,Equipment!$A$2:$A$153,0))</f>
        <v>Switchyard relay &amp; control building</v>
      </c>
      <c r="I133" s="26" t="s">
        <v>603</v>
      </c>
      <c r="J133" s="27" t="str">
        <f aca="false">INDEX('Cable Types'!$B$2:$B$45,MATCH(I133,'Cable Types'!$A$2:$A$45,0))</f>
        <v>600 V 25/C #14 AWG Cu XHHW-2 control, Type MC-HL, CCW Al armor (Armor-X type), PVC jkt</v>
      </c>
      <c r="K133" s="26" t="n">
        <v>2</v>
      </c>
      <c r="L133" s="26" t="s">
        <v>967</v>
      </c>
      <c r="M133" s="26" t="s">
        <v>703</v>
      </c>
      <c r="N133" s="26"/>
      <c r="O133" s="28" t="n">
        <f aca="false">IF(N133&lt;&gt;"",N133,IF(M133="D",ROUNDUP(SQRT((AL133-AI133)^2+(AM133-AJ133)^2+(AN133-AK133)^2)*(1+'Design Basis'!$C$6),0),ROUNDUP((ABS(AL133-AI133)+ABS(AM133-AJ133)+ABS(AO133-AK133)+ABS(AO133-AN133))*(1+'Design Basis'!$C$4)+2*'Design Basis'!$C$5,0)))</f>
        <v>72</v>
      </c>
      <c r="P133" s="28" t="n">
        <f aca="false">ROUND(O133*'Design Basis'!$C$10,0)</f>
        <v>236</v>
      </c>
      <c r="Q133" s="28" t="n">
        <f aca="false">O133*K133*AQ133</f>
        <v>144</v>
      </c>
      <c r="R133" s="28" t="n">
        <f aca="false">ROUND(Q133*'Design Basis'!$C$10,0)</f>
        <v>472</v>
      </c>
      <c r="S133" s="29"/>
      <c r="T133" s="26"/>
      <c r="U133" s="29"/>
      <c r="V133" s="30"/>
      <c r="W133" s="28" t="str">
        <f aca="false">IF(OR(U133="",S133=""),"",IF(T133=3,U133*1000/(SQRT(3)*S133*V133),U133*1000/(S133*V133)))</f>
        <v/>
      </c>
      <c r="X133" s="30"/>
      <c r="Y133" s="28" t="str">
        <f aca="false">IF(W133="","",W133*IF(X133="",1,X133))</f>
        <v/>
      </c>
      <c r="Z133" s="28" t="str">
        <f aca="false">IF(OR(AS133="",AP133=""),"",AS133*AP133)</f>
        <v/>
      </c>
      <c r="AA133" s="28" t="str">
        <f aca="false">IF(Z133="","",Z133*K133)</f>
        <v/>
      </c>
      <c r="AB133" s="31" t="str">
        <f aca="false">IF(OR(Y133="",AA133=""),"",Y133/AA133)</f>
        <v/>
      </c>
      <c r="AC133" s="31" t="str">
        <f aca="false">IF(OR(W133="",AT133=""),"",AT133*(W133/K133)*O133/1000/S133)</f>
        <v/>
      </c>
      <c r="AD133" s="31" t="str">
        <f aca="false">IF(W133="","",IFERROR(IF(INDEX('Design Basis'!$C$13:$C$21,MATCH(C133,'Design Basis'!$A$13:$A$21,0))="","",INDEX('Design Basis'!$C$13:$C$21,MATCH(C133,'Design Basis'!$A$13:$A$21,0))),""))</f>
        <v/>
      </c>
      <c r="AE133" s="32" t="str">
        <f aca="false">IF(W133="","n/a",IF(AA133="","CHECK",IF(AND(AB133&lt;=1,OR(AC133="",AD133="",AC133&lt;=AD133)),"OK","CHECK")))</f>
        <v>n/a</v>
      </c>
      <c r="AF133" s="28" t="n">
        <f aca="false">IF(AR133="","",K133*AQ133*PI()/4*AR133^2)</f>
        <v>1145.11052223348</v>
      </c>
      <c r="AG133" s="32"/>
      <c r="AI133" s="33" t="n">
        <f aca="false">INDEX(Equipment!$D$2:$D$153,MATCH(E133,Equipment!$A$2:$A$153,0))</f>
        <v>60</v>
      </c>
      <c r="AJ133" s="33" t="n">
        <f aca="false">INDEX(Equipment!$E$2:$E$153,MATCH(E133,Equipment!$A$2:$A$153,0))</f>
        <v>137.5</v>
      </c>
      <c r="AK133" s="33" t="n">
        <f aca="false">INDEX(Equipment!$F$2:$F$153,MATCH(E133,Equipment!$A$2:$A$153,0))</f>
        <v>12.5</v>
      </c>
      <c r="AL133" s="33" t="n">
        <f aca="false">INDEX(Equipment!$D$2:$D$153,MATCH(G133,Equipment!$A$2:$A$153,0))</f>
        <v>95</v>
      </c>
      <c r="AM133" s="33" t="n">
        <f aca="false">INDEX(Equipment!$E$2:$E$153,MATCH(G133,Equipment!$A$2:$A$153,0))</f>
        <v>128</v>
      </c>
      <c r="AN133" s="33" t="n">
        <f aca="false">INDEX(Equipment!$F$2:$F$153,MATCH(G133,Equipment!$A$2:$A$153,0))</f>
        <v>0.5</v>
      </c>
      <c r="AO133" s="33" t="n">
        <f aca="false">IF(INDEX(Raceways!$D$2:$D$18,MATCH(L133,Raceways!$A$2:$A$18,0))="",0,INDEX(Raceways!$D$2:$D$18,MATCH(L133,Raceways!$A$2:$A$18,0)))</f>
        <v>-0.8</v>
      </c>
      <c r="AP133" s="34" t="n">
        <f aca="false">IF(INDEX(Raceways!$I$2:$I$18,MATCH(L133,Raceways!$A$2:$A$18,0))="","",INDEX(Raceways!$I$2:$I$18,MATCH(L133,Raceways!$A$2:$A$18,0)))</f>
        <v>0.88</v>
      </c>
      <c r="AQ133" s="27" t="n">
        <f aca="false">INDEX('Cable Types'!$D$2:$D$45,MATCH(I133,'Cable Types'!$A$2:$A$45,0))</f>
        <v>1</v>
      </c>
      <c r="AR133" s="27" t="n">
        <f aca="false">IF(INDEX('Cable Types'!$E$2:$E$45,MATCH(I133,'Cable Types'!$A$2:$A$45,0))="","",INDEX('Cable Types'!$E$2:$E$45,MATCH(I133,'Cable Types'!$A$2:$A$45,0)))</f>
        <v>27</v>
      </c>
      <c r="AS133" s="27" t="str">
        <f aca="false">IF(INDEX('Cable Types'!$F$2:$F$45,MATCH(I133,'Cable Types'!$A$2:$A$45,0))="","",INDEX('Cable Types'!$F$2:$F$45,MATCH(I133,'Cable Types'!$A$2:$A$45,0)))</f>
        <v/>
      </c>
      <c r="AT133" s="35" t="str">
        <f aca="false">IF(INDEX('Cable Types'!$G$2:$G$45,MATCH(I133,'Cable Types'!$A$2:$A$45,0))="","",INDEX('Cable Types'!$G$2:$G$45,MATCH(I133,'Cable Types'!$A$2:$A$45,0)))</f>
        <v/>
      </c>
    </row>
    <row r="134" customFormat="false" ht="15" hidden="false" customHeight="false" outlineLevel="0" collapsed="false">
      <c r="A134" s="26" t="s">
        <v>977</v>
      </c>
      <c r="B134" s="26" t="s">
        <v>108</v>
      </c>
      <c r="C134" s="26" t="s">
        <v>80</v>
      </c>
      <c r="D134" s="26" t="s">
        <v>978</v>
      </c>
      <c r="E134" s="26" t="s">
        <v>113</v>
      </c>
      <c r="F134" s="27" t="str">
        <f aca="false">INDEX(Equipment!$B$2:$B$153,MATCH(E134,Equipment!$A$2:$A$153,0))</f>
        <v>230 kV bay 3 - GT generator bay (gantry dead-end)</v>
      </c>
      <c r="G134" s="26" t="s">
        <v>128</v>
      </c>
      <c r="H134" s="27" t="str">
        <f aca="false">INDEX(Equipment!$B$2:$B$153,MATCH(G134,Equipment!$A$2:$A$153,0))</f>
        <v>Switchyard relay &amp; control building</v>
      </c>
      <c r="I134" s="26" t="s">
        <v>605</v>
      </c>
      <c r="J134" s="27" t="str">
        <f aca="false">INDEX('Cable Types'!$B$2:$B$45,MATCH(I134,'Cable Types'!$A$2:$A$45,0))</f>
        <v>600 V 12/C #10 AWG Cu XHHW-2 control (CT circuits), Type MC-HL, CCW Al armor (Armor-X type), PVC jkt</v>
      </c>
      <c r="K134" s="26" t="n">
        <v>2</v>
      </c>
      <c r="L134" s="26" t="s">
        <v>967</v>
      </c>
      <c r="M134" s="26" t="s">
        <v>703</v>
      </c>
      <c r="N134" s="26"/>
      <c r="O134" s="28" t="n">
        <f aca="false">IF(N134&lt;&gt;"",N134,IF(M134="D",ROUNDUP(SQRT((AL134-AI134)^2+(AM134-AJ134)^2+(AN134-AK134)^2)*(1+'Design Basis'!$C$6),0),ROUNDUP((ABS(AL134-AI134)+ABS(AM134-AJ134)+ABS(AO134-AK134)+ABS(AO134-AN134))*(1+'Design Basis'!$C$4)+2*'Design Basis'!$C$5,0)))</f>
        <v>72</v>
      </c>
      <c r="P134" s="28" t="n">
        <f aca="false">ROUND(O134*'Design Basis'!$C$10,0)</f>
        <v>236</v>
      </c>
      <c r="Q134" s="28" t="n">
        <f aca="false">O134*K134*AQ134</f>
        <v>144</v>
      </c>
      <c r="R134" s="28" t="n">
        <f aca="false">ROUND(Q134*'Design Basis'!$C$10,0)</f>
        <v>472</v>
      </c>
      <c r="S134" s="29"/>
      <c r="T134" s="26"/>
      <c r="U134" s="29"/>
      <c r="V134" s="30"/>
      <c r="W134" s="28" t="str">
        <f aca="false">IF(OR(U134="",S134=""),"",IF(T134=3,U134*1000/(SQRT(3)*S134*V134),U134*1000/(S134*V134)))</f>
        <v/>
      </c>
      <c r="X134" s="30"/>
      <c r="Y134" s="28" t="str">
        <f aca="false">IF(W134="","",W134*IF(X134="",1,X134))</f>
        <v/>
      </c>
      <c r="Z134" s="28" t="str">
        <f aca="false">IF(OR(AS134="",AP134=""),"",AS134*AP134)</f>
        <v/>
      </c>
      <c r="AA134" s="28" t="str">
        <f aca="false">IF(Z134="","",Z134*K134)</f>
        <v/>
      </c>
      <c r="AB134" s="31" t="str">
        <f aca="false">IF(OR(Y134="",AA134=""),"",Y134/AA134)</f>
        <v/>
      </c>
      <c r="AC134" s="31" t="str">
        <f aca="false">IF(OR(W134="",AT134=""),"",AT134*(W134/K134)*O134/1000/S134)</f>
        <v/>
      </c>
      <c r="AD134" s="31" t="str">
        <f aca="false">IF(W134="","",IFERROR(IF(INDEX('Design Basis'!$C$13:$C$21,MATCH(C134,'Design Basis'!$A$13:$A$21,0))="","",INDEX('Design Basis'!$C$13:$C$21,MATCH(C134,'Design Basis'!$A$13:$A$21,0))),""))</f>
        <v/>
      </c>
      <c r="AE134" s="32" t="str">
        <f aca="false">IF(W134="","n/a",IF(AA134="","CHECK",IF(AND(AB134&lt;=1,OR(AC134="",AD134="",AC134&lt;=AD134)),"OK","CHECK")))</f>
        <v>n/a</v>
      </c>
      <c r="AF134" s="28" t="n">
        <f aca="false">IF(AR134="","",K134*AQ134*PI()/4*AR134^2)</f>
        <v>1145.11052223348</v>
      </c>
      <c r="AG134" s="32" t="s">
        <v>970</v>
      </c>
      <c r="AI134" s="33" t="n">
        <f aca="false">INDEX(Equipment!$D$2:$D$153,MATCH(E134,Equipment!$A$2:$A$153,0))</f>
        <v>60</v>
      </c>
      <c r="AJ134" s="33" t="n">
        <f aca="false">INDEX(Equipment!$E$2:$E$153,MATCH(E134,Equipment!$A$2:$A$153,0))</f>
        <v>137.5</v>
      </c>
      <c r="AK134" s="33" t="n">
        <f aca="false">INDEX(Equipment!$F$2:$F$153,MATCH(E134,Equipment!$A$2:$A$153,0))</f>
        <v>12.5</v>
      </c>
      <c r="AL134" s="33" t="n">
        <f aca="false">INDEX(Equipment!$D$2:$D$153,MATCH(G134,Equipment!$A$2:$A$153,0))</f>
        <v>95</v>
      </c>
      <c r="AM134" s="33" t="n">
        <f aca="false">INDEX(Equipment!$E$2:$E$153,MATCH(G134,Equipment!$A$2:$A$153,0))</f>
        <v>128</v>
      </c>
      <c r="AN134" s="33" t="n">
        <f aca="false">INDEX(Equipment!$F$2:$F$153,MATCH(G134,Equipment!$A$2:$A$153,0))</f>
        <v>0.5</v>
      </c>
      <c r="AO134" s="33" t="n">
        <f aca="false">IF(INDEX(Raceways!$D$2:$D$18,MATCH(L134,Raceways!$A$2:$A$18,0))="",0,INDEX(Raceways!$D$2:$D$18,MATCH(L134,Raceways!$A$2:$A$18,0)))</f>
        <v>-0.8</v>
      </c>
      <c r="AP134" s="34" t="n">
        <f aca="false">IF(INDEX(Raceways!$I$2:$I$18,MATCH(L134,Raceways!$A$2:$A$18,0))="","",INDEX(Raceways!$I$2:$I$18,MATCH(L134,Raceways!$A$2:$A$18,0)))</f>
        <v>0.88</v>
      </c>
      <c r="AQ134" s="27" t="n">
        <f aca="false">INDEX('Cable Types'!$D$2:$D$45,MATCH(I134,'Cable Types'!$A$2:$A$45,0))</f>
        <v>1</v>
      </c>
      <c r="AR134" s="27" t="n">
        <f aca="false">IF(INDEX('Cable Types'!$E$2:$E$45,MATCH(I134,'Cable Types'!$A$2:$A$45,0))="","",INDEX('Cable Types'!$E$2:$E$45,MATCH(I134,'Cable Types'!$A$2:$A$45,0)))</f>
        <v>27</v>
      </c>
      <c r="AS134" s="27" t="str">
        <f aca="false">IF(INDEX('Cable Types'!$F$2:$F$45,MATCH(I134,'Cable Types'!$A$2:$A$45,0))="","",INDEX('Cable Types'!$F$2:$F$45,MATCH(I134,'Cable Types'!$A$2:$A$45,0)))</f>
        <v/>
      </c>
      <c r="AT134" s="35" t="str">
        <f aca="false">IF(INDEX('Cable Types'!$G$2:$G$45,MATCH(I134,'Cable Types'!$A$2:$A$45,0))="","",INDEX('Cable Types'!$G$2:$G$45,MATCH(I134,'Cable Types'!$A$2:$A$45,0)))</f>
        <v/>
      </c>
    </row>
    <row r="135" customFormat="false" ht="15" hidden="false" customHeight="false" outlineLevel="0" collapsed="false">
      <c r="A135" s="26" t="s">
        <v>979</v>
      </c>
      <c r="B135" s="26" t="s">
        <v>108</v>
      </c>
      <c r="C135" s="26" t="s">
        <v>80</v>
      </c>
      <c r="D135" s="26" t="s">
        <v>980</v>
      </c>
      <c r="E135" s="26" t="s">
        <v>116</v>
      </c>
      <c r="F135" s="27" t="str">
        <f aca="false">INDEX(Equipment!$B$2:$B$153,MATCH(E135,Equipment!$A$2:$A$153,0))</f>
        <v>230 kV bay 4 - ST generator bay / line exit (gantry dead-end)</v>
      </c>
      <c r="G135" s="26" t="s">
        <v>128</v>
      </c>
      <c r="H135" s="27" t="str">
        <f aca="false">INDEX(Equipment!$B$2:$B$153,MATCH(G135,Equipment!$A$2:$A$153,0))</f>
        <v>Switchyard relay &amp; control building</v>
      </c>
      <c r="I135" s="26" t="s">
        <v>603</v>
      </c>
      <c r="J135" s="27" t="str">
        <f aca="false">INDEX('Cable Types'!$B$2:$B$45,MATCH(I135,'Cable Types'!$A$2:$A$45,0))</f>
        <v>600 V 25/C #14 AWG Cu XHHW-2 control, Type MC-HL, CCW Al armor (Armor-X type), PVC jkt</v>
      </c>
      <c r="K135" s="26" t="n">
        <v>2</v>
      </c>
      <c r="L135" s="26" t="s">
        <v>967</v>
      </c>
      <c r="M135" s="26" t="s">
        <v>703</v>
      </c>
      <c r="N135" s="26"/>
      <c r="O135" s="28" t="n">
        <f aca="false">IF(N135&lt;&gt;"",N135,IF(M135="D",ROUNDUP(SQRT((AL135-AI135)^2+(AM135-AJ135)^2+(AN135-AK135)^2)*(1+'Design Basis'!$C$6),0),ROUNDUP((ABS(AL135-AI135)+ABS(AM135-AJ135)+ABS(AO135-AK135)+ABS(AO135-AN135))*(1+'Design Basis'!$C$4)+2*'Design Basis'!$C$5,0)))</f>
        <v>50</v>
      </c>
      <c r="P135" s="28" t="n">
        <f aca="false">ROUND(O135*'Design Basis'!$C$10,0)</f>
        <v>164</v>
      </c>
      <c r="Q135" s="28" t="n">
        <f aca="false">O135*K135*AQ135</f>
        <v>100</v>
      </c>
      <c r="R135" s="28" t="n">
        <f aca="false">ROUND(Q135*'Design Basis'!$C$10,0)</f>
        <v>328</v>
      </c>
      <c r="S135" s="29"/>
      <c r="T135" s="26"/>
      <c r="U135" s="29"/>
      <c r="V135" s="30"/>
      <c r="W135" s="28" t="str">
        <f aca="false">IF(OR(U135="",S135=""),"",IF(T135=3,U135*1000/(SQRT(3)*S135*V135),U135*1000/(S135*V135)))</f>
        <v/>
      </c>
      <c r="X135" s="30"/>
      <c r="Y135" s="28" t="str">
        <f aca="false">IF(W135="","",W135*IF(X135="",1,X135))</f>
        <v/>
      </c>
      <c r="Z135" s="28" t="str">
        <f aca="false">IF(OR(AS135="",AP135=""),"",AS135*AP135)</f>
        <v/>
      </c>
      <c r="AA135" s="28" t="str">
        <f aca="false">IF(Z135="","",Z135*K135)</f>
        <v/>
      </c>
      <c r="AB135" s="31" t="str">
        <f aca="false">IF(OR(Y135="",AA135=""),"",Y135/AA135)</f>
        <v/>
      </c>
      <c r="AC135" s="31" t="str">
        <f aca="false">IF(OR(W135="",AT135=""),"",AT135*(W135/K135)*O135/1000/S135)</f>
        <v/>
      </c>
      <c r="AD135" s="31" t="str">
        <f aca="false">IF(W135="","",IFERROR(IF(INDEX('Design Basis'!$C$13:$C$21,MATCH(C135,'Design Basis'!$A$13:$A$21,0))="","",INDEX('Design Basis'!$C$13:$C$21,MATCH(C135,'Design Basis'!$A$13:$A$21,0))),""))</f>
        <v/>
      </c>
      <c r="AE135" s="32" t="str">
        <f aca="false">IF(W135="","n/a",IF(AA135="","CHECK",IF(AND(AB135&lt;=1,OR(AC135="",AD135="",AC135&lt;=AD135)),"OK","CHECK")))</f>
        <v>n/a</v>
      </c>
      <c r="AF135" s="28" t="n">
        <f aca="false">IF(AR135="","",K135*AQ135*PI()/4*AR135^2)</f>
        <v>1145.11052223348</v>
      </c>
      <c r="AG135" s="32"/>
      <c r="AI135" s="33" t="n">
        <f aca="false">INDEX(Equipment!$D$2:$D$153,MATCH(E135,Equipment!$A$2:$A$153,0))</f>
        <v>80</v>
      </c>
      <c r="AJ135" s="33" t="n">
        <f aca="false">INDEX(Equipment!$E$2:$E$153,MATCH(E135,Equipment!$A$2:$A$153,0))</f>
        <v>137.5</v>
      </c>
      <c r="AK135" s="33" t="n">
        <f aca="false">INDEX(Equipment!$F$2:$F$153,MATCH(E135,Equipment!$A$2:$A$153,0))</f>
        <v>12.5</v>
      </c>
      <c r="AL135" s="33" t="n">
        <f aca="false">INDEX(Equipment!$D$2:$D$153,MATCH(G135,Equipment!$A$2:$A$153,0))</f>
        <v>95</v>
      </c>
      <c r="AM135" s="33" t="n">
        <f aca="false">INDEX(Equipment!$E$2:$E$153,MATCH(G135,Equipment!$A$2:$A$153,0))</f>
        <v>128</v>
      </c>
      <c r="AN135" s="33" t="n">
        <f aca="false">INDEX(Equipment!$F$2:$F$153,MATCH(G135,Equipment!$A$2:$A$153,0))</f>
        <v>0.5</v>
      </c>
      <c r="AO135" s="33" t="n">
        <f aca="false">IF(INDEX(Raceways!$D$2:$D$18,MATCH(L135,Raceways!$A$2:$A$18,0))="",0,INDEX(Raceways!$D$2:$D$18,MATCH(L135,Raceways!$A$2:$A$18,0)))</f>
        <v>-0.8</v>
      </c>
      <c r="AP135" s="34" t="n">
        <f aca="false">IF(INDEX(Raceways!$I$2:$I$18,MATCH(L135,Raceways!$A$2:$A$18,0))="","",INDEX(Raceways!$I$2:$I$18,MATCH(L135,Raceways!$A$2:$A$18,0)))</f>
        <v>0.88</v>
      </c>
      <c r="AQ135" s="27" t="n">
        <f aca="false">INDEX('Cable Types'!$D$2:$D$45,MATCH(I135,'Cable Types'!$A$2:$A$45,0))</f>
        <v>1</v>
      </c>
      <c r="AR135" s="27" t="n">
        <f aca="false">IF(INDEX('Cable Types'!$E$2:$E$45,MATCH(I135,'Cable Types'!$A$2:$A$45,0))="","",INDEX('Cable Types'!$E$2:$E$45,MATCH(I135,'Cable Types'!$A$2:$A$45,0)))</f>
        <v>27</v>
      </c>
      <c r="AS135" s="27" t="str">
        <f aca="false">IF(INDEX('Cable Types'!$F$2:$F$45,MATCH(I135,'Cable Types'!$A$2:$A$45,0))="","",INDEX('Cable Types'!$F$2:$F$45,MATCH(I135,'Cable Types'!$A$2:$A$45,0)))</f>
        <v/>
      </c>
      <c r="AT135" s="35" t="str">
        <f aca="false">IF(INDEX('Cable Types'!$G$2:$G$45,MATCH(I135,'Cable Types'!$A$2:$A$45,0))="","",INDEX('Cable Types'!$G$2:$G$45,MATCH(I135,'Cable Types'!$A$2:$A$45,0)))</f>
        <v/>
      </c>
    </row>
    <row r="136" customFormat="false" ht="15" hidden="false" customHeight="false" outlineLevel="0" collapsed="false">
      <c r="A136" s="26" t="s">
        <v>981</v>
      </c>
      <c r="B136" s="26" t="s">
        <v>108</v>
      </c>
      <c r="C136" s="26" t="s">
        <v>80</v>
      </c>
      <c r="D136" s="26" t="s">
        <v>982</v>
      </c>
      <c r="E136" s="26" t="s">
        <v>116</v>
      </c>
      <c r="F136" s="27" t="str">
        <f aca="false">INDEX(Equipment!$B$2:$B$153,MATCH(E136,Equipment!$A$2:$A$153,0))</f>
        <v>230 kV bay 4 - ST generator bay / line exit (gantry dead-end)</v>
      </c>
      <c r="G136" s="26" t="s">
        <v>128</v>
      </c>
      <c r="H136" s="27" t="str">
        <f aca="false">INDEX(Equipment!$B$2:$B$153,MATCH(G136,Equipment!$A$2:$A$153,0))</f>
        <v>Switchyard relay &amp; control building</v>
      </c>
      <c r="I136" s="26" t="s">
        <v>605</v>
      </c>
      <c r="J136" s="27" t="str">
        <f aca="false">INDEX('Cable Types'!$B$2:$B$45,MATCH(I136,'Cable Types'!$A$2:$A$45,0))</f>
        <v>600 V 12/C #10 AWG Cu XHHW-2 control (CT circuits), Type MC-HL, CCW Al armor (Armor-X type), PVC jkt</v>
      </c>
      <c r="K136" s="26" t="n">
        <v>2</v>
      </c>
      <c r="L136" s="26" t="s">
        <v>967</v>
      </c>
      <c r="M136" s="26" t="s">
        <v>703</v>
      </c>
      <c r="N136" s="26"/>
      <c r="O136" s="28" t="n">
        <f aca="false">IF(N136&lt;&gt;"",N136,IF(M136="D",ROUNDUP(SQRT((AL136-AI136)^2+(AM136-AJ136)^2+(AN136-AK136)^2)*(1+'Design Basis'!$C$6),0),ROUNDUP((ABS(AL136-AI136)+ABS(AM136-AJ136)+ABS(AO136-AK136)+ABS(AO136-AN136))*(1+'Design Basis'!$C$4)+2*'Design Basis'!$C$5,0)))</f>
        <v>50</v>
      </c>
      <c r="P136" s="28" t="n">
        <f aca="false">ROUND(O136*'Design Basis'!$C$10,0)</f>
        <v>164</v>
      </c>
      <c r="Q136" s="28" t="n">
        <f aca="false">O136*K136*AQ136</f>
        <v>100</v>
      </c>
      <c r="R136" s="28" t="n">
        <f aca="false">ROUND(Q136*'Design Basis'!$C$10,0)</f>
        <v>328</v>
      </c>
      <c r="S136" s="29"/>
      <c r="T136" s="26"/>
      <c r="U136" s="29"/>
      <c r="V136" s="30"/>
      <c r="W136" s="28" t="str">
        <f aca="false">IF(OR(U136="",S136=""),"",IF(T136=3,U136*1000/(SQRT(3)*S136*V136),U136*1000/(S136*V136)))</f>
        <v/>
      </c>
      <c r="X136" s="30"/>
      <c r="Y136" s="28" t="str">
        <f aca="false">IF(W136="","",W136*IF(X136="",1,X136))</f>
        <v/>
      </c>
      <c r="Z136" s="28" t="str">
        <f aca="false">IF(OR(AS136="",AP136=""),"",AS136*AP136)</f>
        <v/>
      </c>
      <c r="AA136" s="28" t="str">
        <f aca="false">IF(Z136="","",Z136*K136)</f>
        <v/>
      </c>
      <c r="AB136" s="31" t="str">
        <f aca="false">IF(OR(Y136="",AA136=""),"",Y136/AA136)</f>
        <v/>
      </c>
      <c r="AC136" s="31" t="str">
        <f aca="false">IF(OR(W136="",AT136=""),"",AT136*(W136/K136)*O136/1000/S136)</f>
        <v/>
      </c>
      <c r="AD136" s="31" t="str">
        <f aca="false">IF(W136="","",IFERROR(IF(INDEX('Design Basis'!$C$13:$C$21,MATCH(C136,'Design Basis'!$A$13:$A$21,0))="","",INDEX('Design Basis'!$C$13:$C$21,MATCH(C136,'Design Basis'!$A$13:$A$21,0))),""))</f>
        <v/>
      </c>
      <c r="AE136" s="32" t="str">
        <f aca="false">IF(W136="","n/a",IF(AA136="","CHECK",IF(AND(AB136&lt;=1,OR(AC136="",AD136="",AC136&lt;=AD136)),"OK","CHECK")))</f>
        <v>n/a</v>
      </c>
      <c r="AF136" s="28" t="n">
        <f aca="false">IF(AR136="","",K136*AQ136*PI()/4*AR136^2)</f>
        <v>1145.11052223348</v>
      </c>
      <c r="AG136" s="32" t="s">
        <v>970</v>
      </c>
      <c r="AI136" s="33" t="n">
        <f aca="false">INDEX(Equipment!$D$2:$D$153,MATCH(E136,Equipment!$A$2:$A$153,0))</f>
        <v>80</v>
      </c>
      <c r="AJ136" s="33" t="n">
        <f aca="false">INDEX(Equipment!$E$2:$E$153,MATCH(E136,Equipment!$A$2:$A$153,0))</f>
        <v>137.5</v>
      </c>
      <c r="AK136" s="33" t="n">
        <f aca="false">INDEX(Equipment!$F$2:$F$153,MATCH(E136,Equipment!$A$2:$A$153,0))</f>
        <v>12.5</v>
      </c>
      <c r="AL136" s="33" t="n">
        <f aca="false">INDEX(Equipment!$D$2:$D$153,MATCH(G136,Equipment!$A$2:$A$153,0))</f>
        <v>95</v>
      </c>
      <c r="AM136" s="33" t="n">
        <f aca="false">INDEX(Equipment!$E$2:$E$153,MATCH(G136,Equipment!$A$2:$A$153,0))</f>
        <v>128</v>
      </c>
      <c r="AN136" s="33" t="n">
        <f aca="false">INDEX(Equipment!$F$2:$F$153,MATCH(G136,Equipment!$A$2:$A$153,0))</f>
        <v>0.5</v>
      </c>
      <c r="AO136" s="33" t="n">
        <f aca="false">IF(INDEX(Raceways!$D$2:$D$18,MATCH(L136,Raceways!$A$2:$A$18,0))="",0,INDEX(Raceways!$D$2:$D$18,MATCH(L136,Raceways!$A$2:$A$18,0)))</f>
        <v>-0.8</v>
      </c>
      <c r="AP136" s="34" t="n">
        <f aca="false">IF(INDEX(Raceways!$I$2:$I$18,MATCH(L136,Raceways!$A$2:$A$18,0))="","",INDEX(Raceways!$I$2:$I$18,MATCH(L136,Raceways!$A$2:$A$18,0)))</f>
        <v>0.88</v>
      </c>
      <c r="AQ136" s="27" t="n">
        <f aca="false">INDEX('Cable Types'!$D$2:$D$45,MATCH(I136,'Cable Types'!$A$2:$A$45,0))</f>
        <v>1</v>
      </c>
      <c r="AR136" s="27" t="n">
        <f aca="false">IF(INDEX('Cable Types'!$E$2:$E$45,MATCH(I136,'Cable Types'!$A$2:$A$45,0))="","",INDEX('Cable Types'!$E$2:$E$45,MATCH(I136,'Cable Types'!$A$2:$A$45,0)))</f>
        <v>27</v>
      </c>
      <c r="AS136" s="27" t="str">
        <f aca="false">IF(INDEX('Cable Types'!$F$2:$F$45,MATCH(I136,'Cable Types'!$A$2:$A$45,0))="","",INDEX('Cable Types'!$F$2:$F$45,MATCH(I136,'Cable Types'!$A$2:$A$45,0)))</f>
        <v/>
      </c>
      <c r="AT136" s="35" t="str">
        <f aca="false">IF(INDEX('Cable Types'!$G$2:$G$45,MATCH(I136,'Cable Types'!$A$2:$A$45,0))="","",INDEX('Cable Types'!$G$2:$G$45,MATCH(I136,'Cable Types'!$A$2:$A$45,0)))</f>
        <v/>
      </c>
    </row>
    <row r="137" customFormat="false" ht="15" hidden="false" customHeight="false" outlineLevel="0" collapsed="false">
      <c r="A137" s="26" t="s">
        <v>983</v>
      </c>
      <c r="B137" s="26" t="s">
        <v>139</v>
      </c>
      <c r="C137" s="26" t="s">
        <v>80</v>
      </c>
      <c r="D137" s="26" t="s">
        <v>984</v>
      </c>
      <c r="E137" s="26" t="s">
        <v>147</v>
      </c>
      <c r="F137" s="27" t="str">
        <f aca="false">INDEX(Equipment!$B$2:$B$153,MATCH(E137,Equipment!$A$2:$A$153,0))</f>
        <v>GT step-up transformer - LV bushings / marshalling box</v>
      </c>
      <c r="G137" s="26" t="s">
        <v>514</v>
      </c>
      <c r="H137" s="27" t="str">
        <f aca="false">INDEX(Equipment!$B$2:$B$153,MATCH(G137,Equipment!$A$2:$A$153,0))</f>
        <v>Generator &amp; transformer protection panels</v>
      </c>
      <c r="I137" s="26" t="s">
        <v>605</v>
      </c>
      <c r="J137" s="27" t="str">
        <f aca="false">INDEX('Cable Types'!$B$2:$B$45,MATCH(I137,'Cable Types'!$A$2:$A$45,0))</f>
        <v>600 V 12/C #10 AWG Cu XHHW-2 control (CT circuits), Type MC-HL, CCW Al armor (Armor-X type), PVC jkt</v>
      </c>
      <c r="K137" s="26" t="n">
        <v>2</v>
      </c>
      <c r="L137" s="26" t="s">
        <v>720</v>
      </c>
      <c r="M137" s="26" t="s">
        <v>703</v>
      </c>
      <c r="N137" s="26"/>
      <c r="O137" s="28" t="n">
        <f aca="false">IF(N137&lt;&gt;"",N137,IF(M137="D",ROUNDUP(SQRT((AL137-AI137)^2+(AM137-AJ137)^2+(AN137-AK137)^2)*(1+'Design Basis'!$C$6),0),ROUNDUP((ABS(AL137-AI137)+ABS(AM137-AJ137)+ABS(AO137-AK137)+ABS(AO137-AN137))*(1+'Design Basis'!$C$4)+2*'Design Basis'!$C$5,0)))</f>
        <v>38</v>
      </c>
      <c r="P137" s="28" t="n">
        <f aca="false">ROUND(O137*'Design Basis'!$C$10,0)</f>
        <v>125</v>
      </c>
      <c r="Q137" s="28" t="n">
        <f aca="false">O137*K137*AQ137</f>
        <v>76</v>
      </c>
      <c r="R137" s="28" t="n">
        <f aca="false">ROUND(Q137*'Design Basis'!$C$10,0)</f>
        <v>249</v>
      </c>
      <c r="S137" s="29"/>
      <c r="T137" s="26"/>
      <c r="U137" s="29"/>
      <c r="V137" s="30"/>
      <c r="W137" s="28" t="str">
        <f aca="false">IF(OR(U137="",S137=""),"",IF(T137=3,U137*1000/(SQRT(3)*S137*V137),U137*1000/(S137*V137)))</f>
        <v/>
      </c>
      <c r="X137" s="30"/>
      <c r="Y137" s="28" t="str">
        <f aca="false">IF(W137="","",W137*IF(X137="",1,X137))</f>
        <v/>
      </c>
      <c r="Z137" s="28" t="str">
        <f aca="false">IF(OR(AS137="",AP137=""),"",AS137*AP137)</f>
        <v/>
      </c>
      <c r="AA137" s="28" t="str">
        <f aca="false">IF(Z137="","",Z137*K137)</f>
        <v/>
      </c>
      <c r="AB137" s="31" t="str">
        <f aca="false">IF(OR(Y137="",AA137=""),"",Y137/AA137)</f>
        <v/>
      </c>
      <c r="AC137" s="31" t="str">
        <f aca="false">IF(OR(W137="",AT137=""),"",AT137*(W137/K137)*O137/1000/S137)</f>
        <v/>
      </c>
      <c r="AD137" s="31" t="str">
        <f aca="false">IF(W137="","",IFERROR(IF(INDEX('Design Basis'!$C$13:$C$21,MATCH(C137,'Design Basis'!$A$13:$A$21,0))="","",INDEX('Design Basis'!$C$13:$C$21,MATCH(C137,'Design Basis'!$A$13:$A$21,0))),""))</f>
        <v/>
      </c>
      <c r="AE137" s="32" t="str">
        <f aca="false">IF(W137="","n/a",IF(AA137="","CHECK",IF(AND(AB137&lt;=1,OR(AC137="",AD137="",AC137&lt;=AD137)),"OK","CHECK")))</f>
        <v>n/a</v>
      </c>
      <c r="AF137" s="28" t="n">
        <f aca="false">IF(AR137="","",K137*AQ137*PI()/4*AR137^2)</f>
        <v>1145.11052223348</v>
      </c>
      <c r="AG137" s="32"/>
      <c r="AI137" s="33" t="n">
        <f aca="false">INDEX(Equipment!$D$2:$D$153,MATCH(E137,Equipment!$A$2:$A$153,0))</f>
        <v>54</v>
      </c>
      <c r="AJ137" s="33" t="n">
        <f aca="false">INDEX(Equipment!$E$2:$E$153,MATCH(E137,Equipment!$A$2:$A$153,0))</f>
        <v>60</v>
      </c>
      <c r="AK137" s="33" t="n">
        <f aca="false">INDEX(Equipment!$F$2:$F$153,MATCH(E137,Equipment!$A$2:$A$153,0))</f>
        <v>4.5</v>
      </c>
      <c r="AL137" s="33" t="n">
        <f aca="false">INDEX(Equipment!$D$2:$D$153,MATCH(G137,Equipment!$A$2:$A$153,0))</f>
        <v>38</v>
      </c>
      <c r="AM137" s="33" t="n">
        <f aca="false">INDEX(Equipment!$E$2:$E$153,MATCH(G137,Equipment!$A$2:$A$153,0))</f>
        <v>55</v>
      </c>
      <c r="AN137" s="33" t="n">
        <f aca="false">INDEX(Equipment!$F$2:$F$153,MATCH(G137,Equipment!$A$2:$A$153,0))</f>
        <v>0.5</v>
      </c>
      <c r="AO137" s="33" t="n">
        <f aca="false">IF(INDEX(Raceways!$D$2:$D$18,MATCH(L137,Raceways!$A$2:$A$18,0))="",0,INDEX(Raceways!$D$2:$D$18,MATCH(L137,Raceways!$A$2:$A$18,0)))</f>
        <v>-1.2</v>
      </c>
      <c r="AP137" s="34" t="n">
        <f aca="false">IF(INDEX(Raceways!$I$2:$I$18,MATCH(L137,Raceways!$A$2:$A$18,0))="","",INDEX(Raceways!$I$2:$I$18,MATCH(L137,Raceways!$A$2:$A$18,0)))</f>
        <v>0.7</v>
      </c>
      <c r="AQ137" s="27" t="n">
        <f aca="false">INDEX('Cable Types'!$D$2:$D$45,MATCH(I137,'Cable Types'!$A$2:$A$45,0))</f>
        <v>1</v>
      </c>
      <c r="AR137" s="27" t="n">
        <f aca="false">IF(INDEX('Cable Types'!$E$2:$E$45,MATCH(I137,'Cable Types'!$A$2:$A$45,0))="","",INDEX('Cable Types'!$E$2:$E$45,MATCH(I137,'Cable Types'!$A$2:$A$45,0)))</f>
        <v>27</v>
      </c>
      <c r="AS137" s="27" t="str">
        <f aca="false">IF(INDEX('Cable Types'!$F$2:$F$45,MATCH(I137,'Cable Types'!$A$2:$A$45,0))="","",INDEX('Cable Types'!$F$2:$F$45,MATCH(I137,'Cable Types'!$A$2:$A$45,0)))</f>
        <v/>
      </c>
      <c r="AT137" s="35" t="str">
        <f aca="false">IF(INDEX('Cable Types'!$G$2:$G$45,MATCH(I137,'Cable Types'!$A$2:$A$45,0))="","",INDEX('Cable Types'!$G$2:$G$45,MATCH(I137,'Cable Types'!$A$2:$A$45,0)))</f>
        <v/>
      </c>
    </row>
    <row r="138" customFormat="false" ht="15" hidden="false" customHeight="false" outlineLevel="0" collapsed="false">
      <c r="A138" s="26" t="s">
        <v>985</v>
      </c>
      <c r="B138" s="26" t="s">
        <v>139</v>
      </c>
      <c r="C138" s="26" t="s">
        <v>80</v>
      </c>
      <c r="D138" s="26" t="s">
        <v>986</v>
      </c>
      <c r="E138" s="26" t="s">
        <v>147</v>
      </c>
      <c r="F138" s="27" t="str">
        <f aca="false">INDEX(Equipment!$B$2:$B$153,MATCH(E138,Equipment!$A$2:$A$153,0))</f>
        <v>GT step-up transformer - LV bushings / marshalling box</v>
      </c>
      <c r="G138" s="26" t="s">
        <v>514</v>
      </c>
      <c r="H138" s="27" t="str">
        <f aca="false">INDEX(Equipment!$B$2:$B$153,MATCH(G138,Equipment!$A$2:$A$153,0))</f>
        <v>Generator &amp; transformer protection panels</v>
      </c>
      <c r="I138" s="26" t="s">
        <v>603</v>
      </c>
      <c r="J138" s="27" t="str">
        <f aca="false">INDEX('Cable Types'!$B$2:$B$45,MATCH(I138,'Cable Types'!$A$2:$A$45,0))</f>
        <v>600 V 25/C #14 AWG Cu XHHW-2 control, Type MC-HL, CCW Al armor (Armor-X type), PVC jkt</v>
      </c>
      <c r="K138" s="26" t="n">
        <v>1</v>
      </c>
      <c r="L138" s="26" t="s">
        <v>720</v>
      </c>
      <c r="M138" s="26" t="s">
        <v>703</v>
      </c>
      <c r="N138" s="26"/>
      <c r="O138" s="28" t="n">
        <f aca="false">IF(N138&lt;&gt;"",N138,IF(M138="D",ROUNDUP(SQRT((AL138-AI138)^2+(AM138-AJ138)^2+(AN138-AK138)^2)*(1+'Design Basis'!$C$6),0),ROUNDUP((ABS(AL138-AI138)+ABS(AM138-AJ138)+ABS(AO138-AK138)+ABS(AO138-AN138))*(1+'Design Basis'!$C$4)+2*'Design Basis'!$C$5,0)))</f>
        <v>38</v>
      </c>
      <c r="P138" s="28" t="n">
        <f aca="false">ROUND(O138*'Design Basis'!$C$10,0)</f>
        <v>125</v>
      </c>
      <c r="Q138" s="28" t="n">
        <f aca="false">O138*K138*AQ138</f>
        <v>38</v>
      </c>
      <c r="R138" s="28" t="n">
        <f aca="false">ROUND(Q138*'Design Basis'!$C$10,0)</f>
        <v>125</v>
      </c>
      <c r="S138" s="29"/>
      <c r="T138" s="26"/>
      <c r="U138" s="29"/>
      <c r="V138" s="30"/>
      <c r="W138" s="28" t="str">
        <f aca="false">IF(OR(U138="",S138=""),"",IF(T138=3,U138*1000/(SQRT(3)*S138*V138),U138*1000/(S138*V138)))</f>
        <v/>
      </c>
      <c r="X138" s="30"/>
      <c r="Y138" s="28" t="str">
        <f aca="false">IF(W138="","",W138*IF(X138="",1,X138))</f>
        <v/>
      </c>
      <c r="Z138" s="28" t="str">
        <f aca="false">IF(OR(AS138="",AP138=""),"",AS138*AP138)</f>
        <v/>
      </c>
      <c r="AA138" s="28" t="str">
        <f aca="false">IF(Z138="","",Z138*K138)</f>
        <v/>
      </c>
      <c r="AB138" s="31" t="str">
        <f aca="false">IF(OR(Y138="",AA138=""),"",Y138/AA138)</f>
        <v/>
      </c>
      <c r="AC138" s="31" t="str">
        <f aca="false">IF(OR(W138="",AT138=""),"",AT138*(W138/K138)*O138/1000/S138)</f>
        <v/>
      </c>
      <c r="AD138" s="31" t="str">
        <f aca="false">IF(W138="","",IFERROR(IF(INDEX('Design Basis'!$C$13:$C$21,MATCH(C138,'Design Basis'!$A$13:$A$21,0))="","",INDEX('Design Basis'!$C$13:$C$21,MATCH(C138,'Design Basis'!$A$13:$A$21,0))),""))</f>
        <v/>
      </c>
      <c r="AE138" s="32" t="str">
        <f aca="false">IF(W138="","n/a",IF(AA138="","CHECK",IF(AND(AB138&lt;=1,OR(AC138="",AD138="",AC138&lt;=AD138)),"OK","CHECK")))</f>
        <v>n/a</v>
      </c>
      <c r="AF138" s="28" t="n">
        <f aca="false">IF(AR138="","",K138*AQ138*PI()/4*AR138^2)</f>
        <v>572.55526111674</v>
      </c>
      <c r="AG138" s="32"/>
      <c r="AI138" s="33" t="n">
        <f aca="false">INDEX(Equipment!$D$2:$D$153,MATCH(E138,Equipment!$A$2:$A$153,0))</f>
        <v>54</v>
      </c>
      <c r="AJ138" s="33" t="n">
        <f aca="false">INDEX(Equipment!$E$2:$E$153,MATCH(E138,Equipment!$A$2:$A$153,0))</f>
        <v>60</v>
      </c>
      <c r="AK138" s="33" t="n">
        <f aca="false">INDEX(Equipment!$F$2:$F$153,MATCH(E138,Equipment!$A$2:$A$153,0))</f>
        <v>4.5</v>
      </c>
      <c r="AL138" s="33" t="n">
        <f aca="false">INDEX(Equipment!$D$2:$D$153,MATCH(G138,Equipment!$A$2:$A$153,0))</f>
        <v>38</v>
      </c>
      <c r="AM138" s="33" t="n">
        <f aca="false">INDEX(Equipment!$E$2:$E$153,MATCH(G138,Equipment!$A$2:$A$153,0))</f>
        <v>55</v>
      </c>
      <c r="AN138" s="33" t="n">
        <f aca="false">INDEX(Equipment!$F$2:$F$153,MATCH(G138,Equipment!$A$2:$A$153,0))</f>
        <v>0.5</v>
      </c>
      <c r="AO138" s="33" t="n">
        <f aca="false">IF(INDEX(Raceways!$D$2:$D$18,MATCH(L138,Raceways!$A$2:$A$18,0))="",0,INDEX(Raceways!$D$2:$D$18,MATCH(L138,Raceways!$A$2:$A$18,0)))</f>
        <v>-1.2</v>
      </c>
      <c r="AP138" s="34" t="n">
        <f aca="false">IF(INDEX(Raceways!$I$2:$I$18,MATCH(L138,Raceways!$A$2:$A$18,0))="","",INDEX(Raceways!$I$2:$I$18,MATCH(L138,Raceways!$A$2:$A$18,0)))</f>
        <v>0.7</v>
      </c>
      <c r="AQ138" s="27" t="n">
        <f aca="false">INDEX('Cable Types'!$D$2:$D$45,MATCH(I138,'Cable Types'!$A$2:$A$45,0))</f>
        <v>1</v>
      </c>
      <c r="AR138" s="27" t="n">
        <f aca="false">IF(INDEX('Cable Types'!$E$2:$E$45,MATCH(I138,'Cable Types'!$A$2:$A$45,0))="","",INDEX('Cable Types'!$E$2:$E$45,MATCH(I138,'Cable Types'!$A$2:$A$45,0)))</f>
        <v>27</v>
      </c>
      <c r="AS138" s="27" t="str">
        <f aca="false">IF(INDEX('Cable Types'!$F$2:$F$45,MATCH(I138,'Cable Types'!$A$2:$A$45,0))="","",INDEX('Cable Types'!$F$2:$F$45,MATCH(I138,'Cable Types'!$A$2:$A$45,0)))</f>
        <v/>
      </c>
      <c r="AT138" s="35" t="str">
        <f aca="false">IF(INDEX('Cable Types'!$G$2:$G$45,MATCH(I138,'Cable Types'!$A$2:$A$45,0))="","",INDEX('Cable Types'!$G$2:$G$45,MATCH(I138,'Cable Types'!$A$2:$A$45,0)))</f>
        <v/>
      </c>
    </row>
    <row r="139" customFormat="false" ht="15" hidden="false" customHeight="false" outlineLevel="0" collapsed="false">
      <c r="A139" s="26" t="s">
        <v>987</v>
      </c>
      <c r="B139" s="26" t="s">
        <v>139</v>
      </c>
      <c r="C139" s="26" t="s">
        <v>80</v>
      </c>
      <c r="D139" s="26" t="s">
        <v>988</v>
      </c>
      <c r="E139" s="26" t="s">
        <v>152</v>
      </c>
      <c r="F139" s="27" t="str">
        <f aca="false">INDEX(Equipment!$B$2:$B$153,MATCH(E139,Equipment!$A$2:$A$153,0))</f>
        <v>ST step-up transformer - LV bushings / marshalling box</v>
      </c>
      <c r="G139" s="26" t="s">
        <v>514</v>
      </c>
      <c r="H139" s="27" t="str">
        <f aca="false">INDEX(Equipment!$B$2:$B$153,MATCH(G139,Equipment!$A$2:$A$153,0))</f>
        <v>Generator &amp; transformer protection panels</v>
      </c>
      <c r="I139" s="26" t="s">
        <v>605</v>
      </c>
      <c r="J139" s="27" t="str">
        <f aca="false">INDEX('Cable Types'!$B$2:$B$45,MATCH(I139,'Cable Types'!$A$2:$A$45,0))</f>
        <v>600 V 12/C #10 AWG Cu XHHW-2 control (CT circuits), Type MC-HL, CCW Al armor (Armor-X type), PVC jkt</v>
      </c>
      <c r="K139" s="26" t="n">
        <v>2</v>
      </c>
      <c r="L139" s="26" t="s">
        <v>720</v>
      </c>
      <c r="M139" s="26" t="s">
        <v>703</v>
      </c>
      <c r="N139" s="26"/>
      <c r="O139" s="28" t="n">
        <f aca="false">IF(N139&lt;&gt;"",N139,IF(M139="D",ROUNDUP(SQRT((AL139-AI139)^2+(AM139-AJ139)^2+(AN139-AK139)^2)*(1+'Design Basis'!$C$6),0),ROUNDUP((ABS(AL139-AI139)+ABS(AM139-AJ139)+ABS(AO139-AK139)+ABS(AO139-AN139))*(1+'Design Basis'!$C$4)+2*'Design Basis'!$C$5,0)))</f>
        <v>60</v>
      </c>
      <c r="P139" s="28" t="n">
        <f aca="false">ROUND(O139*'Design Basis'!$C$10,0)</f>
        <v>197</v>
      </c>
      <c r="Q139" s="28" t="n">
        <f aca="false">O139*K139*AQ139</f>
        <v>120</v>
      </c>
      <c r="R139" s="28" t="n">
        <f aca="false">ROUND(Q139*'Design Basis'!$C$10,0)</f>
        <v>394</v>
      </c>
      <c r="S139" s="29"/>
      <c r="T139" s="26"/>
      <c r="U139" s="29"/>
      <c r="V139" s="30"/>
      <c r="W139" s="28" t="str">
        <f aca="false">IF(OR(U139="",S139=""),"",IF(T139=3,U139*1000/(SQRT(3)*S139*V139),U139*1000/(S139*V139)))</f>
        <v/>
      </c>
      <c r="X139" s="30"/>
      <c r="Y139" s="28" t="str">
        <f aca="false">IF(W139="","",W139*IF(X139="",1,X139))</f>
        <v/>
      </c>
      <c r="Z139" s="28" t="str">
        <f aca="false">IF(OR(AS139="",AP139=""),"",AS139*AP139)</f>
        <v/>
      </c>
      <c r="AA139" s="28" t="str">
        <f aca="false">IF(Z139="","",Z139*K139)</f>
        <v/>
      </c>
      <c r="AB139" s="31" t="str">
        <f aca="false">IF(OR(Y139="",AA139=""),"",Y139/AA139)</f>
        <v/>
      </c>
      <c r="AC139" s="31" t="str">
        <f aca="false">IF(OR(W139="",AT139=""),"",AT139*(W139/K139)*O139/1000/S139)</f>
        <v/>
      </c>
      <c r="AD139" s="31" t="str">
        <f aca="false">IF(W139="","",IFERROR(IF(INDEX('Design Basis'!$C$13:$C$21,MATCH(C139,'Design Basis'!$A$13:$A$21,0))="","",INDEX('Design Basis'!$C$13:$C$21,MATCH(C139,'Design Basis'!$A$13:$A$21,0))),""))</f>
        <v/>
      </c>
      <c r="AE139" s="32" t="str">
        <f aca="false">IF(W139="","n/a",IF(AA139="","CHECK",IF(AND(AB139&lt;=1,OR(AC139="",AD139="",AC139&lt;=AD139)),"OK","CHECK")))</f>
        <v>n/a</v>
      </c>
      <c r="AF139" s="28" t="n">
        <f aca="false">IF(AR139="","",K139*AQ139*PI()/4*AR139^2)</f>
        <v>1145.11052223348</v>
      </c>
      <c r="AG139" s="32"/>
      <c r="AI139" s="33" t="n">
        <f aca="false">INDEX(Equipment!$D$2:$D$153,MATCH(E139,Equipment!$A$2:$A$153,0))</f>
        <v>74</v>
      </c>
      <c r="AJ139" s="33" t="n">
        <f aca="false">INDEX(Equipment!$E$2:$E$153,MATCH(E139,Equipment!$A$2:$A$153,0))</f>
        <v>60</v>
      </c>
      <c r="AK139" s="33" t="n">
        <f aca="false">INDEX(Equipment!$F$2:$F$153,MATCH(E139,Equipment!$A$2:$A$153,0))</f>
        <v>4.5</v>
      </c>
      <c r="AL139" s="33" t="n">
        <f aca="false">INDEX(Equipment!$D$2:$D$153,MATCH(G139,Equipment!$A$2:$A$153,0))</f>
        <v>38</v>
      </c>
      <c r="AM139" s="33" t="n">
        <f aca="false">INDEX(Equipment!$E$2:$E$153,MATCH(G139,Equipment!$A$2:$A$153,0))</f>
        <v>55</v>
      </c>
      <c r="AN139" s="33" t="n">
        <f aca="false">INDEX(Equipment!$F$2:$F$153,MATCH(G139,Equipment!$A$2:$A$153,0))</f>
        <v>0.5</v>
      </c>
      <c r="AO139" s="33" t="n">
        <f aca="false">IF(INDEX(Raceways!$D$2:$D$18,MATCH(L139,Raceways!$A$2:$A$18,0))="",0,INDEX(Raceways!$D$2:$D$18,MATCH(L139,Raceways!$A$2:$A$18,0)))</f>
        <v>-1.2</v>
      </c>
      <c r="AP139" s="34" t="n">
        <f aca="false">IF(INDEX(Raceways!$I$2:$I$18,MATCH(L139,Raceways!$A$2:$A$18,0))="","",INDEX(Raceways!$I$2:$I$18,MATCH(L139,Raceways!$A$2:$A$18,0)))</f>
        <v>0.7</v>
      </c>
      <c r="AQ139" s="27" t="n">
        <f aca="false">INDEX('Cable Types'!$D$2:$D$45,MATCH(I139,'Cable Types'!$A$2:$A$45,0))</f>
        <v>1</v>
      </c>
      <c r="AR139" s="27" t="n">
        <f aca="false">IF(INDEX('Cable Types'!$E$2:$E$45,MATCH(I139,'Cable Types'!$A$2:$A$45,0))="","",INDEX('Cable Types'!$E$2:$E$45,MATCH(I139,'Cable Types'!$A$2:$A$45,0)))</f>
        <v>27</v>
      </c>
      <c r="AS139" s="27" t="str">
        <f aca="false">IF(INDEX('Cable Types'!$F$2:$F$45,MATCH(I139,'Cable Types'!$A$2:$A$45,0))="","",INDEX('Cable Types'!$F$2:$F$45,MATCH(I139,'Cable Types'!$A$2:$A$45,0)))</f>
        <v/>
      </c>
      <c r="AT139" s="35" t="str">
        <f aca="false">IF(INDEX('Cable Types'!$G$2:$G$45,MATCH(I139,'Cable Types'!$A$2:$A$45,0))="","",INDEX('Cable Types'!$G$2:$G$45,MATCH(I139,'Cable Types'!$A$2:$A$45,0)))</f>
        <v/>
      </c>
    </row>
    <row r="140" customFormat="false" ht="15" hidden="false" customHeight="false" outlineLevel="0" collapsed="false">
      <c r="A140" s="26" t="s">
        <v>989</v>
      </c>
      <c r="B140" s="26" t="s">
        <v>139</v>
      </c>
      <c r="C140" s="26" t="s">
        <v>80</v>
      </c>
      <c r="D140" s="26" t="s">
        <v>990</v>
      </c>
      <c r="E140" s="26" t="s">
        <v>152</v>
      </c>
      <c r="F140" s="27" t="str">
        <f aca="false">INDEX(Equipment!$B$2:$B$153,MATCH(E140,Equipment!$A$2:$A$153,0))</f>
        <v>ST step-up transformer - LV bushings / marshalling box</v>
      </c>
      <c r="G140" s="26" t="s">
        <v>514</v>
      </c>
      <c r="H140" s="27" t="str">
        <f aca="false">INDEX(Equipment!$B$2:$B$153,MATCH(G140,Equipment!$A$2:$A$153,0))</f>
        <v>Generator &amp; transformer protection panels</v>
      </c>
      <c r="I140" s="26" t="s">
        <v>603</v>
      </c>
      <c r="J140" s="27" t="str">
        <f aca="false">INDEX('Cable Types'!$B$2:$B$45,MATCH(I140,'Cable Types'!$A$2:$A$45,0))</f>
        <v>600 V 25/C #14 AWG Cu XHHW-2 control, Type MC-HL, CCW Al armor (Armor-X type), PVC jkt</v>
      </c>
      <c r="K140" s="26" t="n">
        <v>1</v>
      </c>
      <c r="L140" s="26" t="s">
        <v>720</v>
      </c>
      <c r="M140" s="26" t="s">
        <v>703</v>
      </c>
      <c r="N140" s="26"/>
      <c r="O140" s="28" t="n">
        <f aca="false">IF(N140&lt;&gt;"",N140,IF(M140="D",ROUNDUP(SQRT((AL140-AI140)^2+(AM140-AJ140)^2+(AN140-AK140)^2)*(1+'Design Basis'!$C$6),0),ROUNDUP((ABS(AL140-AI140)+ABS(AM140-AJ140)+ABS(AO140-AK140)+ABS(AO140-AN140))*(1+'Design Basis'!$C$4)+2*'Design Basis'!$C$5,0)))</f>
        <v>60</v>
      </c>
      <c r="P140" s="28" t="n">
        <f aca="false">ROUND(O140*'Design Basis'!$C$10,0)</f>
        <v>197</v>
      </c>
      <c r="Q140" s="28" t="n">
        <f aca="false">O140*K140*AQ140</f>
        <v>60</v>
      </c>
      <c r="R140" s="28" t="n">
        <f aca="false">ROUND(Q140*'Design Basis'!$C$10,0)</f>
        <v>197</v>
      </c>
      <c r="S140" s="29"/>
      <c r="T140" s="26"/>
      <c r="U140" s="29"/>
      <c r="V140" s="30"/>
      <c r="W140" s="28" t="str">
        <f aca="false">IF(OR(U140="",S140=""),"",IF(T140=3,U140*1000/(SQRT(3)*S140*V140),U140*1000/(S140*V140)))</f>
        <v/>
      </c>
      <c r="X140" s="30"/>
      <c r="Y140" s="28" t="str">
        <f aca="false">IF(W140="","",W140*IF(X140="",1,X140))</f>
        <v/>
      </c>
      <c r="Z140" s="28" t="str">
        <f aca="false">IF(OR(AS140="",AP140=""),"",AS140*AP140)</f>
        <v/>
      </c>
      <c r="AA140" s="28" t="str">
        <f aca="false">IF(Z140="","",Z140*K140)</f>
        <v/>
      </c>
      <c r="AB140" s="31" t="str">
        <f aca="false">IF(OR(Y140="",AA140=""),"",Y140/AA140)</f>
        <v/>
      </c>
      <c r="AC140" s="31" t="str">
        <f aca="false">IF(OR(W140="",AT140=""),"",AT140*(W140/K140)*O140/1000/S140)</f>
        <v/>
      </c>
      <c r="AD140" s="31" t="str">
        <f aca="false">IF(W140="","",IFERROR(IF(INDEX('Design Basis'!$C$13:$C$21,MATCH(C140,'Design Basis'!$A$13:$A$21,0))="","",INDEX('Design Basis'!$C$13:$C$21,MATCH(C140,'Design Basis'!$A$13:$A$21,0))),""))</f>
        <v/>
      </c>
      <c r="AE140" s="32" t="str">
        <f aca="false">IF(W140="","n/a",IF(AA140="","CHECK",IF(AND(AB140&lt;=1,OR(AC140="",AD140="",AC140&lt;=AD140)),"OK","CHECK")))</f>
        <v>n/a</v>
      </c>
      <c r="AF140" s="28" t="n">
        <f aca="false">IF(AR140="","",K140*AQ140*PI()/4*AR140^2)</f>
        <v>572.55526111674</v>
      </c>
      <c r="AG140" s="32"/>
      <c r="AI140" s="33" t="n">
        <f aca="false">INDEX(Equipment!$D$2:$D$153,MATCH(E140,Equipment!$A$2:$A$153,0))</f>
        <v>74</v>
      </c>
      <c r="AJ140" s="33" t="n">
        <f aca="false">INDEX(Equipment!$E$2:$E$153,MATCH(E140,Equipment!$A$2:$A$153,0))</f>
        <v>60</v>
      </c>
      <c r="AK140" s="33" t="n">
        <f aca="false">INDEX(Equipment!$F$2:$F$153,MATCH(E140,Equipment!$A$2:$A$153,0))</f>
        <v>4.5</v>
      </c>
      <c r="AL140" s="33" t="n">
        <f aca="false">INDEX(Equipment!$D$2:$D$153,MATCH(G140,Equipment!$A$2:$A$153,0))</f>
        <v>38</v>
      </c>
      <c r="AM140" s="33" t="n">
        <f aca="false">INDEX(Equipment!$E$2:$E$153,MATCH(G140,Equipment!$A$2:$A$153,0))</f>
        <v>55</v>
      </c>
      <c r="AN140" s="33" t="n">
        <f aca="false">INDEX(Equipment!$F$2:$F$153,MATCH(G140,Equipment!$A$2:$A$153,0))</f>
        <v>0.5</v>
      </c>
      <c r="AO140" s="33" t="n">
        <f aca="false">IF(INDEX(Raceways!$D$2:$D$18,MATCH(L140,Raceways!$A$2:$A$18,0))="",0,INDEX(Raceways!$D$2:$D$18,MATCH(L140,Raceways!$A$2:$A$18,0)))</f>
        <v>-1.2</v>
      </c>
      <c r="AP140" s="34" t="n">
        <f aca="false">IF(INDEX(Raceways!$I$2:$I$18,MATCH(L140,Raceways!$A$2:$A$18,0))="","",INDEX(Raceways!$I$2:$I$18,MATCH(L140,Raceways!$A$2:$A$18,0)))</f>
        <v>0.7</v>
      </c>
      <c r="AQ140" s="27" t="n">
        <f aca="false">INDEX('Cable Types'!$D$2:$D$45,MATCH(I140,'Cable Types'!$A$2:$A$45,0))</f>
        <v>1</v>
      </c>
      <c r="AR140" s="27" t="n">
        <f aca="false">IF(INDEX('Cable Types'!$E$2:$E$45,MATCH(I140,'Cable Types'!$A$2:$A$45,0))="","",INDEX('Cable Types'!$E$2:$E$45,MATCH(I140,'Cable Types'!$A$2:$A$45,0)))</f>
        <v>27</v>
      </c>
      <c r="AS140" s="27" t="str">
        <f aca="false">IF(INDEX('Cable Types'!$F$2:$F$45,MATCH(I140,'Cable Types'!$A$2:$A$45,0))="","",INDEX('Cable Types'!$F$2:$F$45,MATCH(I140,'Cable Types'!$A$2:$A$45,0)))</f>
        <v/>
      </c>
      <c r="AT140" s="35" t="str">
        <f aca="false">IF(INDEX('Cable Types'!$G$2:$G$45,MATCH(I140,'Cable Types'!$A$2:$A$45,0))="","",INDEX('Cable Types'!$G$2:$G$45,MATCH(I140,'Cable Types'!$A$2:$A$45,0)))</f>
        <v/>
      </c>
    </row>
    <row r="141" customFormat="false" ht="15" hidden="false" customHeight="false" outlineLevel="0" collapsed="false">
      <c r="A141" s="26" t="s">
        <v>991</v>
      </c>
      <c r="B141" s="26" t="s">
        <v>139</v>
      </c>
      <c r="C141" s="26" t="s">
        <v>80</v>
      </c>
      <c r="D141" s="26" t="s">
        <v>992</v>
      </c>
      <c r="E141" s="26" t="s">
        <v>154</v>
      </c>
      <c r="F141" s="27" t="str">
        <f aca="false">INDEX(Equipment!$B$2:$B$153,MATCH(E141,Equipment!$A$2:$A$153,0))</f>
        <v>Unit auxiliary transformer 1, 19/13.8 kV 45 MVA</v>
      </c>
      <c r="G141" s="26" t="s">
        <v>514</v>
      </c>
      <c r="H141" s="27" t="str">
        <f aca="false">INDEX(Equipment!$B$2:$B$153,MATCH(G141,Equipment!$A$2:$A$153,0))</f>
        <v>Generator &amp; transformer protection panels</v>
      </c>
      <c r="I141" s="26" t="s">
        <v>605</v>
      </c>
      <c r="J141" s="27" t="str">
        <f aca="false">INDEX('Cable Types'!$B$2:$B$45,MATCH(I141,'Cable Types'!$A$2:$A$45,0))</f>
        <v>600 V 12/C #10 AWG Cu XHHW-2 control (CT circuits), Type MC-HL, CCW Al armor (Armor-X type), PVC jkt</v>
      </c>
      <c r="K141" s="26" t="n">
        <v>1</v>
      </c>
      <c r="L141" s="26" t="s">
        <v>720</v>
      </c>
      <c r="M141" s="26" t="s">
        <v>703</v>
      </c>
      <c r="N141" s="26"/>
      <c r="O141" s="28" t="n">
        <f aca="false">IF(N141&lt;&gt;"",N141,IF(M141="D",ROUNDUP(SQRT((AL141-AI141)^2+(AM141-AJ141)^2+(AN141-AK141)^2)*(1+'Design Basis'!$C$6),0),ROUNDUP((ABS(AL141-AI141)+ABS(AM141-AJ141)+ABS(AO141-AK141)+ABS(AO141-AN141))*(1+'Design Basis'!$C$4)+2*'Design Basis'!$C$5,0)))</f>
        <v>29</v>
      </c>
      <c r="P141" s="28" t="n">
        <f aca="false">ROUND(O141*'Design Basis'!$C$10,0)</f>
        <v>95</v>
      </c>
      <c r="Q141" s="28" t="n">
        <f aca="false">O141*K141*AQ141</f>
        <v>29</v>
      </c>
      <c r="R141" s="28" t="n">
        <f aca="false">ROUND(Q141*'Design Basis'!$C$10,0)</f>
        <v>95</v>
      </c>
      <c r="S141" s="29"/>
      <c r="T141" s="26"/>
      <c r="U141" s="29"/>
      <c r="V141" s="30"/>
      <c r="W141" s="28" t="str">
        <f aca="false">IF(OR(U141="",S141=""),"",IF(T141=3,U141*1000/(SQRT(3)*S141*V141),U141*1000/(S141*V141)))</f>
        <v/>
      </c>
      <c r="X141" s="30"/>
      <c r="Y141" s="28" t="str">
        <f aca="false">IF(W141="","",W141*IF(X141="",1,X141))</f>
        <v/>
      </c>
      <c r="Z141" s="28" t="str">
        <f aca="false">IF(OR(AS141="",AP141=""),"",AS141*AP141)</f>
        <v/>
      </c>
      <c r="AA141" s="28" t="str">
        <f aca="false">IF(Z141="","",Z141*K141)</f>
        <v/>
      </c>
      <c r="AB141" s="31" t="str">
        <f aca="false">IF(OR(Y141="",AA141=""),"",Y141/AA141)</f>
        <v/>
      </c>
      <c r="AC141" s="31" t="str">
        <f aca="false">IF(OR(W141="",AT141=""),"",AT141*(W141/K141)*O141/1000/S141)</f>
        <v/>
      </c>
      <c r="AD141" s="31" t="str">
        <f aca="false">IF(W141="","",IFERROR(IF(INDEX('Design Basis'!$C$13:$C$21,MATCH(C141,'Design Basis'!$A$13:$A$21,0))="","",INDEX('Design Basis'!$C$13:$C$21,MATCH(C141,'Design Basis'!$A$13:$A$21,0))),""))</f>
        <v/>
      </c>
      <c r="AE141" s="32" t="str">
        <f aca="false">IF(W141="","n/a",IF(AA141="","CHECK",IF(AND(AB141&lt;=1,OR(AC141="",AD141="",AC141&lt;=AD141)),"OK","CHECK")))</f>
        <v>n/a</v>
      </c>
      <c r="AF141" s="28" t="n">
        <f aca="false">IF(AR141="","",K141*AQ141*PI()/4*AR141^2)</f>
        <v>572.55526111674</v>
      </c>
      <c r="AG141" s="32"/>
      <c r="AI141" s="33" t="n">
        <f aca="false">INDEX(Equipment!$D$2:$D$153,MATCH(E141,Equipment!$A$2:$A$153,0))</f>
        <v>44</v>
      </c>
      <c r="AJ141" s="33" t="n">
        <f aca="false">INDEX(Equipment!$E$2:$E$153,MATCH(E141,Equipment!$A$2:$A$153,0))</f>
        <v>64</v>
      </c>
      <c r="AK141" s="33" t="n">
        <f aca="false">INDEX(Equipment!$F$2:$F$153,MATCH(E141,Equipment!$A$2:$A$153,0))</f>
        <v>3</v>
      </c>
      <c r="AL141" s="33" t="n">
        <f aca="false">INDEX(Equipment!$D$2:$D$153,MATCH(G141,Equipment!$A$2:$A$153,0))</f>
        <v>38</v>
      </c>
      <c r="AM141" s="33" t="n">
        <f aca="false">INDEX(Equipment!$E$2:$E$153,MATCH(G141,Equipment!$A$2:$A$153,0))</f>
        <v>55</v>
      </c>
      <c r="AN141" s="33" t="n">
        <f aca="false">INDEX(Equipment!$F$2:$F$153,MATCH(G141,Equipment!$A$2:$A$153,0))</f>
        <v>0.5</v>
      </c>
      <c r="AO141" s="33" t="n">
        <f aca="false">IF(INDEX(Raceways!$D$2:$D$18,MATCH(L141,Raceways!$A$2:$A$18,0))="",0,INDEX(Raceways!$D$2:$D$18,MATCH(L141,Raceways!$A$2:$A$18,0)))</f>
        <v>-1.2</v>
      </c>
      <c r="AP141" s="34" t="n">
        <f aca="false">IF(INDEX(Raceways!$I$2:$I$18,MATCH(L141,Raceways!$A$2:$A$18,0))="","",INDEX(Raceways!$I$2:$I$18,MATCH(L141,Raceways!$A$2:$A$18,0)))</f>
        <v>0.7</v>
      </c>
      <c r="AQ141" s="27" t="n">
        <f aca="false">INDEX('Cable Types'!$D$2:$D$45,MATCH(I141,'Cable Types'!$A$2:$A$45,0))</f>
        <v>1</v>
      </c>
      <c r="AR141" s="27" t="n">
        <f aca="false">IF(INDEX('Cable Types'!$E$2:$E$45,MATCH(I141,'Cable Types'!$A$2:$A$45,0))="","",INDEX('Cable Types'!$E$2:$E$45,MATCH(I141,'Cable Types'!$A$2:$A$45,0)))</f>
        <v>27</v>
      </c>
      <c r="AS141" s="27" t="str">
        <f aca="false">IF(INDEX('Cable Types'!$F$2:$F$45,MATCH(I141,'Cable Types'!$A$2:$A$45,0))="","",INDEX('Cable Types'!$F$2:$F$45,MATCH(I141,'Cable Types'!$A$2:$A$45,0)))</f>
        <v/>
      </c>
      <c r="AT141" s="35" t="str">
        <f aca="false">IF(INDEX('Cable Types'!$G$2:$G$45,MATCH(I141,'Cable Types'!$A$2:$A$45,0))="","",INDEX('Cable Types'!$G$2:$G$45,MATCH(I141,'Cable Types'!$A$2:$A$45,0)))</f>
        <v/>
      </c>
    </row>
    <row r="142" customFormat="false" ht="15" hidden="false" customHeight="false" outlineLevel="0" collapsed="false">
      <c r="A142" s="26" t="s">
        <v>993</v>
      </c>
      <c r="B142" s="26" t="s">
        <v>139</v>
      </c>
      <c r="C142" s="26" t="s">
        <v>80</v>
      </c>
      <c r="D142" s="26" t="s">
        <v>994</v>
      </c>
      <c r="E142" s="26" t="s">
        <v>157</v>
      </c>
      <c r="F142" s="27" t="str">
        <f aca="false">INDEX(Equipment!$B$2:$B$153,MATCH(E142,Equipment!$A$2:$A$153,0))</f>
        <v>Unit auxiliary transformer 2, 18/13.8 kV 30 MVA (feeds CCS)</v>
      </c>
      <c r="G142" s="26" t="s">
        <v>514</v>
      </c>
      <c r="H142" s="27" t="str">
        <f aca="false">INDEX(Equipment!$B$2:$B$153,MATCH(G142,Equipment!$A$2:$A$153,0))</f>
        <v>Generator &amp; transformer protection panels</v>
      </c>
      <c r="I142" s="26" t="s">
        <v>605</v>
      </c>
      <c r="J142" s="27" t="str">
        <f aca="false">INDEX('Cable Types'!$B$2:$B$45,MATCH(I142,'Cable Types'!$A$2:$A$45,0))</f>
        <v>600 V 12/C #10 AWG Cu XHHW-2 control (CT circuits), Type MC-HL, CCW Al armor (Armor-X type), PVC jkt</v>
      </c>
      <c r="K142" s="26" t="n">
        <v>1</v>
      </c>
      <c r="L142" s="26" t="s">
        <v>720</v>
      </c>
      <c r="M142" s="26" t="s">
        <v>703</v>
      </c>
      <c r="N142" s="26"/>
      <c r="O142" s="28" t="n">
        <f aca="false">IF(N142&lt;&gt;"",N142,IF(M142="D",ROUNDUP(SQRT((AL142-AI142)^2+(AM142-AJ142)^2+(AN142-AK142)^2)*(1+'Design Basis'!$C$6),0),ROUNDUP((ABS(AL142-AI142)+ABS(AM142-AJ142)+ABS(AO142-AK142)+ABS(AO142-AN142))*(1+'Design Basis'!$C$4)+2*'Design Basis'!$C$5,0)))</f>
        <v>76</v>
      </c>
      <c r="P142" s="28" t="n">
        <f aca="false">ROUND(O142*'Design Basis'!$C$10,0)</f>
        <v>249</v>
      </c>
      <c r="Q142" s="28" t="n">
        <f aca="false">O142*K142*AQ142</f>
        <v>76</v>
      </c>
      <c r="R142" s="28" t="n">
        <f aca="false">ROUND(Q142*'Design Basis'!$C$10,0)</f>
        <v>249</v>
      </c>
      <c r="S142" s="29"/>
      <c r="T142" s="26"/>
      <c r="U142" s="29"/>
      <c r="V142" s="30"/>
      <c r="W142" s="28" t="str">
        <f aca="false">IF(OR(U142="",S142=""),"",IF(T142=3,U142*1000/(SQRT(3)*S142*V142),U142*1000/(S142*V142)))</f>
        <v/>
      </c>
      <c r="X142" s="30"/>
      <c r="Y142" s="28" t="str">
        <f aca="false">IF(W142="","",W142*IF(X142="",1,X142))</f>
        <v/>
      </c>
      <c r="Z142" s="28" t="str">
        <f aca="false">IF(OR(AS142="",AP142=""),"",AS142*AP142)</f>
        <v/>
      </c>
      <c r="AA142" s="28" t="str">
        <f aca="false">IF(Z142="","",Z142*K142)</f>
        <v/>
      </c>
      <c r="AB142" s="31" t="str">
        <f aca="false">IF(OR(Y142="",AA142=""),"",Y142/AA142)</f>
        <v/>
      </c>
      <c r="AC142" s="31" t="str">
        <f aca="false">IF(OR(W142="",AT142=""),"",AT142*(W142/K142)*O142/1000/S142)</f>
        <v/>
      </c>
      <c r="AD142" s="31" t="str">
        <f aca="false">IF(W142="","",IFERROR(IF(INDEX('Design Basis'!$C$13:$C$21,MATCH(C142,'Design Basis'!$A$13:$A$21,0))="","",INDEX('Design Basis'!$C$13:$C$21,MATCH(C142,'Design Basis'!$A$13:$A$21,0))),""))</f>
        <v/>
      </c>
      <c r="AE142" s="32" t="str">
        <f aca="false">IF(W142="","n/a",IF(AA142="","CHECK",IF(AND(AB142&lt;=1,OR(AC142="",AD142="",AC142&lt;=AD142)),"OK","CHECK")))</f>
        <v>n/a</v>
      </c>
      <c r="AF142" s="28" t="n">
        <f aca="false">IF(AR142="","",K142*AQ142*PI()/4*AR142^2)</f>
        <v>572.55526111674</v>
      </c>
      <c r="AG142" s="32"/>
      <c r="AI142" s="33" t="n">
        <f aca="false">INDEX(Equipment!$D$2:$D$153,MATCH(E142,Equipment!$A$2:$A$153,0))</f>
        <v>86</v>
      </c>
      <c r="AJ142" s="33" t="n">
        <f aca="false">INDEX(Equipment!$E$2:$E$153,MATCH(E142,Equipment!$A$2:$A$153,0))</f>
        <v>64</v>
      </c>
      <c r="AK142" s="33" t="n">
        <f aca="false">INDEX(Equipment!$F$2:$F$153,MATCH(E142,Equipment!$A$2:$A$153,0))</f>
        <v>3</v>
      </c>
      <c r="AL142" s="33" t="n">
        <f aca="false">INDEX(Equipment!$D$2:$D$153,MATCH(G142,Equipment!$A$2:$A$153,0))</f>
        <v>38</v>
      </c>
      <c r="AM142" s="33" t="n">
        <f aca="false">INDEX(Equipment!$E$2:$E$153,MATCH(G142,Equipment!$A$2:$A$153,0))</f>
        <v>55</v>
      </c>
      <c r="AN142" s="33" t="n">
        <f aca="false">INDEX(Equipment!$F$2:$F$153,MATCH(G142,Equipment!$A$2:$A$153,0))</f>
        <v>0.5</v>
      </c>
      <c r="AO142" s="33" t="n">
        <f aca="false">IF(INDEX(Raceways!$D$2:$D$18,MATCH(L142,Raceways!$A$2:$A$18,0))="",0,INDEX(Raceways!$D$2:$D$18,MATCH(L142,Raceways!$A$2:$A$18,0)))</f>
        <v>-1.2</v>
      </c>
      <c r="AP142" s="34" t="n">
        <f aca="false">IF(INDEX(Raceways!$I$2:$I$18,MATCH(L142,Raceways!$A$2:$A$18,0))="","",INDEX(Raceways!$I$2:$I$18,MATCH(L142,Raceways!$A$2:$A$18,0)))</f>
        <v>0.7</v>
      </c>
      <c r="AQ142" s="27" t="n">
        <f aca="false">INDEX('Cable Types'!$D$2:$D$45,MATCH(I142,'Cable Types'!$A$2:$A$45,0))</f>
        <v>1</v>
      </c>
      <c r="AR142" s="27" t="n">
        <f aca="false">IF(INDEX('Cable Types'!$E$2:$E$45,MATCH(I142,'Cable Types'!$A$2:$A$45,0))="","",INDEX('Cable Types'!$E$2:$E$45,MATCH(I142,'Cable Types'!$A$2:$A$45,0)))</f>
        <v>27</v>
      </c>
      <c r="AS142" s="27" t="str">
        <f aca="false">IF(INDEX('Cable Types'!$F$2:$F$45,MATCH(I142,'Cable Types'!$A$2:$A$45,0))="","",INDEX('Cable Types'!$F$2:$F$45,MATCH(I142,'Cable Types'!$A$2:$A$45,0)))</f>
        <v/>
      </c>
      <c r="AT142" s="35" t="str">
        <f aca="false">IF(INDEX('Cable Types'!$G$2:$G$45,MATCH(I142,'Cable Types'!$A$2:$A$45,0))="","",INDEX('Cable Types'!$G$2:$G$45,MATCH(I142,'Cable Types'!$A$2:$A$45,0)))</f>
        <v/>
      </c>
    </row>
    <row r="143" customFormat="false" ht="15" hidden="false" customHeight="false" outlineLevel="0" collapsed="false">
      <c r="A143" s="26" t="s">
        <v>995</v>
      </c>
      <c r="B143" s="26" t="s">
        <v>139</v>
      </c>
      <c r="C143" s="26" t="s">
        <v>80</v>
      </c>
      <c r="D143" s="26" t="s">
        <v>996</v>
      </c>
      <c r="E143" s="26" t="s">
        <v>137</v>
      </c>
      <c r="F143" s="27" t="str">
        <f aca="false">INDEX(Equipment!$B$2:$B$153,MATCH(E143,Equipment!$A$2:$A$153,0))</f>
        <v>Gas turbine generator ~290 MVA, 19 kV - line terminals</v>
      </c>
      <c r="G143" s="26" t="s">
        <v>514</v>
      </c>
      <c r="H143" s="27" t="str">
        <f aca="false">INDEX(Equipment!$B$2:$B$153,MATCH(G143,Equipment!$A$2:$A$153,0))</f>
        <v>Generator &amp; transformer protection panels</v>
      </c>
      <c r="I143" s="26" t="s">
        <v>605</v>
      </c>
      <c r="J143" s="27" t="str">
        <f aca="false">INDEX('Cable Types'!$B$2:$B$45,MATCH(I143,'Cable Types'!$A$2:$A$45,0))</f>
        <v>600 V 12/C #10 AWG Cu XHHW-2 control (CT circuits), Type MC-HL, CCW Al armor (Armor-X type), PVC jkt</v>
      </c>
      <c r="K143" s="26" t="n">
        <v>2</v>
      </c>
      <c r="L143" s="26" t="s">
        <v>730</v>
      </c>
      <c r="M143" s="26" t="s">
        <v>703</v>
      </c>
      <c r="N143" s="26"/>
      <c r="O143" s="28" t="n">
        <f aca="false">IF(N143&lt;&gt;"",N143,IF(M143="D",ROUNDUP(SQRT((AL143-AI143)^2+(AM143-AJ143)^2+(AN143-AK143)^2)*(1+'Design Basis'!$C$6),0),ROUNDUP((ABS(AL143-AI143)+ABS(AM143-AJ143)+ABS(AO143-AK143)+ABS(AO143-AN143))*(1+'Design Basis'!$C$4)+2*'Design Basis'!$C$5,0)))</f>
        <v>75</v>
      </c>
      <c r="P143" s="28" t="n">
        <f aca="false">ROUND(O143*'Design Basis'!$C$10,0)</f>
        <v>246</v>
      </c>
      <c r="Q143" s="28" t="n">
        <f aca="false">O143*K143*AQ143</f>
        <v>150</v>
      </c>
      <c r="R143" s="28" t="n">
        <f aca="false">ROUND(Q143*'Design Basis'!$C$10,0)</f>
        <v>492</v>
      </c>
      <c r="S143" s="29"/>
      <c r="T143" s="26"/>
      <c r="U143" s="29"/>
      <c r="V143" s="30"/>
      <c r="W143" s="28" t="str">
        <f aca="false">IF(OR(U143="",S143=""),"",IF(T143=3,U143*1000/(SQRT(3)*S143*V143),U143*1000/(S143*V143)))</f>
        <v/>
      </c>
      <c r="X143" s="30"/>
      <c r="Y143" s="28" t="str">
        <f aca="false">IF(W143="","",W143*IF(X143="",1,X143))</f>
        <v/>
      </c>
      <c r="Z143" s="28" t="str">
        <f aca="false">IF(OR(AS143="",AP143=""),"",AS143*AP143)</f>
        <v/>
      </c>
      <c r="AA143" s="28" t="str">
        <f aca="false">IF(Z143="","",Z143*K143)</f>
        <v/>
      </c>
      <c r="AB143" s="31" t="str">
        <f aca="false">IF(OR(Y143="",AA143=""),"",Y143/AA143)</f>
        <v/>
      </c>
      <c r="AC143" s="31" t="str">
        <f aca="false">IF(OR(W143="",AT143=""),"",AT143*(W143/K143)*O143/1000/S143)</f>
        <v/>
      </c>
      <c r="AD143" s="31" t="str">
        <f aca="false">IF(W143="","",IFERROR(IF(INDEX('Design Basis'!$C$13:$C$21,MATCH(C143,'Design Basis'!$A$13:$A$21,0))="","",INDEX('Design Basis'!$C$13:$C$21,MATCH(C143,'Design Basis'!$A$13:$A$21,0))),""))</f>
        <v/>
      </c>
      <c r="AE143" s="32" t="str">
        <f aca="false">IF(W143="","n/a",IF(AA143="","CHECK",IF(AND(AB143&lt;=1,OR(AC143="",AD143="",AC143&lt;=AD143)),"OK","CHECK")))</f>
        <v>n/a</v>
      </c>
      <c r="AF143" s="28" t="n">
        <f aca="false">IF(AR143="","",K143*AQ143*PI()/4*AR143^2)</f>
        <v>1145.11052223348</v>
      </c>
      <c r="AG143" s="32"/>
      <c r="AI143" s="33" t="n">
        <f aca="false">INDEX(Equipment!$D$2:$D$153,MATCH(E143,Equipment!$A$2:$A$153,0))</f>
        <v>58</v>
      </c>
      <c r="AJ143" s="33" t="n">
        <f aca="false">INDEX(Equipment!$E$2:$E$153,MATCH(E143,Equipment!$A$2:$A$153,0))</f>
        <v>18</v>
      </c>
      <c r="AK143" s="33" t="n">
        <f aca="false">INDEX(Equipment!$F$2:$F$153,MATCH(E143,Equipment!$A$2:$A$153,0))</f>
        <v>4</v>
      </c>
      <c r="AL143" s="33" t="n">
        <f aca="false">INDEX(Equipment!$D$2:$D$153,MATCH(G143,Equipment!$A$2:$A$153,0))</f>
        <v>38</v>
      </c>
      <c r="AM143" s="33" t="n">
        <f aca="false">INDEX(Equipment!$E$2:$E$153,MATCH(G143,Equipment!$A$2:$A$153,0))</f>
        <v>55</v>
      </c>
      <c r="AN143" s="33" t="n">
        <f aca="false">INDEX(Equipment!$F$2:$F$153,MATCH(G143,Equipment!$A$2:$A$153,0))</f>
        <v>0.5</v>
      </c>
      <c r="AO143" s="33" t="n">
        <f aca="false">IF(INDEX(Raceways!$D$2:$D$18,MATCH(L143,Raceways!$A$2:$A$18,0))="",0,INDEX(Raceways!$D$2:$D$18,MATCH(L143,Raceways!$A$2:$A$18,0)))</f>
        <v>5</v>
      </c>
      <c r="AP143" s="34" t="n">
        <f aca="false">IF(INDEX(Raceways!$I$2:$I$18,MATCH(L143,Raceways!$A$2:$A$18,0))="","",INDEX(Raceways!$I$2:$I$18,MATCH(L143,Raceways!$A$2:$A$18,0)))</f>
        <v>0.88</v>
      </c>
      <c r="AQ143" s="27" t="n">
        <f aca="false">INDEX('Cable Types'!$D$2:$D$45,MATCH(I143,'Cable Types'!$A$2:$A$45,0))</f>
        <v>1</v>
      </c>
      <c r="AR143" s="27" t="n">
        <f aca="false">IF(INDEX('Cable Types'!$E$2:$E$45,MATCH(I143,'Cable Types'!$A$2:$A$45,0))="","",INDEX('Cable Types'!$E$2:$E$45,MATCH(I143,'Cable Types'!$A$2:$A$45,0)))</f>
        <v>27</v>
      </c>
      <c r="AS143" s="27" t="str">
        <f aca="false">IF(INDEX('Cable Types'!$F$2:$F$45,MATCH(I143,'Cable Types'!$A$2:$A$45,0))="","",INDEX('Cable Types'!$F$2:$F$45,MATCH(I143,'Cable Types'!$A$2:$A$45,0)))</f>
        <v/>
      </c>
      <c r="AT143" s="35" t="str">
        <f aca="false">IF(INDEX('Cable Types'!$G$2:$G$45,MATCH(I143,'Cable Types'!$A$2:$A$45,0))="","",INDEX('Cable Types'!$G$2:$G$45,MATCH(I143,'Cable Types'!$A$2:$A$45,0)))</f>
        <v/>
      </c>
    </row>
    <row r="144" customFormat="false" ht="15" hidden="false" customHeight="false" outlineLevel="0" collapsed="false">
      <c r="A144" s="26" t="s">
        <v>997</v>
      </c>
      <c r="B144" s="26" t="s">
        <v>139</v>
      </c>
      <c r="C144" s="26" t="s">
        <v>80</v>
      </c>
      <c r="D144" s="26" t="s">
        <v>998</v>
      </c>
      <c r="E144" s="26" t="s">
        <v>141</v>
      </c>
      <c r="F144" s="27" t="str">
        <f aca="false">INDEX(Equipment!$B$2:$B$153,MATCH(E144,Equipment!$A$2:$A$153,0))</f>
        <v>Steam turbine generator ~175 MVA, 18 kV - line terminals</v>
      </c>
      <c r="G144" s="26" t="s">
        <v>514</v>
      </c>
      <c r="H144" s="27" t="str">
        <f aca="false">INDEX(Equipment!$B$2:$B$153,MATCH(G144,Equipment!$A$2:$A$153,0))</f>
        <v>Generator &amp; transformer protection panels</v>
      </c>
      <c r="I144" s="26" t="s">
        <v>605</v>
      </c>
      <c r="J144" s="27" t="str">
        <f aca="false">INDEX('Cable Types'!$B$2:$B$45,MATCH(I144,'Cable Types'!$A$2:$A$45,0))</f>
        <v>600 V 12/C #10 AWG Cu XHHW-2 control (CT circuits), Type MC-HL, CCW Al armor (Armor-X type), PVC jkt</v>
      </c>
      <c r="K144" s="26" t="n">
        <v>2</v>
      </c>
      <c r="L144" s="26" t="s">
        <v>724</v>
      </c>
      <c r="M144" s="26" t="s">
        <v>703</v>
      </c>
      <c r="N144" s="26"/>
      <c r="O144" s="28" t="n">
        <f aca="false">IF(N144&lt;&gt;"",N144,IF(M144="D",ROUNDUP(SQRT((AL144-AI144)^2+(AM144-AJ144)^2+(AN144-AK144)^2)*(1+'Design Basis'!$C$6),0),ROUNDUP((ABS(AL144-AI144)+ABS(AM144-AJ144)+ABS(AO144-AK144)+ABS(AO144-AN144))*(1+'Design Basis'!$C$4)+2*'Design Basis'!$C$5,0)))</f>
        <v>47</v>
      </c>
      <c r="P144" s="28" t="n">
        <f aca="false">ROUND(O144*'Design Basis'!$C$10,0)</f>
        <v>154</v>
      </c>
      <c r="Q144" s="28" t="n">
        <f aca="false">O144*K144*AQ144</f>
        <v>94</v>
      </c>
      <c r="R144" s="28" t="n">
        <f aca="false">ROUND(Q144*'Design Basis'!$C$10,0)</f>
        <v>308</v>
      </c>
      <c r="S144" s="29"/>
      <c r="T144" s="26"/>
      <c r="U144" s="29"/>
      <c r="V144" s="30"/>
      <c r="W144" s="28" t="str">
        <f aca="false">IF(OR(U144="",S144=""),"",IF(T144=3,U144*1000/(SQRT(3)*S144*V144),U144*1000/(S144*V144)))</f>
        <v/>
      </c>
      <c r="X144" s="30"/>
      <c r="Y144" s="28" t="str">
        <f aca="false">IF(W144="","",W144*IF(X144="",1,X144))</f>
        <v/>
      </c>
      <c r="Z144" s="28" t="str">
        <f aca="false">IF(OR(AS144="",AP144=""),"",AS144*AP144)</f>
        <v/>
      </c>
      <c r="AA144" s="28" t="str">
        <f aca="false">IF(Z144="","",Z144*K144)</f>
        <v/>
      </c>
      <c r="AB144" s="31" t="str">
        <f aca="false">IF(OR(Y144="",AA144=""),"",Y144/AA144)</f>
        <v/>
      </c>
      <c r="AC144" s="31" t="str">
        <f aca="false">IF(OR(W144="",AT144=""),"",AT144*(W144/K144)*O144/1000/S144)</f>
        <v/>
      </c>
      <c r="AD144" s="31" t="str">
        <f aca="false">IF(W144="","",IFERROR(IF(INDEX('Design Basis'!$C$13:$C$21,MATCH(C144,'Design Basis'!$A$13:$A$21,0))="","",INDEX('Design Basis'!$C$13:$C$21,MATCH(C144,'Design Basis'!$A$13:$A$21,0))),""))</f>
        <v/>
      </c>
      <c r="AE144" s="32" t="str">
        <f aca="false">IF(W144="","n/a",IF(AA144="","CHECK",IF(AND(AB144&lt;=1,OR(AC144="",AD144="",AC144&lt;=AD144)),"OK","CHECK")))</f>
        <v>n/a</v>
      </c>
      <c r="AF144" s="28" t="n">
        <f aca="false">IF(AR144="","",K144*AQ144*PI()/4*AR144^2)</f>
        <v>1145.11052223348</v>
      </c>
      <c r="AG144" s="32"/>
      <c r="AI144" s="33" t="n">
        <f aca="false">INDEX(Equipment!$D$2:$D$153,MATCH(E144,Equipment!$A$2:$A$153,0))</f>
        <v>60</v>
      </c>
      <c r="AJ144" s="33" t="n">
        <f aca="false">INDEX(Equipment!$E$2:$E$153,MATCH(E144,Equipment!$A$2:$A$153,0))</f>
        <v>46</v>
      </c>
      <c r="AK144" s="33" t="n">
        <f aca="false">INDEX(Equipment!$F$2:$F$153,MATCH(E144,Equipment!$A$2:$A$153,0))</f>
        <v>6</v>
      </c>
      <c r="AL144" s="33" t="n">
        <f aca="false">INDEX(Equipment!$D$2:$D$153,MATCH(G144,Equipment!$A$2:$A$153,0))</f>
        <v>38</v>
      </c>
      <c r="AM144" s="33" t="n">
        <f aca="false">INDEX(Equipment!$E$2:$E$153,MATCH(G144,Equipment!$A$2:$A$153,0))</f>
        <v>55</v>
      </c>
      <c r="AN144" s="33" t="n">
        <f aca="false">INDEX(Equipment!$F$2:$F$153,MATCH(G144,Equipment!$A$2:$A$153,0))</f>
        <v>0.5</v>
      </c>
      <c r="AO144" s="33" t="n">
        <f aca="false">IF(INDEX(Raceways!$D$2:$D$18,MATCH(L144,Raceways!$A$2:$A$18,0))="",0,INDEX(Raceways!$D$2:$D$18,MATCH(L144,Raceways!$A$2:$A$18,0)))</f>
        <v>5</v>
      </c>
      <c r="AP144" s="34" t="n">
        <f aca="false">IF(INDEX(Raceways!$I$2:$I$18,MATCH(L144,Raceways!$A$2:$A$18,0))="","",INDEX(Raceways!$I$2:$I$18,MATCH(L144,Raceways!$A$2:$A$18,0)))</f>
        <v>0.88</v>
      </c>
      <c r="AQ144" s="27" t="n">
        <f aca="false">INDEX('Cable Types'!$D$2:$D$45,MATCH(I144,'Cable Types'!$A$2:$A$45,0))</f>
        <v>1</v>
      </c>
      <c r="AR144" s="27" t="n">
        <f aca="false">IF(INDEX('Cable Types'!$E$2:$E$45,MATCH(I144,'Cable Types'!$A$2:$A$45,0))="","",INDEX('Cable Types'!$E$2:$E$45,MATCH(I144,'Cable Types'!$A$2:$A$45,0)))</f>
        <v>27</v>
      </c>
      <c r="AS144" s="27" t="str">
        <f aca="false">IF(INDEX('Cable Types'!$F$2:$F$45,MATCH(I144,'Cable Types'!$A$2:$A$45,0))="","",INDEX('Cable Types'!$F$2:$F$45,MATCH(I144,'Cable Types'!$A$2:$A$45,0)))</f>
        <v/>
      </c>
      <c r="AT144" s="35" t="str">
        <f aca="false">IF(INDEX('Cable Types'!$G$2:$G$45,MATCH(I144,'Cable Types'!$A$2:$A$45,0))="","",INDEX('Cable Types'!$G$2:$G$45,MATCH(I144,'Cable Types'!$A$2:$A$45,0)))</f>
        <v/>
      </c>
    </row>
    <row r="145" customFormat="false" ht="15" hidden="false" customHeight="false" outlineLevel="0" collapsed="false">
      <c r="A145" s="26" t="s">
        <v>999</v>
      </c>
      <c r="B145" s="26" t="s">
        <v>133</v>
      </c>
      <c r="C145" s="26" t="s">
        <v>80</v>
      </c>
      <c r="D145" s="26" t="s">
        <v>1000</v>
      </c>
      <c r="E145" s="26" t="s">
        <v>135</v>
      </c>
      <c r="F145" s="27" t="str">
        <f aca="false">INDEX(Equipment!$B$2:$B$153,MATCH(E145,Equipment!$A$2:$A$153,0))</f>
        <v>RICE step-up transformer 13.8/230 kV 22 MVA - LV cable box</v>
      </c>
      <c r="G145" s="26" t="s">
        <v>403</v>
      </c>
      <c r="H145" s="27" t="str">
        <f aca="false">INDEX(Equipment!$B$2:$B$153,MATCH(G145,Equipment!$A$2:$A$153,0))</f>
        <v>RICE plant controller</v>
      </c>
      <c r="I145" s="26" t="s">
        <v>605</v>
      </c>
      <c r="J145" s="27" t="str">
        <f aca="false">INDEX('Cable Types'!$B$2:$B$45,MATCH(I145,'Cable Types'!$A$2:$A$45,0))</f>
        <v>600 V 12/C #10 AWG Cu XHHW-2 control (CT circuits), Type MC-HL, CCW Al armor (Armor-X type), PVC jkt</v>
      </c>
      <c r="K145" s="26" t="n">
        <v>1</v>
      </c>
      <c r="L145" s="26" t="s">
        <v>714</v>
      </c>
      <c r="M145" s="26" t="s">
        <v>703</v>
      </c>
      <c r="N145" s="26"/>
      <c r="O145" s="28" t="n">
        <f aca="false">IF(N145&lt;&gt;"",N145,IF(M145="D",ROUNDUP(SQRT((AL145-AI145)^2+(AM145-AJ145)^2+(AN145-AK145)^2)*(1+'Design Basis'!$C$6),0),ROUNDUP((ABS(AL145-AI145)+ABS(AM145-AJ145)+ABS(AO145-AK145)+ABS(AO145-AN145))*(1+'Design Basis'!$C$4)+2*'Design Basis'!$C$5,0)))</f>
        <v>25</v>
      </c>
      <c r="P145" s="28" t="n">
        <f aca="false">ROUND(O145*'Design Basis'!$C$10,0)</f>
        <v>82</v>
      </c>
      <c r="Q145" s="28" t="n">
        <f aca="false">O145*K145*AQ145</f>
        <v>25</v>
      </c>
      <c r="R145" s="28" t="n">
        <f aca="false">ROUND(Q145*'Design Basis'!$C$10,0)</f>
        <v>82</v>
      </c>
      <c r="S145" s="29"/>
      <c r="T145" s="26"/>
      <c r="U145" s="29"/>
      <c r="V145" s="30"/>
      <c r="W145" s="28" t="str">
        <f aca="false">IF(OR(U145="",S145=""),"",IF(T145=3,U145*1000/(SQRT(3)*S145*V145),U145*1000/(S145*V145)))</f>
        <v/>
      </c>
      <c r="X145" s="30"/>
      <c r="Y145" s="28" t="str">
        <f aca="false">IF(W145="","",W145*IF(X145="",1,X145))</f>
        <v/>
      </c>
      <c r="Z145" s="28" t="str">
        <f aca="false">IF(OR(AS145="",AP145=""),"",AS145*AP145)</f>
        <v/>
      </c>
      <c r="AA145" s="28" t="str">
        <f aca="false">IF(Z145="","",Z145*K145)</f>
        <v/>
      </c>
      <c r="AB145" s="31" t="str">
        <f aca="false">IF(OR(Y145="",AA145=""),"",Y145/AA145)</f>
        <v/>
      </c>
      <c r="AC145" s="31" t="str">
        <f aca="false">IF(OR(W145="",AT145=""),"",AT145*(W145/K145)*O145/1000/S145)</f>
        <v/>
      </c>
      <c r="AD145" s="31" t="str">
        <f aca="false">IF(W145="","",IFERROR(IF(INDEX('Design Basis'!$C$13:$C$21,MATCH(C145,'Design Basis'!$A$13:$A$21,0))="","",INDEX('Design Basis'!$C$13:$C$21,MATCH(C145,'Design Basis'!$A$13:$A$21,0))),""))</f>
        <v/>
      </c>
      <c r="AE145" s="32" t="str">
        <f aca="false">IF(W145="","n/a",IF(AA145="","CHECK",IF(AND(AB145&lt;=1,OR(AC145="",AD145="",AC145&lt;=AD145)),"OK","CHECK")))</f>
        <v>n/a</v>
      </c>
      <c r="AF145" s="28" t="n">
        <f aca="false">IF(AR145="","",K145*AQ145*PI()/4*AR145^2)</f>
        <v>572.55526111674</v>
      </c>
      <c r="AG145" s="32"/>
      <c r="AI145" s="33" t="n">
        <f aca="false">INDEX(Equipment!$D$2:$D$153,MATCH(E145,Equipment!$A$2:$A$153,0))</f>
        <v>14.5</v>
      </c>
      <c r="AJ145" s="33" t="n">
        <f aca="false">INDEX(Equipment!$E$2:$E$153,MATCH(E145,Equipment!$A$2:$A$153,0))</f>
        <v>107.5</v>
      </c>
      <c r="AK145" s="33" t="n">
        <f aca="false">INDEX(Equipment!$F$2:$F$153,MATCH(E145,Equipment!$A$2:$A$153,0))</f>
        <v>2</v>
      </c>
      <c r="AL145" s="33" t="n">
        <f aca="false">INDEX(Equipment!$D$2:$D$153,MATCH(G145,Equipment!$A$2:$A$153,0))</f>
        <v>8</v>
      </c>
      <c r="AM145" s="33" t="n">
        <f aca="false">INDEX(Equipment!$E$2:$E$153,MATCH(G145,Equipment!$A$2:$A$153,0))</f>
        <v>99</v>
      </c>
      <c r="AN145" s="33" t="n">
        <f aca="false">INDEX(Equipment!$F$2:$F$153,MATCH(G145,Equipment!$A$2:$A$153,0))</f>
        <v>0.5</v>
      </c>
      <c r="AO145" s="33" t="n">
        <f aca="false">IF(INDEX(Raceways!$D$2:$D$18,MATCH(L145,Raceways!$A$2:$A$18,0))="",0,INDEX(Raceways!$D$2:$D$18,MATCH(L145,Raceways!$A$2:$A$18,0)))</f>
        <v>1</v>
      </c>
      <c r="AP145" s="34" t="n">
        <f aca="false">IF(INDEX(Raceways!$I$2:$I$18,MATCH(L145,Raceways!$A$2:$A$18,0))="","",INDEX(Raceways!$I$2:$I$18,MATCH(L145,Raceways!$A$2:$A$18,0)))</f>
        <v>0.88</v>
      </c>
      <c r="AQ145" s="27" t="n">
        <f aca="false">INDEX('Cable Types'!$D$2:$D$45,MATCH(I145,'Cable Types'!$A$2:$A$45,0))</f>
        <v>1</v>
      </c>
      <c r="AR145" s="27" t="n">
        <f aca="false">IF(INDEX('Cable Types'!$E$2:$E$45,MATCH(I145,'Cable Types'!$A$2:$A$45,0))="","",INDEX('Cable Types'!$E$2:$E$45,MATCH(I145,'Cable Types'!$A$2:$A$45,0)))</f>
        <v>27</v>
      </c>
      <c r="AS145" s="27" t="str">
        <f aca="false">IF(INDEX('Cable Types'!$F$2:$F$45,MATCH(I145,'Cable Types'!$A$2:$A$45,0))="","",INDEX('Cable Types'!$F$2:$F$45,MATCH(I145,'Cable Types'!$A$2:$A$45,0)))</f>
        <v/>
      </c>
      <c r="AT145" s="35" t="str">
        <f aca="false">IF(INDEX('Cable Types'!$G$2:$G$45,MATCH(I145,'Cable Types'!$A$2:$A$45,0))="","",INDEX('Cable Types'!$G$2:$G$45,MATCH(I145,'Cable Types'!$A$2:$A$45,0)))</f>
        <v/>
      </c>
    </row>
    <row r="146" customFormat="false" ht="15" hidden="false" customHeight="false" outlineLevel="0" collapsed="false">
      <c r="A146" s="26" t="s">
        <v>1001</v>
      </c>
      <c r="B146" s="26" t="s">
        <v>505</v>
      </c>
      <c r="C146" s="26" t="s">
        <v>80</v>
      </c>
      <c r="D146" s="26" t="s">
        <v>1002</v>
      </c>
      <c r="E146" s="26" t="s">
        <v>503</v>
      </c>
      <c r="F146" s="27" t="str">
        <f aca="false">INDEX(Equipment!$B$2:$B$153,MATCH(E146,Equipment!$A$2:$A$153,0))</f>
        <v>Main 13.8 kV switchboard (main electrical building)</v>
      </c>
      <c r="G146" s="26" t="s">
        <v>512</v>
      </c>
      <c r="H146" s="27" t="str">
        <f aca="false">INDEX(Equipment!$B$2:$B$153,MATCH(G146,Equipment!$A$2:$A$153,0))</f>
        <v>DCS servers / central control room</v>
      </c>
      <c r="I146" s="26" t="s">
        <v>603</v>
      </c>
      <c r="J146" s="27" t="str">
        <f aca="false">INDEX('Cable Types'!$B$2:$B$45,MATCH(I146,'Cable Types'!$A$2:$A$45,0))</f>
        <v>600 V 25/C #14 AWG Cu XHHW-2 control, Type MC-HL, CCW Al armor (Armor-X type), PVC jkt</v>
      </c>
      <c r="K146" s="26" t="n">
        <v>4</v>
      </c>
      <c r="L146" s="26" t="s">
        <v>714</v>
      </c>
      <c r="M146" s="26" t="s">
        <v>703</v>
      </c>
      <c r="N146" s="26"/>
      <c r="O146" s="28" t="n">
        <f aca="false">IF(N146&lt;&gt;"",N146,IF(M146="D",ROUNDUP(SQRT((AL146-AI146)^2+(AM146-AJ146)^2+(AN146-AK146)^2)*(1+'Design Basis'!$C$6),0),ROUNDUP((ABS(AL146-AI146)+ABS(AM146-AJ146)+ABS(AO146-AK146)+ABS(AO146-AN146))*(1+'Design Basis'!$C$4)+2*'Design Basis'!$C$5,0)))</f>
        <v>15</v>
      </c>
      <c r="P146" s="28" t="n">
        <f aca="false">ROUND(O146*'Design Basis'!$C$10,0)</f>
        <v>49</v>
      </c>
      <c r="Q146" s="28" t="n">
        <f aca="false">O146*K146*AQ146</f>
        <v>60</v>
      </c>
      <c r="R146" s="28" t="n">
        <f aca="false">ROUND(Q146*'Design Basis'!$C$10,0)</f>
        <v>197</v>
      </c>
      <c r="S146" s="29"/>
      <c r="T146" s="26"/>
      <c r="U146" s="29"/>
      <c r="V146" s="30"/>
      <c r="W146" s="28" t="str">
        <f aca="false">IF(OR(U146="",S146=""),"",IF(T146=3,U146*1000/(SQRT(3)*S146*V146),U146*1000/(S146*V146)))</f>
        <v/>
      </c>
      <c r="X146" s="30"/>
      <c r="Y146" s="28" t="str">
        <f aca="false">IF(W146="","",W146*IF(X146="",1,X146))</f>
        <v/>
      </c>
      <c r="Z146" s="28" t="str">
        <f aca="false">IF(OR(AS146="",AP146=""),"",AS146*AP146)</f>
        <v/>
      </c>
      <c r="AA146" s="28" t="str">
        <f aca="false">IF(Z146="","",Z146*K146)</f>
        <v/>
      </c>
      <c r="AB146" s="31" t="str">
        <f aca="false">IF(OR(Y146="",AA146=""),"",Y146/AA146)</f>
        <v/>
      </c>
      <c r="AC146" s="31" t="str">
        <f aca="false">IF(OR(W146="",AT146=""),"",AT146*(W146/K146)*O146/1000/S146)</f>
        <v/>
      </c>
      <c r="AD146" s="31" t="str">
        <f aca="false">IF(W146="","",IFERROR(IF(INDEX('Design Basis'!$C$13:$C$21,MATCH(C146,'Design Basis'!$A$13:$A$21,0))="","",INDEX('Design Basis'!$C$13:$C$21,MATCH(C146,'Design Basis'!$A$13:$A$21,0))),""))</f>
        <v/>
      </c>
      <c r="AE146" s="32" t="str">
        <f aca="false">IF(W146="","n/a",IF(AA146="","CHECK",IF(AND(AB146&lt;=1,OR(AC146="",AD146="",AC146&lt;=AD146)),"OK","CHECK")))</f>
        <v>n/a</v>
      </c>
      <c r="AF146" s="28" t="n">
        <f aca="false">IF(AR146="","",K146*AQ146*PI()/4*AR146^2)</f>
        <v>2290.22104446696</v>
      </c>
      <c r="AG146" s="32"/>
      <c r="AI146" s="33" t="n">
        <f aca="false">INDEX(Equipment!$D$2:$D$153,MATCH(E146,Equipment!$A$2:$A$153,0))</f>
        <v>36</v>
      </c>
      <c r="AJ146" s="33" t="n">
        <f aca="false">INDEX(Equipment!$E$2:$E$153,MATCH(E146,Equipment!$A$2:$A$153,0))</f>
        <v>52</v>
      </c>
      <c r="AK146" s="33" t="n">
        <f aca="false">INDEX(Equipment!$F$2:$F$153,MATCH(E146,Equipment!$A$2:$A$153,0))</f>
        <v>0.5</v>
      </c>
      <c r="AL146" s="33" t="n">
        <f aca="false">INDEX(Equipment!$D$2:$D$153,MATCH(G146,Equipment!$A$2:$A$153,0))</f>
        <v>40</v>
      </c>
      <c r="AM146" s="33" t="n">
        <f aca="false">INDEX(Equipment!$E$2:$E$153,MATCH(G146,Equipment!$A$2:$A$153,0))</f>
        <v>55</v>
      </c>
      <c r="AN146" s="33" t="n">
        <f aca="false">INDEX(Equipment!$F$2:$F$153,MATCH(G146,Equipment!$A$2:$A$153,0))</f>
        <v>0.5</v>
      </c>
      <c r="AO146" s="33" t="n">
        <f aca="false">IF(INDEX(Raceways!$D$2:$D$18,MATCH(L146,Raceways!$A$2:$A$18,0))="",0,INDEX(Raceways!$D$2:$D$18,MATCH(L146,Raceways!$A$2:$A$18,0)))</f>
        <v>1</v>
      </c>
      <c r="AP146" s="34" t="n">
        <f aca="false">IF(INDEX(Raceways!$I$2:$I$18,MATCH(L146,Raceways!$A$2:$A$18,0))="","",INDEX(Raceways!$I$2:$I$18,MATCH(L146,Raceways!$A$2:$A$18,0)))</f>
        <v>0.88</v>
      </c>
      <c r="AQ146" s="27" t="n">
        <f aca="false">INDEX('Cable Types'!$D$2:$D$45,MATCH(I146,'Cable Types'!$A$2:$A$45,0))</f>
        <v>1</v>
      </c>
      <c r="AR146" s="27" t="n">
        <f aca="false">IF(INDEX('Cable Types'!$E$2:$E$45,MATCH(I146,'Cable Types'!$A$2:$A$45,0))="","",INDEX('Cable Types'!$E$2:$E$45,MATCH(I146,'Cable Types'!$A$2:$A$45,0)))</f>
        <v>27</v>
      </c>
      <c r="AS146" s="27" t="str">
        <f aca="false">IF(INDEX('Cable Types'!$F$2:$F$45,MATCH(I146,'Cable Types'!$A$2:$A$45,0))="","",INDEX('Cable Types'!$F$2:$F$45,MATCH(I146,'Cable Types'!$A$2:$A$45,0)))</f>
        <v/>
      </c>
      <c r="AT146" s="35" t="str">
        <f aca="false">IF(INDEX('Cable Types'!$G$2:$G$45,MATCH(I146,'Cable Types'!$A$2:$A$45,0))="","",INDEX('Cable Types'!$G$2:$G$45,MATCH(I146,'Cable Types'!$A$2:$A$45,0)))</f>
        <v/>
      </c>
    </row>
    <row r="147" customFormat="false" ht="15" hidden="false" customHeight="false" outlineLevel="0" collapsed="false">
      <c r="A147" s="26" t="s">
        <v>1003</v>
      </c>
      <c r="B147" s="26" t="s">
        <v>139</v>
      </c>
      <c r="C147" s="26" t="s">
        <v>80</v>
      </c>
      <c r="D147" s="26" t="s">
        <v>1004</v>
      </c>
      <c r="E147" s="26" t="s">
        <v>170</v>
      </c>
      <c r="F147" s="27" t="str">
        <f aca="false">INDEX(Equipment!$B$2:$B$153,MATCH(E147,Equipment!$A$2:$A$153,0))</f>
        <v>GT control panel (in PEECC)</v>
      </c>
      <c r="G147" s="26" t="s">
        <v>172</v>
      </c>
      <c r="H147" s="27" t="str">
        <f aca="false">INDEX(Equipment!$B$2:$B$153,MATCH(G147,Equipment!$A$2:$A$153,0))</f>
        <v>GT auxiliary MCC 480 V (in PEECC)</v>
      </c>
      <c r="I147" s="26" t="s">
        <v>603</v>
      </c>
      <c r="J147" s="27" t="str">
        <f aca="false">INDEX('Cable Types'!$B$2:$B$45,MATCH(I147,'Cable Types'!$A$2:$A$45,0))</f>
        <v>600 V 25/C #14 AWG Cu XHHW-2 control, Type MC-HL, CCW Al armor (Armor-X type), PVC jkt</v>
      </c>
      <c r="K147" s="26" t="n">
        <v>3</v>
      </c>
      <c r="L147" s="26" t="s">
        <v>714</v>
      </c>
      <c r="M147" s="26" t="s">
        <v>703</v>
      </c>
      <c r="N147" s="26"/>
      <c r="O147" s="28" t="n">
        <f aca="false">IF(N147&lt;&gt;"",N147,IF(M147="D",ROUNDUP(SQRT((AL147-AI147)^2+(AM147-AJ147)^2+(AN147-AK147)^2)*(1+'Design Basis'!$C$6),0),ROUNDUP((ABS(AL147-AI147)+ABS(AM147-AJ147)+ABS(AO147-AK147)+ABS(AO147-AN147))*(1+'Design Basis'!$C$4)+2*'Design Basis'!$C$5,0)))</f>
        <v>10</v>
      </c>
      <c r="P147" s="28" t="n">
        <f aca="false">ROUND(O147*'Design Basis'!$C$10,0)</f>
        <v>33</v>
      </c>
      <c r="Q147" s="28" t="n">
        <f aca="false">O147*K147*AQ147</f>
        <v>30</v>
      </c>
      <c r="R147" s="28" t="n">
        <f aca="false">ROUND(Q147*'Design Basis'!$C$10,0)</f>
        <v>98</v>
      </c>
      <c r="S147" s="29"/>
      <c r="T147" s="26"/>
      <c r="U147" s="29"/>
      <c r="V147" s="30"/>
      <c r="W147" s="28" t="str">
        <f aca="false">IF(OR(U147="",S147=""),"",IF(T147=3,U147*1000/(SQRT(3)*S147*V147),U147*1000/(S147*V147)))</f>
        <v/>
      </c>
      <c r="X147" s="30"/>
      <c r="Y147" s="28" t="str">
        <f aca="false">IF(W147="","",W147*IF(X147="",1,X147))</f>
        <v/>
      </c>
      <c r="Z147" s="28" t="str">
        <f aca="false">IF(OR(AS147="",AP147=""),"",AS147*AP147)</f>
        <v/>
      </c>
      <c r="AA147" s="28" t="str">
        <f aca="false">IF(Z147="","",Z147*K147)</f>
        <v/>
      </c>
      <c r="AB147" s="31" t="str">
        <f aca="false">IF(OR(Y147="",AA147=""),"",Y147/AA147)</f>
        <v/>
      </c>
      <c r="AC147" s="31" t="str">
        <f aca="false">IF(OR(W147="",AT147=""),"",AT147*(W147/K147)*O147/1000/S147)</f>
        <v/>
      </c>
      <c r="AD147" s="31" t="str">
        <f aca="false">IF(W147="","",IFERROR(IF(INDEX('Design Basis'!$C$13:$C$21,MATCH(C147,'Design Basis'!$A$13:$A$21,0))="","",INDEX('Design Basis'!$C$13:$C$21,MATCH(C147,'Design Basis'!$A$13:$A$21,0))),""))</f>
        <v/>
      </c>
      <c r="AE147" s="32" t="str">
        <f aca="false">IF(W147="","n/a",IF(AA147="","CHECK",IF(AND(AB147&lt;=1,OR(AC147="",AD147="",AC147&lt;=AD147)),"OK","CHECK")))</f>
        <v>n/a</v>
      </c>
      <c r="AF147" s="28" t="n">
        <f aca="false">IF(AR147="","",K147*AQ147*PI()/4*AR147^2)</f>
        <v>1717.66578335022</v>
      </c>
      <c r="AG147" s="32"/>
      <c r="AI147" s="33" t="n">
        <f aca="false">INDEX(Equipment!$D$2:$D$153,MATCH(E147,Equipment!$A$2:$A$153,0))</f>
        <v>46</v>
      </c>
      <c r="AJ147" s="33" t="n">
        <f aca="false">INDEX(Equipment!$E$2:$E$153,MATCH(E147,Equipment!$A$2:$A$153,0))</f>
        <v>-6</v>
      </c>
      <c r="AK147" s="33" t="n">
        <f aca="false">INDEX(Equipment!$F$2:$F$153,MATCH(E147,Equipment!$A$2:$A$153,0))</f>
        <v>0.5</v>
      </c>
      <c r="AL147" s="33" t="n">
        <f aca="false">INDEX(Equipment!$D$2:$D$153,MATCH(G147,Equipment!$A$2:$A$153,0))</f>
        <v>48</v>
      </c>
      <c r="AM147" s="33" t="n">
        <f aca="false">INDEX(Equipment!$E$2:$E$153,MATCH(G147,Equipment!$A$2:$A$153,0))</f>
        <v>-6</v>
      </c>
      <c r="AN147" s="33" t="n">
        <f aca="false">INDEX(Equipment!$F$2:$F$153,MATCH(G147,Equipment!$A$2:$A$153,0))</f>
        <v>0.5</v>
      </c>
      <c r="AO147" s="33" t="n">
        <f aca="false">IF(INDEX(Raceways!$D$2:$D$18,MATCH(L147,Raceways!$A$2:$A$18,0))="",0,INDEX(Raceways!$D$2:$D$18,MATCH(L147,Raceways!$A$2:$A$18,0)))</f>
        <v>1</v>
      </c>
      <c r="AP147" s="34" t="n">
        <f aca="false">IF(INDEX(Raceways!$I$2:$I$18,MATCH(L147,Raceways!$A$2:$A$18,0))="","",INDEX(Raceways!$I$2:$I$18,MATCH(L147,Raceways!$A$2:$A$18,0)))</f>
        <v>0.88</v>
      </c>
      <c r="AQ147" s="27" t="n">
        <f aca="false">INDEX('Cable Types'!$D$2:$D$45,MATCH(I147,'Cable Types'!$A$2:$A$45,0))</f>
        <v>1</v>
      </c>
      <c r="AR147" s="27" t="n">
        <f aca="false">IF(INDEX('Cable Types'!$E$2:$E$45,MATCH(I147,'Cable Types'!$A$2:$A$45,0))="","",INDEX('Cable Types'!$E$2:$E$45,MATCH(I147,'Cable Types'!$A$2:$A$45,0)))</f>
        <v>27</v>
      </c>
      <c r="AS147" s="27" t="str">
        <f aca="false">IF(INDEX('Cable Types'!$F$2:$F$45,MATCH(I147,'Cable Types'!$A$2:$A$45,0))="","",INDEX('Cable Types'!$F$2:$F$45,MATCH(I147,'Cable Types'!$A$2:$A$45,0)))</f>
        <v/>
      </c>
      <c r="AT147" s="35" t="str">
        <f aca="false">IF(INDEX('Cable Types'!$G$2:$G$45,MATCH(I147,'Cable Types'!$A$2:$A$45,0))="","",INDEX('Cable Types'!$G$2:$G$45,MATCH(I147,'Cable Types'!$A$2:$A$45,0)))</f>
        <v/>
      </c>
    </row>
    <row r="148" customFormat="false" ht="15" hidden="false" customHeight="false" outlineLevel="0" collapsed="false">
      <c r="A148" s="26" t="s">
        <v>1005</v>
      </c>
      <c r="B148" s="26" t="s">
        <v>139</v>
      </c>
      <c r="C148" s="26" t="s">
        <v>80</v>
      </c>
      <c r="D148" s="26" t="s">
        <v>1006</v>
      </c>
      <c r="E148" s="26" t="s">
        <v>170</v>
      </c>
      <c r="F148" s="27" t="str">
        <f aca="false">INDEX(Equipment!$B$2:$B$153,MATCH(E148,Equipment!$A$2:$A$153,0))</f>
        <v>GT control panel (in PEECC)</v>
      </c>
      <c r="G148" s="26" t="s">
        <v>168</v>
      </c>
      <c r="H148" s="27" t="str">
        <f aca="false">INDEX(Equipment!$B$2:$B$153,MATCH(G148,Equipment!$A$2:$A$153,0))</f>
        <v>GT static starter (LCI) cubicle</v>
      </c>
      <c r="I148" s="26" t="s">
        <v>603</v>
      </c>
      <c r="J148" s="27" t="str">
        <f aca="false">INDEX('Cable Types'!$B$2:$B$45,MATCH(I148,'Cable Types'!$A$2:$A$45,0))</f>
        <v>600 V 25/C #14 AWG Cu XHHW-2 control, Type MC-HL, CCW Al armor (Armor-X type), PVC jkt</v>
      </c>
      <c r="K148" s="26" t="n">
        <v>1</v>
      </c>
      <c r="L148" s="26" t="s">
        <v>714</v>
      </c>
      <c r="M148" s="26" t="s">
        <v>703</v>
      </c>
      <c r="N148" s="26"/>
      <c r="O148" s="28" t="n">
        <f aca="false">IF(N148&lt;&gt;"",N148,IF(M148="D",ROUNDUP(SQRT((AL148-AI148)^2+(AM148-AJ148)^2+(AN148-AK148)^2)*(1+'Design Basis'!$C$6),0),ROUNDUP((ABS(AL148-AI148)+ABS(AM148-AJ148)+ABS(AO148-AK148)+ABS(AO148-AN148))*(1+'Design Basis'!$C$4)+2*'Design Basis'!$C$5,0)))</f>
        <v>10</v>
      </c>
      <c r="P148" s="28" t="n">
        <f aca="false">ROUND(O148*'Design Basis'!$C$10,0)</f>
        <v>33</v>
      </c>
      <c r="Q148" s="28" t="n">
        <f aca="false">O148*K148*AQ148</f>
        <v>10</v>
      </c>
      <c r="R148" s="28" t="n">
        <f aca="false">ROUND(Q148*'Design Basis'!$C$10,0)</f>
        <v>33</v>
      </c>
      <c r="S148" s="29"/>
      <c r="T148" s="26"/>
      <c r="U148" s="29"/>
      <c r="V148" s="30"/>
      <c r="W148" s="28" t="str">
        <f aca="false">IF(OR(U148="",S148=""),"",IF(T148=3,U148*1000/(SQRT(3)*S148*V148),U148*1000/(S148*V148)))</f>
        <v/>
      </c>
      <c r="X148" s="30"/>
      <c r="Y148" s="28" t="str">
        <f aca="false">IF(W148="","",W148*IF(X148="",1,X148))</f>
        <v/>
      </c>
      <c r="Z148" s="28" t="str">
        <f aca="false">IF(OR(AS148="",AP148=""),"",AS148*AP148)</f>
        <v/>
      </c>
      <c r="AA148" s="28" t="str">
        <f aca="false">IF(Z148="","",Z148*K148)</f>
        <v/>
      </c>
      <c r="AB148" s="31" t="str">
        <f aca="false">IF(OR(Y148="",AA148=""),"",Y148/AA148)</f>
        <v/>
      </c>
      <c r="AC148" s="31" t="str">
        <f aca="false">IF(OR(W148="",AT148=""),"",AT148*(W148/K148)*O148/1000/S148)</f>
        <v/>
      </c>
      <c r="AD148" s="31" t="str">
        <f aca="false">IF(W148="","",IFERROR(IF(INDEX('Design Basis'!$C$13:$C$21,MATCH(C148,'Design Basis'!$A$13:$A$21,0))="","",INDEX('Design Basis'!$C$13:$C$21,MATCH(C148,'Design Basis'!$A$13:$A$21,0))),""))</f>
        <v/>
      </c>
      <c r="AE148" s="32" t="str">
        <f aca="false">IF(W148="","n/a",IF(AA148="","CHECK",IF(AND(AB148&lt;=1,OR(AC148="",AD148="",AC148&lt;=AD148)),"OK","CHECK")))</f>
        <v>n/a</v>
      </c>
      <c r="AF148" s="28" t="n">
        <f aca="false">IF(AR148="","",K148*AQ148*PI()/4*AR148^2)</f>
        <v>572.55526111674</v>
      </c>
      <c r="AG148" s="32"/>
      <c r="AI148" s="33" t="n">
        <f aca="false">INDEX(Equipment!$D$2:$D$153,MATCH(E148,Equipment!$A$2:$A$153,0))</f>
        <v>46</v>
      </c>
      <c r="AJ148" s="33" t="n">
        <f aca="false">INDEX(Equipment!$E$2:$E$153,MATCH(E148,Equipment!$A$2:$A$153,0))</f>
        <v>-6</v>
      </c>
      <c r="AK148" s="33" t="n">
        <f aca="false">INDEX(Equipment!$F$2:$F$153,MATCH(E148,Equipment!$A$2:$A$153,0))</f>
        <v>0.5</v>
      </c>
      <c r="AL148" s="33" t="n">
        <f aca="false">INDEX(Equipment!$D$2:$D$153,MATCH(G148,Equipment!$A$2:$A$153,0))</f>
        <v>44</v>
      </c>
      <c r="AM148" s="33" t="n">
        <f aca="false">INDEX(Equipment!$E$2:$E$153,MATCH(G148,Equipment!$A$2:$A$153,0))</f>
        <v>-6</v>
      </c>
      <c r="AN148" s="33" t="n">
        <f aca="false">INDEX(Equipment!$F$2:$F$153,MATCH(G148,Equipment!$A$2:$A$153,0))</f>
        <v>0.5</v>
      </c>
      <c r="AO148" s="33" t="n">
        <f aca="false">IF(INDEX(Raceways!$D$2:$D$18,MATCH(L148,Raceways!$A$2:$A$18,0))="",0,INDEX(Raceways!$D$2:$D$18,MATCH(L148,Raceways!$A$2:$A$18,0)))</f>
        <v>1</v>
      </c>
      <c r="AP148" s="34" t="n">
        <f aca="false">IF(INDEX(Raceways!$I$2:$I$18,MATCH(L148,Raceways!$A$2:$A$18,0))="","",INDEX(Raceways!$I$2:$I$18,MATCH(L148,Raceways!$A$2:$A$18,0)))</f>
        <v>0.88</v>
      </c>
      <c r="AQ148" s="27" t="n">
        <f aca="false">INDEX('Cable Types'!$D$2:$D$45,MATCH(I148,'Cable Types'!$A$2:$A$45,0))</f>
        <v>1</v>
      </c>
      <c r="AR148" s="27" t="n">
        <f aca="false">IF(INDEX('Cable Types'!$E$2:$E$45,MATCH(I148,'Cable Types'!$A$2:$A$45,0))="","",INDEX('Cable Types'!$E$2:$E$45,MATCH(I148,'Cable Types'!$A$2:$A$45,0)))</f>
        <v>27</v>
      </c>
      <c r="AS148" s="27" t="str">
        <f aca="false">IF(INDEX('Cable Types'!$F$2:$F$45,MATCH(I148,'Cable Types'!$A$2:$A$45,0))="","",INDEX('Cable Types'!$F$2:$F$45,MATCH(I148,'Cable Types'!$A$2:$A$45,0)))</f>
        <v/>
      </c>
      <c r="AT148" s="35" t="str">
        <f aca="false">IF(INDEX('Cable Types'!$G$2:$G$45,MATCH(I148,'Cable Types'!$A$2:$A$45,0))="","",INDEX('Cable Types'!$G$2:$G$45,MATCH(I148,'Cable Types'!$A$2:$A$45,0)))</f>
        <v/>
      </c>
    </row>
    <row r="149" customFormat="false" ht="15" hidden="false" customHeight="false" outlineLevel="0" collapsed="false">
      <c r="A149" s="26" t="s">
        <v>1007</v>
      </c>
      <c r="B149" s="26" t="s">
        <v>449</v>
      </c>
      <c r="C149" s="26" t="s">
        <v>80</v>
      </c>
      <c r="D149" s="26" t="s">
        <v>1008</v>
      </c>
      <c r="E149" s="26" t="s">
        <v>467</v>
      </c>
      <c r="F149" s="27" t="str">
        <f aca="false">INDEX(Equipment!$B$2:$B$153,MATCH(E149,Equipment!$A$2:$A$153,0))</f>
        <v>Station inlet ESD valve (electro-hydraulic actuator)</v>
      </c>
      <c r="G149" s="26" t="s">
        <v>476</v>
      </c>
      <c r="H149" s="27" t="str">
        <f aca="false">INDEX(Equipment!$B$2:$B$153,MATCH(G149,Equipment!$A$2:$A$153,0))</f>
        <v>DCS remote I/O cabinet - gas station (shelter)</v>
      </c>
      <c r="I149" s="26" t="s">
        <v>598</v>
      </c>
      <c r="J149" s="27" t="str">
        <f aca="false">INDEX('Cable Types'!$B$2:$B$45,MATCH(I149,'Cable Types'!$A$2:$A$45,0))</f>
        <v>600 V 7/C #12 AWG Cu XHHW-2 control, Type MC-HL, CCW Al armor (Armor-X type), PVC jkt</v>
      </c>
      <c r="K149" s="26" t="n">
        <v>1</v>
      </c>
      <c r="L149" s="26" t="s">
        <v>931</v>
      </c>
      <c r="M149" s="26" t="s">
        <v>703</v>
      </c>
      <c r="N149" s="26"/>
      <c r="O149" s="28" t="n">
        <f aca="false">IF(N149&lt;&gt;"",N149,IF(M149="D",ROUNDUP(SQRT((AL149-AI149)^2+(AM149-AJ149)^2+(AN149-AK149)^2)*(1+'Design Basis'!$C$6),0),ROUNDUP((ABS(AL149-AI149)+ABS(AM149-AJ149)+ABS(AO149-AK149)+ABS(AO149-AN149))*(1+'Design Basis'!$C$4)+2*'Design Basis'!$C$5,0)))</f>
        <v>19</v>
      </c>
      <c r="P149" s="28" t="n">
        <f aca="false">ROUND(O149*'Design Basis'!$C$10,0)</f>
        <v>62</v>
      </c>
      <c r="Q149" s="28" t="n">
        <f aca="false">O149*K149*AQ149</f>
        <v>19</v>
      </c>
      <c r="R149" s="28" t="n">
        <f aca="false">ROUND(Q149*'Design Basis'!$C$10,0)</f>
        <v>62</v>
      </c>
      <c r="S149" s="29"/>
      <c r="T149" s="26"/>
      <c r="U149" s="29"/>
      <c r="V149" s="30"/>
      <c r="W149" s="28" t="str">
        <f aca="false">IF(OR(U149="",S149=""),"",IF(T149=3,U149*1000/(SQRT(3)*S149*V149),U149*1000/(S149*V149)))</f>
        <v/>
      </c>
      <c r="X149" s="30"/>
      <c r="Y149" s="28" t="str">
        <f aca="false">IF(W149="","",W149*IF(X149="",1,X149))</f>
        <v/>
      </c>
      <c r="Z149" s="28" t="str">
        <f aca="false">IF(OR(AS149="",AP149=""),"",AS149*AP149)</f>
        <v/>
      </c>
      <c r="AA149" s="28" t="str">
        <f aca="false">IF(Z149="","",Z149*K149)</f>
        <v/>
      </c>
      <c r="AB149" s="31" t="str">
        <f aca="false">IF(OR(Y149="",AA149=""),"",Y149/AA149)</f>
        <v/>
      </c>
      <c r="AC149" s="31" t="str">
        <f aca="false">IF(OR(W149="",AT149=""),"",AT149*(W149/K149)*O149/1000/S149)</f>
        <v/>
      </c>
      <c r="AD149" s="31" t="str">
        <f aca="false">IF(W149="","",IFERROR(IF(INDEX('Design Basis'!$C$13:$C$21,MATCH(C149,'Design Basis'!$A$13:$A$21,0))="","",INDEX('Design Basis'!$C$13:$C$21,MATCH(C149,'Design Basis'!$A$13:$A$21,0))),""))</f>
        <v/>
      </c>
      <c r="AE149" s="32" t="str">
        <f aca="false">IF(W149="","n/a",IF(AA149="","CHECK",IF(AND(AB149&lt;=1,OR(AC149="",AD149="",AC149&lt;=AD149)),"OK","CHECK")))</f>
        <v>n/a</v>
      </c>
      <c r="AF149" s="28" t="n">
        <f aca="false">IF(AR149="","",K149*AQ149*PI()/4*AR149^2)</f>
        <v>283.528736986479</v>
      </c>
      <c r="AG149" s="32" t="s">
        <v>753</v>
      </c>
      <c r="AI149" s="33" t="n">
        <f aca="false">INDEX(Equipment!$D$2:$D$153,MATCH(E149,Equipment!$A$2:$A$153,0))</f>
        <v>-24</v>
      </c>
      <c r="AJ149" s="33" t="n">
        <f aca="false">INDEX(Equipment!$E$2:$E$153,MATCH(E149,Equipment!$A$2:$A$153,0))</f>
        <v>10</v>
      </c>
      <c r="AK149" s="33" t="n">
        <f aca="false">INDEX(Equipment!$F$2:$F$153,MATCH(E149,Equipment!$A$2:$A$153,0))</f>
        <v>4</v>
      </c>
      <c r="AL149" s="33" t="n">
        <f aca="false">INDEX(Equipment!$D$2:$D$153,MATCH(G149,Equipment!$A$2:$A$153,0))</f>
        <v>-18</v>
      </c>
      <c r="AM149" s="33" t="n">
        <f aca="false">INDEX(Equipment!$E$2:$E$153,MATCH(G149,Equipment!$A$2:$A$153,0))</f>
        <v>12</v>
      </c>
      <c r="AN149" s="33" t="n">
        <f aca="false">INDEX(Equipment!$F$2:$F$153,MATCH(G149,Equipment!$A$2:$A$153,0))</f>
        <v>0.5</v>
      </c>
      <c r="AO149" s="33" t="n">
        <f aca="false">IF(INDEX(Raceways!$D$2:$D$18,MATCH(L149,Raceways!$A$2:$A$18,0))="",0,INDEX(Raceways!$D$2:$D$18,MATCH(L149,Raceways!$A$2:$A$18,0)))</f>
        <v>3</v>
      </c>
      <c r="AP149" s="34" t="n">
        <f aca="false">IF(INDEX(Raceways!$I$2:$I$18,MATCH(L149,Raceways!$A$2:$A$18,0))="","",INDEX(Raceways!$I$2:$I$18,MATCH(L149,Raceways!$A$2:$A$18,0)))</f>
        <v>0.88</v>
      </c>
      <c r="AQ149" s="27" t="n">
        <f aca="false">INDEX('Cable Types'!$D$2:$D$45,MATCH(I149,'Cable Types'!$A$2:$A$45,0))</f>
        <v>1</v>
      </c>
      <c r="AR149" s="27" t="n">
        <f aca="false">IF(INDEX('Cable Types'!$E$2:$E$45,MATCH(I149,'Cable Types'!$A$2:$A$45,0))="","",INDEX('Cable Types'!$E$2:$E$45,MATCH(I149,'Cable Types'!$A$2:$A$45,0)))</f>
        <v>19</v>
      </c>
      <c r="AS149" s="27" t="str">
        <f aca="false">IF(INDEX('Cable Types'!$F$2:$F$45,MATCH(I149,'Cable Types'!$A$2:$A$45,0))="","",INDEX('Cable Types'!$F$2:$F$45,MATCH(I149,'Cable Types'!$A$2:$A$45,0)))</f>
        <v/>
      </c>
      <c r="AT149" s="35" t="str">
        <f aca="false">IF(INDEX('Cable Types'!$G$2:$G$45,MATCH(I149,'Cable Types'!$A$2:$A$45,0))="","",INDEX('Cable Types'!$G$2:$G$45,MATCH(I149,'Cable Types'!$A$2:$A$45,0)))</f>
        <v/>
      </c>
    </row>
    <row r="150" customFormat="false" ht="15" hidden="false" customHeight="false" outlineLevel="0" collapsed="false">
      <c r="A150" s="26" t="s">
        <v>1009</v>
      </c>
      <c r="B150" s="26" t="s">
        <v>336</v>
      </c>
      <c r="C150" s="26" t="s">
        <v>80</v>
      </c>
      <c r="D150" s="26" t="s">
        <v>1010</v>
      </c>
      <c r="E150" s="26" t="s">
        <v>372</v>
      </c>
      <c r="F150" s="27" t="str">
        <f aca="false">INDEX(Equipment!$B$2:$B$153,MATCH(E150,Equipment!$A$2:$A$153,0))</f>
        <v>CO2 compressor unit control panel</v>
      </c>
      <c r="G150" s="26" t="s">
        <v>334</v>
      </c>
      <c r="H150" s="27" t="str">
        <f aca="false">INDEX(Equipment!$B$2:$B$153,MATCH(G150,Equipment!$A$2:$A$153,0))</f>
        <v>CCS 13.8 kV switchboard (CCS substation)</v>
      </c>
      <c r="I150" s="26" t="s">
        <v>603</v>
      </c>
      <c r="J150" s="27" t="str">
        <f aca="false">INDEX('Cable Types'!$B$2:$B$45,MATCH(I150,'Cable Types'!$A$2:$A$45,0))</f>
        <v>600 V 25/C #14 AWG Cu XHHW-2 control, Type MC-HL, CCW Al armor (Armor-X type), PVC jkt</v>
      </c>
      <c r="K150" s="26" t="n">
        <v>2</v>
      </c>
      <c r="L150" s="26" t="s">
        <v>759</v>
      </c>
      <c r="M150" s="26" t="s">
        <v>703</v>
      </c>
      <c r="N150" s="26"/>
      <c r="O150" s="28" t="n">
        <f aca="false">IF(N150&lt;&gt;"",N150,IF(M150="D",ROUNDUP(SQRT((AL150-AI150)^2+(AM150-AJ150)^2+(AN150-AK150)^2)*(1+'Design Basis'!$C$6),0),ROUNDUP((ABS(AL150-AI150)+ABS(AM150-AJ150)+ABS(AO150-AK150)+ABS(AO150-AN150))*(1+'Design Basis'!$C$4)+2*'Design Basis'!$C$5,0)))</f>
        <v>60</v>
      </c>
      <c r="P150" s="28" t="n">
        <f aca="false">ROUND(O150*'Design Basis'!$C$10,0)</f>
        <v>197</v>
      </c>
      <c r="Q150" s="28" t="n">
        <f aca="false">O150*K150*AQ150</f>
        <v>120</v>
      </c>
      <c r="R150" s="28" t="n">
        <f aca="false">ROUND(Q150*'Design Basis'!$C$10,0)</f>
        <v>394</v>
      </c>
      <c r="S150" s="29"/>
      <c r="T150" s="26"/>
      <c r="U150" s="29"/>
      <c r="V150" s="30"/>
      <c r="W150" s="28" t="str">
        <f aca="false">IF(OR(U150="",S150=""),"",IF(T150=3,U150*1000/(SQRT(3)*S150*V150),U150*1000/(S150*V150)))</f>
        <v/>
      </c>
      <c r="X150" s="30"/>
      <c r="Y150" s="28" t="str">
        <f aca="false">IF(W150="","",W150*IF(X150="",1,X150))</f>
        <v/>
      </c>
      <c r="Z150" s="28" t="str">
        <f aca="false">IF(OR(AS150="",AP150=""),"",AS150*AP150)</f>
        <v/>
      </c>
      <c r="AA150" s="28" t="str">
        <f aca="false">IF(Z150="","",Z150*K150)</f>
        <v/>
      </c>
      <c r="AB150" s="31" t="str">
        <f aca="false">IF(OR(Y150="",AA150=""),"",Y150/AA150)</f>
        <v/>
      </c>
      <c r="AC150" s="31" t="str">
        <f aca="false">IF(OR(W150="",AT150=""),"",AT150*(W150/K150)*O150/1000/S150)</f>
        <v/>
      </c>
      <c r="AD150" s="31" t="str">
        <f aca="false">IF(W150="","",IFERROR(IF(INDEX('Design Basis'!$C$13:$C$21,MATCH(C150,'Design Basis'!$A$13:$A$21,0))="","",INDEX('Design Basis'!$C$13:$C$21,MATCH(C150,'Design Basis'!$A$13:$A$21,0))),""))</f>
        <v/>
      </c>
      <c r="AE150" s="32" t="str">
        <f aca="false">IF(W150="","n/a",IF(AA150="","CHECK",IF(AND(AB150&lt;=1,OR(AC150="",AD150="",AC150&lt;=AD150)),"OK","CHECK")))</f>
        <v>n/a</v>
      </c>
      <c r="AF150" s="28" t="n">
        <f aca="false">IF(AR150="","",K150*AQ150*PI()/4*AR150^2)</f>
        <v>1145.11052223348</v>
      </c>
      <c r="AG150" s="32"/>
      <c r="AI150" s="33" t="n">
        <f aca="false">INDEX(Equipment!$D$2:$D$153,MATCH(E150,Equipment!$A$2:$A$153,0))</f>
        <v>192</v>
      </c>
      <c r="AJ150" s="33" t="n">
        <f aca="false">INDEX(Equipment!$E$2:$E$153,MATCH(E150,Equipment!$A$2:$A$153,0))</f>
        <v>34</v>
      </c>
      <c r="AK150" s="33" t="n">
        <f aca="false">INDEX(Equipment!$F$2:$F$153,MATCH(E150,Equipment!$A$2:$A$153,0))</f>
        <v>0.5</v>
      </c>
      <c r="AL150" s="33" t="n">
        <f aca="false">INDEX(Equipment!$D$2:$D$153,MATCH(G150,Equipment!$A$2:$A$153,0))</f>
        <v>178</v>
      </c>
      <c r="AM150" s="33" t="n">
        <f aca="false">INDEX(Equipment!$E$2:$E$153,MATCH(G150,Equipment!$A$2:$A$153,0))</f>
        <v>58</v>
      </c>
      <c r="AN150" s="33" t="n">
        <f aca="false">INDEX(Equipment!$F$2:$F$153,MATCH(G150,Equipment!$A$2:$A$153,0))</f>
        <v>0.5</v>
      </c>
      <c r="AO150" s="33" t="n">
        <f aca="false">IF(INDEX(Raceways!$D$2:$D$18,MATCH(L150,Raceways!$A$2:$A$18,0))="",0,INDEX(Raceways!$D$2:$D$18,MATCH(L150,Raceways!$A$2:$A$18,0)))</f>
        <v>6</v>
      </c>
      <c r="AP150" s="34" t="n">
        <f aca="false">IF(INDEX(Raceways!$I$2:$I$18,MATCH(L150,Raceways!$A$2:$A$18,0))="","",INDEX(Raceways!$I$2:$I$18,MATCH(L150,Raceways!$A$2:$A$18,0)))</f>
        <v>0.88</v>
      </c>
      <c r="AQ150" s="27" t="n">
        <f aca="false">INDEX('Cable Types'!$D$2:$D$45,MATCH(I150,'Cable Types'!$A$2:$A$45,0))</f>
        <v>1</v>
      </c>
      <c r="AR150" s="27" t="n">
        <f aca="false">IF(INDEX('Cable Types'!$E$2:$E$45,MATCH(I150,'Cable Types'!$A$2:$A$45,0))="","",INDEX('Cable Types'!$E$2:$E$45,MATCH(I150,'Cable Types'!$A$2:$A$45,0)))</f>
        <v>27</v>
      </c>
      <c r="AS150" s="27" t="str">
        <f aca="false">IF(INDEX('Cable Types'!$F$2:$F$45,MATCH(I150,'Cable Types'!$A$2:$A$45,0))="","",INDEX('Cable Types'!$F$2:$F$45,MATCH(I150,'Cable Types'!$A$2:$A$45,0)))</f>
        <v/>
      </c>
      <c r="AT150" s="35" t="str">
        <f aca="false">IF(INDEX('Cable Types'!$G$2:$G$45,MATCH(I150,'Cable Types'!$A$2:$A$45,0))="","",INDEX('Cable Types'!$G$2:$G$45,MATCH(I150,'Cable Types'!$A$2:$A$45,0)))</f>
        <v/>
      </c>
    </row>
    <row r="151" customFormat="false" ht="15" hidden="false" customHeight="false" outlineLevel="0" collapsed="false">
      <c r="A151" s="26" t="s">
        <v>1011</v>
      </c>
      <c r="B151" s="26" t="s">
        <v>108</v>
      </c>
      <c r="C151" s="26" t="s">
        <v>86</v>
      </c>
      <c r="D151" s="26" t="s">
        <v>1012</v>
      </c>
      <c r="E151" s="26" t="s">
        <v>128</v>
      </c>
      <c r="F151" s="27" t="str">
        <f aca="false">INDEX(Equipment!$B$2:$B$153,MATCH(E151,Equipment!$A$2:$A$153,0))</f>
        <v>Switchyard relay &amp; control building</v>
      </c>
      <c r="G151" s="26" t="s">
        <v>512</v>
      </c>
      <c r="H151" s="27" t="str">
        <f aca="false">INDEX(Equipment!$B$2:$B$153,MATCH(G151,Equipment!$A$2:$A$153,0))</f>
        <v>DCS servers / central control room</v>
      </c>
      <c r="I151" s="26" t="s">
        <v>621</v>
      </c>
      <c r="J151" s="27" t="str">
        <f aca="false">INDEX('Cable Types'!$B$2:$B$45,MATCH(I151,'Cable Types'!$A$2:$A$45,0))</f>
        <v>48-fiber single-mode OFCR, interlocked Al armor</v>
      </c>
      <c r="K151" s="26" t="n">
        <v>2</v>
      </c>
      <c r="L151" s="26" t="s">
        <v>828</v>
      </c>
      <c r="M151" s="26" t="s">
        <v>703</v>
      </c>
      <c r="N151" s="26"/>
      <c r="O151" s="28" t="n">
        <f aca="false">IF(N151&lt;&gt;"",N151,IF(M151="D",ROUNDUP(SQRT((AL151-AI151)^2+(AM151-AJ151)^2+(AN151-AK151)^2)*(1+'Design Basis'!$C$6),0),ROUNDUP((ABS(AL151-AI151)+ABS(AM151-AJ151)+ABS(AO151-AK151)+ABS(AO151-AN151))*(1+'Design Basis'!$C$4)+2*'Design Basis'!$C$5,0)))</f>
        <v>151</v>
      </c>
      <c r="P151" s="28" t="n">
        <f aca="false">ROUND(O151*'Design Basis'!$C$10,0)</f>
        <v>495</v>
      </c>
      <c r="Q151" s="28" t="n">
        <f aca="false">O151*K151*AQ151</f>
        <v>302</v>
      </c>
      <c r="R151" s="28" t="n">
        <f aca="false">ROUND(Q151*'Design Basis'!$C$10,0)</f>
        <v>991</v>
      </c>
      <c r="S151" s="29"/>
      <c r="T151" s="26"/>
      <c r="U151" s="29"/>
      <c r="V151" s="30"/>
      <c r="W151" s="28" t="str">
        <f aca="false">IF(OR(U151="",S151=""),"",IF(T151=3,U151*1000/(SQRT(3)*S151*V151),U151*1000/(S151*V151)))</f>
        <v/>
      </c>
      <c r="X151" s="30"/>
      <c r="Y151" s="28" t="str">
        <f aca="false">IF(W151="","",W151*IF(X151="",1,X151))</f>
        <v/>
      </c>
      <c r="Z151" s="28" t="str">
        <f aca="false">IF(OR(AS151="",AP151=""),"",AS151*AP151)</f>
        <v/>
      </c>
      <c r="AA151" s="28" t="str">
        <f aca="false">IF(Z151="","",Z151*K151)</f>
        <v/>
      </c>
      <c r="AB151" s="31" t="str">
        <f aca="false">IF(OR(Y151="",AA151=""),"",Y151/AA151)</f>
        <v/>
      </c>
      <c r="AC151" s="31" t="str">
        <f aca="false">IF(OR(W151="",AT151=""),"",AT151*(W151/K151)*O151/1000/S151)</f>
        <v/>
      </c>
      <c r="AD151" s="31" t="str">
        <f aca="false">IF(W151="","",IFERROR(IF(INDEX('Design Basis'!$C$13:$C$21,MATCH(C151,'Design Basis'!$A$13:$A$21,0))="","",INDEX('Design Basis'!$C$13:$C$21,MATCH(C151,'Design Basis'!$A$13:$A$21,0))),""))</f>
        <v/>
      </c>
      <c r="AE151" s="32" t="str">
        <f aca="false">IF(W151="","n/a",IF(AA151="","CHECK",IF(AND(AB151&lt;=1,OR(AC151="",AD151="",AC151&lt;=AD151)),"OK","CHECK")))</f>
        <v>n/a</v>
      </c>
      <c r="AF151" s="28" t="n">
        <f aca="false">IF(AR151="","",K151*AQ151*PI()/4*AR151^2)</f>
        <v>692.721180116549</v>
      </c>
      <c r="AG151" s="32" t="s">
        <v>1013</v>
      </c>
      <c r="AI151" s="33" t="n">
        <f aca="false">INDEX(Equipment!$D$2:$D$153,MATCH(E151,Equipment!$A$2:$A$153,0))</f>
        <v>95</v>
      </c>
      <c r="AJ151" s="33" t="n">
        <f aca="false">INDEX(Equipment!$E$2:$E$153,MATCH(E151,Equipment!$A$2:$A$153,0))</f>
        <v>128</v>
      </c>
      <c r="AK151" s="33" t="n">
        <f aca="false">INDEX(Equipment!$F$2:$F$153,MATCH(E151,Equipment!$A$2:$A$153,0))</f>
        <v>0.5</v>
      </c>
      <c r="AL151" s="33" t="n">
        <f aca="false">INDEX(Equipment!$D$2:$D$153,MATCH(G151,Equipment!$A$2:$A$153,0))</f>
        <v>40</v>
      </c>
      <c r="AM151" s="33" t="n">
        <f aca="false">INDEX(Equipment!$E$2:$E$153,MATCH(G151,Equipment!$A$2:$A$153,0))</f>
        <v>55</v>
      </c>
      <c r="AN151" s="33" t="n">
        <f aca="false">INDEX(Equipment!$F$2:$F$153,MATCH(G151,Equipment!$A$2:$A$153,0))</f>
        <v>0.5</v>
      </c>
      <c r="AO151" s="33" t="n">
        <f aca="false">IF(INDEX(Raceways!$D$2:$D$18,MATCH(L151,Raceways!$A$2:$A$18,0))="",0,INDEX(Raceways!$D$2:$D$18,MATCH(L151,Raceways!$A$2:$A$18,0)))</f>
        <v>-1.2</v>
      </c>
      <c r="AP151" s="34" t="n">
        <f aca="false">IF(INDEX(Raceways!$I$2:$I$18,MATCH(L151,Raceways!$A$2:$A$18,0))="","",INDEX(Raceways!$I$2:$I$18,MATCH(L151,Raceways!$A$2:$A$18,0)))</f>
        <v>0.7</v>
      </c>
      <c r="AQ151" s="27" t="n">
        <f aca="false">INDEX('Cable Types'!$D$2:$D$45,MATCH(I151,'Cable Types'!$A$2:$A$45,0))</f>
        <v>1</v>
      </c>
      <c r="AR151" s="27" t="n">
        <f aca="false">IF(INDEX('Cable Types'!$E$2:$E$45,MATCH(I151,'Cable Types'!$A$2:$A$45,0))="","",INDEX('Cable Types'!$E$2:$E$45,MATCH(I151,'Cable Types'!$A$2:$A$45,0)))</f>
        <v>21</v>
      </c>
      <c r="AS151" s="27" t="str">
        <f aca="false">IF(INDEX('Cable Types'!$F$2:$F$45,MATCH(I151,'Cable Types'!$A$2:$A$45,0))="","",INDEX('Cable Types'!$F$2:$F$45,MATCH(I151,'Cable Types'!$A$2:$A$45,0)))</f>
        <v/>
      </c>
      <c r="AT151" s="35" t="str">
        <f aca="false">IF(INDEX('Cable Types'!$G$2:$G$45,MATCH(I151,'Cable Types'!$A$2:$A$45,0))="","",INDEX('Cable Types'!$G$2:$G$45,MATCH(I151,'Cable Types'!$A$2:$A$45,0)))</f>
        <v/>
      </c>
    </row>
    <row r="152" customFormat="false" ht="15" hidden="false" customHeight="false" outlineLevel="0" collapsed="false">
      <c r="A152" s="26" t="s">
        <v>1014</v>
      </c>
      <c r="B152" s="26" t="s">
        <v>108</v>
      </c>
      <c r="C152" s="26" t="s">
        <v>86</v>
      </c>
      <c r="D152" s="26" t="s">
        <v>1015</v>
      </c>
      <c r="E152" s="26" t="s">
        <v>514</v>
      </c>
      <c r="F152" s="27" t="str">
        <f aca="false">INDEX(Equipment!$B$2:$B$153,MATCH(E152,Equipment!$A$2:$A$153,0))</f>
        <v>Generator &amp; transformer protection panels</v>
      </c>
      <c r="G152" s="26" t="s">
        <v>128</v>
      </c>
      <c r="H152" s="27" t="str">
        <f aca="false">INDEX(Equipment!$B$2:$B$153,MATCH(G152,Equipment!$A$2:$A$153,0))</f>
        <v>Switchyard relay &amp; control building</v>
      </c>
      <c r="I152" s="26" t="s">
        <v>619</v>
      </c>
      <c r="J152" s="27" t="str">
        <f aca="false">INDEX('Cable Types'!$B$2:$B$45,MATCH(I152,'Cable Types'!$A$2:$A$45,0))</f>
        <v>24-fiber single-mode OFCR, interlocked Al armor</v>
      </c>
      <c r="K152" s="26" t="n">
        <v>2</v>
      </c>
      <c r="L152" s="26" t="s">
        <v>828</v>
      </c>
      <c r="M152" s="26" t="s">
        <v>703</v>
      </c>
      <c r="N152" s="26"/>
      <c r="O152" s="28" t="n">
        <f aca="false">IF(N152&lt;&gt;"",N152,IF(M152="D",ROUNDUP(SQRT((AL152-AI152)^2+(AM152-AJ152)^2+(AN152-AK152)^2)*(1+'Design Basis'!$C$6),0),ROUNDUP((ABS(AL152-AI152)+ABS(AM152-AJ152)+ABS(AO152-AK152)+ABS(AO152-AN152))*(1+'Design Basis'!$C$4)+2*'Design Basis'!$C$5,0)))</f>
        <v>153</v>
      </c>
      <c r="P152" s="28" t="n">
        <f aca="false">ROUND(O152*'Design Basis'!$C$10,0)</f>
        <v>502</v>
      </c>
      <c r="Q152" s="28" t="n">
        <f aca="false">O152*K152*AQ152</f>
        <v>306</v>
      </c>
      <c r="R152" s="28" t="n">
        <f aca="false">ROUND(Q152*'Design Basis'!$C$10,0)</f>
        <v>1004</v>
      </c>
      <c r="S152" s="29"/>
      <c r="T152" s="26"/>
      <c r="U152" s="29"/>
      <c r="V152" s="30"/>
      <c r="W152" s="28" t="str">
        <f aca="false">IF(OR(U152="",S152=""),"",IF(T152=3,U152*1000/(SQRT(3)*S152*V152),U152*1000/(S152*V152)))</f>
        <v/>
      </c>
      <c r="X152" s="30"/>
      <c r="Y152" s="28" t="str">
        <f aca="false">IF(W152="","",W152*IF(X152="",1,X152))</f>
        <v/>
      </c>
      <c r="Z152" s="28" t="str">
        <f aca="false">IF(OR(AS152="",AP152=""),"",AS152*AP152)</f>
        <v/>
      </c>
      <c r="AA152" s="28" t="str">
        <f aca="false">IF(Z152="","",Z152*K152)</f>
        <v/>
      </c>
      <c r="AB152" s="31" t="str">
        <f aca="false">IF(OR(Y152="",AA152=""),"",Y152/AA152)</f>
        <v/>
      </c>
      <c r="AC152" s="31" t="str">
        <f aca="false">IF(OR(W152="",AT152=""),"",AT152*(W152/K152)*O152/1000/S152)</f>
        <v/>
      </c>
      <c r="AD152" s="31" t="str">
        <f aca="false">IF(W152="","",IFERROR(IF(INDEX('Design Basis'!$C$13:$C$21,MATCH(C152,'Design Basis'!$A$13:$A$21,0))="","",INDEX('Design Basis'!$C$13:$C$21,MATCH(C152,'Design Basis'!$A$13:$A$21,0))),""))</f>
        <v/>
      </c>
      <c r="AE152" s="32" t="str">
        <f aca="false">IF(W152="","n/a",IF(AA152="","CHECK",IF(AND(AB152&lt;=1,OR(AC152="",AD152="",AC152&lt;=AD152)),"OK","CHECK")))</f>
        <v>n/a</v>
      </c>
      <c r="AF152" s="28" t="n">
        <f aca="false">IF(AR152="","",K152*AQ152*PI()/4*AR152^2)</f>
        <v>567.057473972958</v>
      </c>
      <c r="AG152" s="32"/>
      <c r="AI152" s="33" t="n">
        <f aca="false">INDEX(Equipment!$D$2:$D$153,MATCH(E152,Equipment!$A$2:$A$153,0))</f>
        <v>38</v>
      </c>
      <c r="AJ152" s="33" t="n">
        <f aca="false">INDEX(Equipment!$E$2:$E$153,MATCH(E152,Equipment!$A$2:$A$153,0))</f>
        <v>55</v>
      </c>
      <c r="AK152" s="33" t="n">
        <f aca="false">INDEX(Equipment!$F$2:$F$153,MATCH(E152,Equipment!$A$2:$A$153,0))</f>
        <v>0.5</v>
      </c>
      <c r="AL152" s="33" t="n">
        <f aca="false">INDEX(Equipment!$D$2:$D$153,MATCH(G152,Equipment!$A$2:$A$153,0))</f>
        <v>95</v>
      </c>
      <c r="AM152" s="33" t="n">
        <f aca="false">INDEX(Equipment!$E$2:$E$153,MATCH(G152,Equipment!$A$2:$A$153,0))</f>
        <v>128</v>
      </c>
      <c r="AN152" s="33" t="n">
        <f aca="false">INDEX(Equipment!$F$2:$F$153,MATCH(G152,Equipment!$A$2:$A$153,0))</f>
        <v>0.5</v>
      </c>
      <c r="AO152" s="33" t="n">
        <f aca="false">IF(INDEX(Raceways!$D$2:$D$18,MATCH(L152,Raceways!$A$2:$A$18,0))="",0,INDEX(Raceways!$D$2:$D$18,MATCH(L152,Raceways!$A$2:$A$18,0)))</f>
        <v>-1.2</v>
      </c>
      <c r="AP152" s="34" t="n">
        <f aca="false">IF(INDEX(Raceways!$I$2:$I$18,MATCH(L152,Raceways!$A$2:$A$18,0))="","",INDEX(Raceways!$I$2:$I$18,MATCH(L152,Raceways!$A$2:$A$18,0)))</f>
        <v>0.7</v>
      </c>
      <c r="AQ152" s="27" t="n">
        <f aca="false">INDEX('Cable Types'!$D$2:$D$45,MATCH(I152,'Cable Types'!$A$2:$A$45,0))</f>
        <v>1</v>
      </c>
      <c r="AR152" s="27" t="n">
        <f aca="false">IF(INDEX('Cable Types'!$E$2:$E$45,MATCH(I152,'Cable Types'!$A$2:$A$45,0))="","",INDEX('Cable Types'!$E$2:$E$45,MATCH(I152,'Cable Types'!$A$2:$A$45,0)))</f>
        <v>19</v>
      </c>
      <c r="AS152" s="27" t="str">
        <f aca="false">IF(INDEX('Cable Types'!$F$2:$F$45,MATCH(I152,'Cable Types'!$A$2:$A$45,0))="","",INDEX('Cable Types'!$F$2:$F$45,MATCH(I152,'Cable Types'!$A$2:$A$45,0)))</f>
        <v/>
      </c>
      <c r="AT152" s="35" t="str">
        <f aca="false">IF(INDEX('Cable Types'!$G$2:$G$45,MATCH(I152,'Cable Types'!$A$2:$A$45,0))="","",INDEX('Cable Types'!$G$2:$G$45,MATCH(I152,'Cable Types'!$A$2:$A$45,0)))</f>
        <v/>
      </c>
    </row>
    <row r="153" customFormat="false" ht="15" hidden="false" customHeight="false" outlineLevel="0" collapsed="false">
      <c r="A153" s="26" t="s">
        <v>1016</v>
      </c>
      <c r="B153" s="26" t="s">
        <v>139</v>
      </c>
      <c r="C153" s="26" t="s">
        <v>86</v>
      </c>
      <c r="D153" s="26" t="s">
        <v>1017</v>
      </c>
      <c r="E153" s="26" t="s">
        <v>170</v>
      </c>
      <c r="F153" s="27" t="str">
        <f aca="false">INDEX(Equipment!$B$2:$B$153,MATCH(E153,Equipment!$A$2:$A$153,0))</f>
        <v>GT control panel (in PEECC)</v>
      </c>
      <c r="G153" s="26" t="s">
        <v>512</v>
      </c>
      <c r="H153" s="27" t="str">
        <f aca="false">INDEX(Equipment!$B$2:$B$153,MATCH(G153,Equipment!$A$2:$A$153,0))</f>
        <v>DCS servers / central control room</v>
      </c>
      <c r="I153" s="26" t="s">
        <v>619</v>
      </c>
      <c r="J153" s="27" t="str">
        <f aca="false">INDEX('Cable Types'!$B$2:$B$45,MATCH(I153,'Cable Types'!$A$2:$A$45,0))</f>
        <v>24-fiber single-mode OFCR, interlocked Al armor</v>
      </c>
      <c r="K153" s="26" t="n">
        <v>2</v>
      </c>
      <c r="L153" s="26" t="s">
        <v>730</v>
      </c>
      <c r="M153" s="26" t="s">
        <v>703</v>
      </c>
      <c r="N153" s="26"/>
      <c r="O153" s="28" t="n">
        <f aca="false">IF(N153&lt;&gt;"",N153,IF(M153="D",ROUNDUP(SQRT((AL153-AI153)^2+(AM153-AJ153)^2+(AN153-AK153)^2)*(1+'Design Basis'!$C$6),0),ROUNDUP((ABS(AL153-AI153)+ABS(AM153-AJ153)+ABS(AO153-AK153)+ABS(AO153-AN153))*(1+'Design Basis'!$C$4)+2*'Design Basis'!$C$5,0)))</f>
        <v>90</v>
      </c>
      <c r="P153" s="28" t="n">
        <f aca="false">ROUND(O153*'Design Basis'!$C$10,0)</f>
        <v>295</v>
      </c>
      <c r="Q153" s="28" t="n">
        <f aca="false">O153*K153*AQ153</f>
        <v>180</v>
      </c>
      <c r="R153" s="28" t="n">
        <f aca="false">ROUND(Q153*'Design Basis'!$C$10,0)</f>
        <v>591</v>
      </c>
      <c r="S153" s="29"/>
      <c r="T153" s="26"/>
      <c r="U153" s="29"/>
      <c r="V153" s="30"/>
      <c r="W153" s="28" t="str">
        <f aca="false">IF(OR(U153="",S153=""),"",IF(T153=3,U153*1000/(SQRT(3)*S153*V153),U153*1000/(S153*V153)))</f>
        <v/>
      </c>
      <c r="X153" s="30"/>
      <c r="Y153" s="28" t="str">
        <f aca="false">IF(W153="","",W153*IF(X153="",1,X153))</f>
        <v/>
      </c>
      <c r="Z153" s="28" t="str">
        <f aca="false">IF(OR(AS153="",AP153=""),"",AS153*AP153)</f>
        <v/>
      </c>
      <c r="AA153" s="28" t="str">
        <f aca="false">IF(Z153="","",Z153*K153)</f>
        <v/>
      </c>
      <c r="AB153" s="31" t="str">
        <f aca="false">IF(OR(Y153="",AA153=""),"",Y153/AA153)</f>
        <v/>
      </c>
      <c r="AC153" s="31" t="str">
        <f aca="false">IF(OR(W153="",AT153=""),"",AT153*(W153/K153)*O153/1000/S153)</f>
        <v/>
      </c>
      <c r="AD153" s="31" t="str">
        <f aca="false">IF(W153="","",IFERROR(IF(INDEX('Design Basis'!$C$13:$C$21,MATCH(C153,'Design Basis'!$A$13:$A$21,0))="","",INDEX('Design Basis'!$C$13:$C$21,MATCH(C153,'Design Basis'!$A$13:$A$21,0))),""))</f>
        <v/>
      </c>
      <c r="AE153" s="32" t="str">
        <f aca="false">IF(W153="","n/a",IF(AA153="","CHECK",IF(AND(AB153&lt;=1,OR(AC153="",AD153="",AC153&lt;=AD153)),"OK","CHECK")))</f>
        <v>n/a</v>
      </c>
      <c r="AF153" s="28" t="n">
        <f aca="false">IF(AR153="","",K153*AQ153*PI()/4*AR153^2)</f>
        <v>567.057473972958</v>
      </c>
      <c r="AG153" s="32" t="s">
        <v>1018</v>
      </c>
      <c r="AI153" s="33" t="n">
        <f aca="false">INDEX(Equipment!$D$2:$D$153,MATCH(E153,Equipment!$A$2:$A$153,0))</f>
        <v>46</v>
      </c>
      <c r="AJ153" s="33" t="n">
        <f aca="false">INDEX(Equipment!$E$2:$E$153,MATCH(E153,Equipment!$A$2:$A$153,0))</f>
        <v>-6</v>
      </c>
      <c r="AK153" s="33" t="n">
        <f aca="false">INDEX(Equipment!$F$2:$F$153,MATCH(E153,Equipment!$A$2:$A$153,0))</f>
        <v>0.5</v>
      </c>
      <c r="AL153" s="33" t="n">
        <f aca="false">INDEX(Equipment!$D$2:$D$153,MATCH(G153,Equipment!$A$2:$A$153,0))</f>
        <v>40</v>
      </c>
      <c r="AM153" s="33" t="n">
        <f aca="false">INDEX(Equipment!$E$2:$E$153,MATCH(G153,Equipment!$A$2:$A$153,0))</f>
        <v>55</v>
      </c>
      <c r="AN153" s="33" t="n">
        <f aca="false">INDEX(Equipment!$F$2:$F$153,MATCH(G153,Equipment!$A$2:$A$153,0))</f>
        <v>0.5</v>
      </c>
      <c r="AO153" s="33" t="n">
        <f aca="false">IF(INDEX(Raceways!$D$2:$D$18,MATCH(L153,Raceways!$A$2:$A$18,0))="",0,INDEX(Raceways!$D$2:$D$18,MATCH(L153,Raceways!$A$2:$A$18,0)))</f>
        <v>5</v>
      </c>
      <c r="AP153" s="34" t="n">
        <f aca="false">IF(INDEX(Raceways!$I$2:$I$18,MATCH(L153,Raceways!$A$2:$A$18,0))="","",INDEX(Raceways!$I$2:$I$18,MATCH(L153,Raceways!$A$2:$A$18,0)))</f>
        <v>0.88</v>
      </c>
      <c r="AQ153" s="27" t="n">
        <f aca="false">INDEX('Cable Types'!$D$2:$D$45,MATCH(I153,'Cable Types'!$A$2:$A$45,0))</f>
        <v>1</v>
      </c>
      <c r="AR153" s="27" t="n">
        <f aca="false">IF(INDEX('Cable Types'!$E$2:$E$45,MATCH(I153,'Cable Types'!$A$2:$A$45,0))="","",INDEX('Cable Types'!$E$2:$E$45,MATCH(I153,'Cable Types'!$A$2:$A$45,0)))</f>
        <v>19</v>
      </c>
      <c r="AS153" s="27" t="str">
        <f aca="false">IF(INDEX('Cable Types'!$F$2:$F$45,MATCH(I153,'Cable Types'!$A$2:$A$45,0))="","",INDEX('Cable Types'!$F$2:$F$45,MATCH(I153,'Cable Types'!$A$2:$A$45,0)))</f>
        <v/>
      </c>
      <c r="AT153" s="35" t="str">
        <f aca="false">IF(INDEX('Cable Types'!$G$2:$G$45,MATCH(I153,'Cable Types'!$A$2:$A$45,0))="","",INDEX('Cable Types'!$G$2:$G$45,MATCH(I153,'Cable Types'!$A$2:$A$45,0)))</f>
        <v/>
      </c>
    </row>
    <row r="154" customFormat="false" ht="15" hidden="false" customHeight="false" outlineLevel="0" collapsed="false">
      <c r="A154" s="26" t="s">
        <v>1019</v>
      </c>
      <c r="B154" s="26" t="s">
        <v>139</v>
      </c>
      <c r="C154" s="26" t="s">
        <v>86</v>
      </c>
      <c r="D154" s="26" t="s">
        <v>1020</v>
      </c>
      <c r="E154" s="26" t="s">
        <v>212</v>
      </c>
      <c r="F154" s="27" t="str">
        <f aca="false">INDEX(Equipment!$B$2:$B$153,MATCH(E154,Equipment!$A$2:$A$153,0))</f>
        <v>ST control panel</v>
      </c>
      <c r="G154" s="26" t="s">
        <v>512</v>
      </c>
      <c r="H154" s="27" t="str">
        <f aca="false">INDEX(Equipment!$B$2:$B$153,MATCH(G154,Equipment!$A$2:$A$153,0))</f>
        <v>DCS servers / central control room</v>
      </c>
      <c r="I154" s="26" t="s">
        <v>619</v>
      </c>
      <c r="J154" s="27" t="str">
        <f aca="false">INDEX('Cable Types'!$B$2:$B$45,MATCH(I154,'Cable Types'!$A$2:$A$45,0))</f>
        <v>24-fiber single-mode OFCR, interlocked Al armor</v>
      </c>
      <c r="K154" s="26" t="n">
        <v>2</v>
      </c>
      <c r="L154" s="26" t="s">
        <v>724</v>
      </c>
      <c r="M154" s="26" t="s">
        <v>703</v>
      </c>
      <c r="N154" s="26"/>
      <c r="O154" s="28" t="n">
        <f aca="false">IF(N154&lt;&gt;"",N154,IF(M154="D",ROUNDUP(SQRT((AL154-AI154)^2+(AM154-AJ154)^2+(AN154-AK154)^2)*(1+'Design Basis'!$C$6),0),ROUNDUP((ABS(AL154-AI154)+ABS(AM154-AJ154)+ABS(AO154-AK154)+ABS(AO154-AN154))*(1+'Design Basis'!$C$4)+2*'Design Basis'!$C$5,0)))</f>
        <v>82</v>
      </c>
      <c r="P154" s="28" t="n">
        <f aca="false">ROUND(O154*'Design Basis'!$C$10,0)</f>
        <v>269</v>
      </c>
      <c r="Q154" s="28" t="n">
        <f aca="false">O154*K154*AQ154</f>
        <v>164</v>
      </c>
      <c r="R154" s="28" t="n">
        <f aca="false">ROUND(Q154*'Design Basis'!$C$10,0)</f>
        <v>538</v>
      </c>
      <c r="S154" s="29"/>
      <c r="T154" s="26"/>
      <c r="U154" s="29"/>
      <c r="V154" s="30"/>
      <c r="W154" s="28" t="str">
        <f aca="false">IF(OR(U154="",S154=""),"",IF(T154=3,U154*1000/(SQRT(3)*S154*V154),U154*1000/(S154*V154)))</f>
        <v/>
      </c>
      <c r="X154" s="30"/>
      <c r="Y154" s="28" t="str">
        <f aca="false">IF(W154="","",W154*IF(X154="",1,X154))</f>
        <v/>
      </c>
      <c r="Z154" s="28" t="str">
        <f aca="false">IF(OR(AS154="",AP154=""),"",AS154*AP154)</f>
        <v/>
      </c>
      <c r="AA154" s="28" t="str">
        <f aca="false">IF(Z154="","",Z154*K154)</f>
        <v/>
      </c>
      <c r="AB154" s="31" t="str">
        <f aca="false">IF(OR(Y154="",AA154=""),"",Y154/AA154)</f>
        <v/>
      </c>
      <c r="AC154" s="31" t="str">
        <f aca="false">IF(OR(W154="",AT154=""),"",AT154*(W154/K154)*O154/1000/S154)</f>
        <v/>
      </c>
      <c r="AD154" s="31" t="str">
        <f aca="false">IF(W154="","",IFERROR(IF(INDEX('Design Basis'!$C$13:$C$21,MATCH(C154,'Design Basis'!$A$13:$A$21,0))="","",INDEX('Design Basis'!$C$13:$C$21,MATCH(C154,'Design Basis'!$A$13:$A$21,0))),""))</f>
        <v/>
      </c>
      <c r="AE154" s="32" t="str">
        <f aca="false">IF(W154="","n/a",IF(AA154="","CHECK",IF(AND(AB154&lt;=1,OR(AC154="",AD154="",AC154&lt;=AD154)),"OK","CHECK")))</f>
        <v>n/a</v>
      </c>
      <c r="AF154" s="28" t="n">
        <f aca="false">IF(AR154="","",K154*AQ154*PI()/4*AR154^2)</f>
        <v>567.057473972958</v>
      </c>
      <c r="AG154" s="32" t="s">
        <v>1018</v>
      </c>
      <c r="AI154" s="33" t="n">
        <f aca="false">INDEX(Equipment!$D$2:$D$153,MATCH(E154,Equipment!$A$2:$A$153,0))</f>
        <v>85</v>
      </c>
      <c r="AJ154" s="33" t="n">
        <f aca="false">INDEX(Equipment!$E$2:$E$153,MATCH(E154,Equipment!$A$2:$A$153,0))</f>
        <v>40</v>
      </c>
      <c r="AK154" s="33" t="n">
        <f aca="false">INDEX(Equipment!$F$2:$F$153,MATCH(E154,Equipment!$A$2:$A$153,0))</f>
        <v>0.5</v>
      </c>
      <c r="AL154" s="33" t="n">
        <f aca="false">INDEX(Equipment!$D$2:$D$153,MATCH(G154,Equipment!$A$2:$A$153,0))</f>
        <v>40</v>
      </c>
      <c r="AM154" s="33" t="n">
        <f aca="false">INDEX(Equipment!$E$2:$E$153,MATCH(G154,Equipment!$A$2:$A$153,0))</f>
        <v>55</v>
      </c>
      <c r="AN154" s="33" t="n">
        <f aca="false">INDEX(Equipment!$F$2:$F$153,MATCH(G154,Equipment!$A$2:$A$153,0))</f>
        <v>0.5</v>
      </c>
      <c r="AO154" s="33" t="n">
        <f aca="false">IF(INDEX(Raceways!$D$2:$D$18,MATCH(L154,Raceways!$A$2:$A$18,0))="",0,INDEX(Raceways!$D$2:$D$18,MATCH(L154,Raceways!$A$2:$A$18,0)))</f>
        <v>5</v>
      </c>
      <c r="AP154" s="34" t="n">
        <f aca="false">IF(INDEX(Raceways!$I$2:$I$18,MATCH(L154,Raceways!$A$2:$A$18,0))="","",INDEX(Raceways!$I$2:$I$18,MATCH(L154,Raceways!$A$2:$A$18,0)))</f>
        <v>0.88</v>
      </c>
      <c r="AQ154" s="27" t="n">
        <f aca="false">INDEX('Cable Types'!$D$2:$D$45,MATCH(I154,'Cable Types'!$A$2:$A$45,0))</f>
        <v>1</v>
      </c>
      <c r="AR154" s="27" t="n">
        <f aca="false">IF(INDEX('Cable Types'!$E$2:$E$45,MATCH(I154,'Cable Types'!$A$2:$A$45,0))="","",INDEX('Cable Types'!$E$2:$E$45,MATCH(I154,'Cable Types'!$A$2:$A$45,0)))</f>
        <v>19</v>
      </c>
      <c r="AS154" s="27" t="str">
        <f aca="false">IF(INDEX('Cable Types'!$F$2:$F$45,MATCH(I154,'Cable Types'!$A$2:$A$45,0))="","",INDEX('Cable Types'!$F$2:$F$45,MATCH(I154,'Cable Types'!$A$2:$A$45,0)))</f>
        <v/>
      </c>
      <c r="AT154" s="35" t="str">
        <f aca="false">IF(INDEX('Cable Types'!$G$2:$G$45,MATCH(I154,'Cable Types'!$A$2:$A$45,0))="","",INDEX('Cable Types'!$G$2:$G$45,MATCH(I154,'Cable Types'!$A$2:$A$45,0)))</f>
        <v/>
      </c>
    </row>
    <row r="155" customFormat="false" ht="15" hidden="false" customHeight="false" outlineLevel="0" collapsed="false">
      <c r="A155" s="26" t="s">
        <v>1021</v>
      </c>
      <c r="B155" s="26" t="s">
        <v>139</v>
      </c>
      <c r="C155" s="26" t="s">
        <v>86</v>
      </c>
      <c r="D155" s="26" t="s">
        <v>1022</v>
      </c>
      <c r="E155" s="26" t="s">
        <v>229</v>
      </c>
      <c r="F155" s="27" t="str">
        <f aca="false">INDEX(Equipment!$B$2:$B$153,MATCH(E155,Equipment!$A$2:$A$153,0))</f>
        <v>DCS remote I/O cabinet - power block</v>
      </c>
      <c r="G155" s="26" t="s">
        <v>512</v>
      </c>
      <c r="H155" s="27" t="str">
        <f aca="false">INDEX(Equipment!$B$2:$B$153,MATCH(G155,Equipment!$A$2:$A$153,0))</f>
        <v>DCS servers / central control room</v>
      </c>
      <c r="I155" s="26" t="s">
        <v>619</v>
      </c>
      <c r="J155" s="27" t="str">
        <f aca="false">INDEX('Cable Types'!$B$2:$B$45,MATCH(I155,'Cable Types'!$A$2:$A$45,0))</f>
        <v>24-fiber single-mode OFCR, interlocked Al armor</v>
      </c>
      <c r="K155" s="26" t="n">
        <v>2</v>
      </c>
      <c r="L155" s="26" t="s">
        <v>730</v>
      </c>
      <c r="M155" s="26" t="s">
        <v>703</v>
      </c>
      <c r="N155" s="26"/>
      <c r="O155" s="28" t="n">
        <f aca="false">IF(N155&lt;&gt;"",N155,IF(M155="D",ROUNDUP(SQRT((AL155-AI155)^2+(AM155-AJ155)^2+(AN155-AK155)^2)*(1+'Design Basis'!$C$6),0),ROUNDUP((ABS(AL155-AI155)+ABS(AM155-AJ155)+ABS(AO155-AK155)+ABS(AO155-AN155))*(1+'Design Basis'!$C$4)+2*'Design Basis'!$C$5,0)))</f>
        <v>83</v>
      </c>
      <c r="P155" s="28" t="n">
        <f aca="false">ROUND(O155*'Design Basis'!$C$10,0)</f>
        <v>272</v>
      </c>
      <c r="Q155" s="28" t="n">
        <f aca="false">O155*K155*AQ155</f>
        <v>166</v>
      </c>
      <c r="R155" s="28" t="n">
        <f aca="false">ROUND(Q155*'Design Basis'!$C$10,0)</f>
        <v>545</v>
      </c>
      <c r="S155" s="29"/>
      <c r="T155" s="26"/>
      <c r="U155" s="29"/>
      <c r="V155" s="30"/>
      <c r="W155" s="28" t="str">
        <f aca="false">IF(OR(U155="",S155=""),"",IF(T155=3,U155*1000/(SQRT(3)*S155*V155),U155*1000/(S155*V155)))</f>
        <v/>
      </c>
      <c r="X155" s="30"/>
      <c r="Y155" s="28" t="str">
        <f aca="false">IF(W155="","",W155*IF(X155="",1,X155))</f>
        <v/>
      </c>
      <c r="Z155" s="28" t="str">
        <f aca="false">IF(OR(AS155="",AP155=""),"",AS155*AP155)</f>
        <v/>
      </c>
      <c r="AA155" s="28" t="str">
        <f aca="false">IF(Z155="","",Z155*K155)</f>
        <v/>
      </c>
      <c r="AB155" s="31" t="str">
        <f aca="false">IF(OR(Y155="",AA155=""),"",Y155/AA155)</f>
        <v/>
      </c>
      <c r="AC155" s="31" t="str">
        <f aca="false">IF(OR(W155="",AT155=""),"",AT155*(W155/K155)*O155/1000/S155)</f>
        <v/>
      </c>
      <c r="AD155" s="31" t="str">
        <f aca="false">IF(W155="","",IFERROR(IF(INDEX('Design Basis'!$C$13:$C$21,MATCH(C155,'Design Basis'!$A$13:$A$21,0))="","",INDEX('Design Basis'!$C$13:$C$21,MATCH(C155,'Design Basis'!$A$13:$A$21,0))),""))</f>
        <v/>
      </c>
      <c r="AE155" s="32" t="str">
        <f aca="false">IF(W155="","n/a",IF(AA155="","CHECK",IF(AND(AB155&lt;=1,OR(AC155="",AD155="",AC155&lt;=AD155)),"OK","CHECK")))</f>
        <v>n/a</v>
      </c>
      <c r="AF155" s="28" t="n">
        <f aca="false">IF(AR155="","",K155*AQ155*PI()/4*AR155^2)</f>
        <v>567.057473972958</v>
      </c>
      <c r="AG155" s="32" t="s">
        <v>1018</v>
      </c>
      <c r="AI155" s="33" t="n">
        <f aca="false">INDEX(Equipment!$D$2:$D$153,MATCH(E155,Equipment!$A$2:$A$153,0))</f>
        <v>68</v>
      </c>
      <c r="AJ155" s="33" t="n">
        <f aca="false">INDEX(Equipment!$E$2:$E$153,MATCH(E155,Equipment!$A$2:$A$153,0))</f>
        <v>22</v>
      </c>
      <c r="AK155" s="33" t="n">
        <f aca="false">INDEX(Equipment!$F$2:$F$153,MATCH(E155,Equipment!$A$2:$A$153,0))</f>
        <v>0.5</v>
      </c>
      <c r="AL155" s="33" t="n">
        <f aca="false">INDEX(Equipment!$D$2:$D$153,MATCH(G155,Equipment!$A$2:$A$153,0))</f>
        <v>40</v>
      </c>
      <c r="AM155" s="33" t="n">
        <f aca="false">INDEX(Equipment!$E$2:$E$153,MATCH(G155,Equipment!$A$2:$A$153,0))</f>
        <v>55</v>
      </c>
      <c r="AN155" s="33" t="n">
        <f aca="false">INDEX(Equipment!$F$2:$F$153,MATCH(G155,Equipment!$A$2:$A$153,0))</f>
        <v>0.5</v>
      </c>
      <c r="AO155" s="33" t="n">
        <f aca="false">IF(INDEX(Raceways!$D$2:$D$18,MATCH(L155,Raceways!$A$2:$A$18,0))="",0,INDEX(Raceways!$D$2:$D$18,MATCH(L155,Raceways!$A$2:$A$18,0)))</f>
        <v>5</v>
      </c>
      <c r="AP155" s="34" t="n">
        <f aca="false">IF(INDEX(Raceways!$I$2:$I$18,MATCH(L155,Raceways!$A$2:$A$18,0))="","",INDEX(Raceways!$I$2:$I$18,MATCH(L155,Raceways!$A$2:$A$18,0)))</f>
        <v>0.88</v>
      </c>
      <c r="AQ155" s="27" t="n">
        <f aca="false">INDEX('Cable Types'!$D$2:$D$45,MATCH(I155,'Cable Types'!$A$2:$A$45,0))</f>
        <v>1</v>
      </c>
      <c r="AR155" s="27" t="n">
        <f aca="false">IF(INDEX('Cable Types'!$E$2:$E$45,MATCH(I155,'Cable Types'!$A$2:$A$45,0))="","",INDEX('Cable Types'!$E$2:$E$45,MATCH(I155,'Cable Types'!$A$2:$A$45,0)))</f>
        <v>19</v>
      </c>
      <c r="AS155" s="27" t="str">
        <f aca="false">IF(INDEX('Cable Types'!$F$2:$F$45,MATCH(I155,'Cable Types'!$A$2:$A$45,0))="","",INDEX('Cable Types'!$F$2:$F$45,MATCH(I155,'Cable Types'!$A$2:$A$45,0)))</f>
        <v/>
      </c>
      <c r="AT155" s="35" t="str">
        <f aca="false">IF(INDEX('Cable Types'!$G$2:$G$45,MATCH(I155,'Cable Types'!$A$2:$A$45,0))="","",INDEX('Cable Types'!$G$2:$G$45,MATCH(I155,'Cable Types'!$A$2:$A$45,0)))</f>
        <v/>
      </c>
    </row>
    <row r="156" customFormat="false" ht="15" hidden="false" customHeight="false" outlineLevel="0" collapsed="false">
      <c r="A156" s="26" t="s">
        <v>1023</v>
      </c>
      <c r="B156" s="26" t="s">
        <v>139</v>
      </c>
      <c r="C156" s="26" t="s">
        <v>86</v>
      </c>
      <c r="D156" s="26" t="s">
        <v>1024</v>
      </c>
      <c r="E156" s="26" t="s">
        <v>210</v>
      </c>
      <c r="F156" s="27" t="str">
        <f aca="false">INDEX(Equipment!$B$2:$B$153,MATCH(E156,Equipment!$A$2:$A$153,0))</f>
        <v>CEMS analyser shelter</v>
      </c>
      <c r="G156" s="26" t="s">
        <v>512</v>
      </c>
      <c r="H156" s="27" t="str">
        <f aca="false">INDEX(Equipment!$B$2:$B$153,MATCH(G156,Equipment!$A$2:$A$153,0))</f>
        <v>DCS servers / central control room</v>
      </c>
      <c r="I156" s="26" t="s">
        <v>619</v>
      </c>
      <c r="J156" s="27" t="str">
        <f aca="false">INDEX('Cable Types'!$B$2:$B$45,MATCH(I156,'Cable Types'!$A$2:$A$45,0))</f>
        <v>24-fiber single-mode OFCR, interlocked Al armor</v>
      </c>
      <c r="K156" s="26" t="n">
        <v>1</v>
      </c>
      <c r="L156" s="26" t="s">
        <v>724</v>
      </c>
      <c r="M156" s="26" t="s">
        <v>703</v>
      </c>
      <c r="N156" s="26"/>
      <c r="O156" s="28" t="n">
        <f aca="false">IF(N156&lt;&gt;"",N156,IF(M156="D",ROUNDUP(SQRT((AL156-AI156)^2+(AM156-AJ156)^2+(AN156-AK156)^2)*(1+'Design Basis'!$C$6),0),ROUNDUP((ABS(AL156-AI156)+ABS(AM156-AJ156)+ABS(AO156-AK156)+ABS(AO156-AN156))*(1+'Design Basis'!$C$4)+2*'Design Basis'!$C$5,0)))</f>
        <v>176</v>
      </c>
      <c r="P156" s="28" t="n">
        <f aca="false">ROUND(O156*'Design Basis'!$C$10,0)</f>
        <v>577</v>
      </c>
      <c r="Q156" s="28" t="n">
        <f aca="false">O156*K156*AQ156</f>
        <v>176</v>
      </c>
      <c r="R156" s="28" t="n">
        <f aca="false">ROUND(Q156*'Design Basis'!$C$10,0)</f>
        <v>577</v>
      </c>
      <c r="S156" s="29"/>
      <c r="T156" s="26"/>
      <c r="U156" s="29"/>
      <c r="V156" s="30"/>
      <c r="W156" s="28" t="str">
        <f aca="false">IF(OR(U156="",S156=""),"",IF(T156=3,U156*1000/(SQRT(3)*S156*V156),U156*1000/(S156*V156)))</f>
        <v/>
      </c>
      <c r="X156" s="30"/>
      <c r="Y156" s="28" t="str">
        <f aca="false">IF(W156="","",W156*IF(X156="",1,X156))</f>
        <v/>
      </c>
      <c r="Z156" s="28" t="str">
        <f aca="false">IF(OR(AS156="",AP156=""),"",AS156*AP156)</f>
        <v/>
      </c>
      <c r="AA156" s="28" t="str">
        <f aca="false">IF(Z156="","",Z156*K156)</f>
        <v/>
      </c>
      <c r="AB156" s="31" t="str">
        <f aca="false">IF(OR(Y156="",AA156=""),"",Y156/AA156)</f>
        <v/>
      </c>
      <c r="AC156" s="31" t="str">
        <f aca="false">IF(OR(W156="",AT156=""),"",AT156*(W156/K156)*O156/1000/S156)</f>
        <v/>
      </c>
      <c r="AD156" s="31" t="str">
        <f aca="false">IF(W156="","",IFERROR(IF(INDEX('Design Basis'!$C$13:$C$21,MATCH(C156,'Design Basis'!$A$13:$A$21,0))="","",INDEX('Design Basis'!$C$13:$C$21,MATCH(C156,'Design Basis'!$A$13:$A$21,0))),""))</f>
        <v/>
      </c>
      <c r="AE156" s="32" t="str">
        <f aca="false">IF(W156="","n/a",IF(AA156="","CHECK",IF(AND(AB156&lt;=1,OR(AC156="",AD156="",AC156&lt;=AD156)),"OK","CHECK")))</f>
        <v>n/a</v>
      </c>
      <c r="AF156" s="28" t="n">
        <f aca="false">IF(AR156="","",K156*AQ156*PI()/4*AR156^2)</f>
        <v>283.528736986479</v>
      </c>
      <c r="AG156" s="32"/>
      <c r="AI156" s="33" t="n">
        <f aca="false">INDEX(Equipment!$D$2:$D$153,MATCH(E156,Equipment!$A$2:$A$153,0))</f>
        <v>122</v>
      </c>
      <c r="AJ156" s="33" t="n">
        <f aca="false">INDEX(Equipment!$E$2:$E$153,MATCH(E156,Equipment!$A$2:$A$153,0))</f>
        <v>-8</v>
      </c>
      <c r="AK156" s="33" t="n">
        <f aca="false">INDEX(Equipment!$F$2:$F$153,MATCH(E156,Equipment!$A$2:$A$153,0))</f>
        <v>0.5</v>
      </c>
      <c r="AL156" s="33" t="n">
        <f aca="false">INDEX(Equipment!$D$2:$D$153,MATCH(G156,Equipment!$A$2:$A$153,0))</f>
        <v>40</v>
      </c>
      <c r="AM156" s="33" t="n">
        <f aca="false">INDEX(Equipment!$E$2:$E$153,MATCH(G156,Equipment!$A$2:$A$153,0))</f>
        <v>55</v>
      </c>
      <c r="AN156" s="33" t="n">
        <f aca="false">INDEX(Equipment!$F$2:$F$153,MATCH(G156,Equipment!$A$2:$A$153,0))</f>
        <v>0.5</v>
      </c>
      <c r="AO156" s="33" t="n">
        <f aca="false">IF(INDEX(Raceways!$D$2:$D$18,MATCH(L156,Raceways!$A$2:$A$18,0))="",0,INDEX(Raceways!$D$2:$D$18,MATCH(L156,Raceways!$A$2:$A$18,0)))</f>
        <v>5</v>
      </c>
      <c r="AP156" s="34" t="n">
        <f aca="false">IF(INDEX(Raceways!$I$2:$I$18,MATCH(L156,Raceways!$A$2:$A$18,0))="","",INDEX(Raceways!$I$2:$I$18,MATCH(L156,Raceways!$A$2:$A$18,0)))</f>
        <v>0.88</v>
      </c>
      <c r="AQ156" s="27" t="n">
        <f aca="false">INDEX('Cable Types'!$D$2:$D$45,MATCH(I156,'Cable Types'!$A$2:$A$45,0))</f>
        <v>1</v>
      </c>
      <c r="AR156" s="27" t="n">
        <f aca="false">IF(INDEX('Cable Types'!$E$2:$E$45,MATCH(I156,'Cable Types'!$A$2:$A$45,0))="","",INDEX('Cable Types'!$E$2:$E$45,MATCH(I156,'Cable Types'!$A$2:$A$45,0)))</f>
        <v>19</v>
      </c>
      <c r="AS156" s="27" t="str">
        <f aca="false">IF(INDEX('Cable Types'!$F$2:$F$45,MATCH(I156,'Cable Types'!$A$2:$A$45,0))="","",INDEX('Cable Types'!$F$2:$F$45,MATCH(I156,'Cable Types'!$A$2:$A$45,0)))</f>
        <v/>
      </c>
      <c r="AT156" s="35" t="str">
        <f aca="false">IF(INDEX('Cable Types'!$G$2:$G$45,MATCH(I156,'Cable Types'!$A$2:$A$45,0))="","",INDEX('Cable Types'!$G$2:$G$45,MATCH(I156,'Cable Types'!$A$2:$A$45,0)))</f>
        <v/>
      </c>
    </row>
    <row r="157" customFormat="false" ht="15" hidden="false" customHeight="false" outlineLevel="0" collapsed="false">
      <c r="A157" s="26" t="s">
        <v>1025</v>
      </c>
      <c r="B157" s="26" t="s">
        <v>236</v>
      </c>
      <c r="C157" s="26" t="s">
        <v>86</v>
      </c>
      <c r="D157" s="26" t="s">
        <v>1026</v>
      </c>
      <c r="E157" s="26" t="s">
        <v>238</v>
      </c>
      <c r="F157" s="27" t="str">
        <f aca="false">INDEX(Equipment!$B$2:$B$153,MATCH(E157,Equipment!$A$2:$A$153,0))</f>
        <v>ACC fan VFD switchroom 480 V</v>
      </c>
      <c r="G157" s="26" t="s">
        <v>512</v>
      </c>
      <c r="H157" s="27" t="str">
        <f aca="false">INDEX(Equipment!$B$2:$B$153,MATCH(G157,Equipment!$A$2:$A$153,0))</f>
        <v>DCS servers / central control room</v>
      </c>
      <c r="I157" s="26" t="s">
        <v>619</v>
      </c>
      <c r="J157" s="27" t="str">
        <f aca="false">INDEX('Cable Types'!$B$2:$B$45,MATCH(I157,'Cable Types'!$A$2:$A$45,0))</f>
        <v>24-fiber single-mode OFCR, interlocked Al armor</v>
      </c>
      <c r="K157" s="26" t="n">
        <v>1</v>
      </c>
      <c r="L157" s="26" t="s">
        <v>724</v>
      </c>
      <c r="M157" s="26" t="s">
        <v>703</v>
      </c>
      <c r="N157" s="26"/>
      <c r="O157" s="28" t="n">
        <f aca="false">IF(N157&lt;&gt;"",N157,IF(M157="D",ROUNDUP(SQRT((AL157-AI157)^2+(AM157-AJ157)^2+(AN157-AK157)^2)*(1+'Design Basis'!$C$6),0),ROUNDUP((ABS(AL157-AI157)+ABS(AM157-AJ157)+ABS(AO157-AK157)+ABS(AO157-AN157))*(1+'Design Basis'!$C$4)+2*'Design Basis'!$C$5,0)))</f>
        <v>143</v>
      </c>
      <c r="P157" s="28" t="n">
        <f aca="false">ROUND(O157*'Design Basis'!$C$10,0)</f>
        <v>469</v>
      </c>
      <c r="Q157" s="28" t="n">
        <f aca="false">O157*K157*AQ157</f>
        <v>143</v>
      </c>
      <c r="R157" s="28" t="n">
        <f aca="false">ROUND(Q157*'Design Basis'!$C$10,0)</f>
        <v>469</v>
      </c>
      <c r="S157" s="29"/>
      <c r="T157" s="26"/>
      <c r="U157" s="29"/>
      <c r="V157" s="30"/>
      <c r="W157" s="28" t="str">
        <f aca="false">IF(OR(U157="",S157=""),"",IF(T157=3,U157*1000/(SQRT(3)*S157*V157),U157*1000/(S157*V157)))</f>
        <v/>
      </c>
      <c r="X157" s="30"/>
      <c r="Y157" s="28" t="str">
        <f aca="false">IF(W157="","",W157*IF(X157="",1,X157))</f>
        <v/>
      </c>
      <c r="Z157" s="28" t="str">
        <f aca="false">IF(OR(AS157="",AP157=""),"",AS157*AP157)</f>
        <v/>
      </c>
      <c r="AA157" s="28" t="str">
        <f aca="false">IF(Z157="","",Z157*K157)</f>
        <v/>
      </c>
      <c r="AB157" s="31" t="str">
        <f aca="false">IF(OR(Y157="",AA157=""),"",Y157/AA157)</f>
        <v/>
      </c>
      <c r="AC157" s="31" t="str">
        <f aca="false">IF(OR(W157="",AT157=""),"",AT157*(W157/K157)*O157/1000/S157)</f>
        <v/>
      </c>
      <c r="AD157" s="31" t="str">
        <f aca="false">IF(W157="","",IFERROR(IF(INDEX('Design Basis'!$C$13:$C$21,MATCH(C157,'Design Basis'!$A$13:$A$21,0))="","",INDEX('Design Basis'!$C$13:$C$21,MATCH(C157,'Design Basis'!$A$13:$A$21,0))),""))</f>
        <v/>
      </c>
      <c r="AE157" s="32" t="str">
        <f aca="false">IF(W157="","n/a",IF(AA157="","CHECK",IF(AND(AB157&lt;=1,OR(AC157="",AD157="",AC157&lt;=AD157)),"OK","CHECK")))</f>
        <v>n/a</v>
      </c>
      <c r="AF157" s="28" t="n">
        <f aca="false">IF(AR157="","",K157*AQ157*PI()/4*AR157^2)</f>
        <v>283.528736986479</v>
      </c>
      <c r="AG157" s="32"/>
      <c r="AI157" s="33" t="n">
        <f aca="false">INDEX(Equipment!$D$2:$D$153,MATCH(E157,Equipment!$A$2:$A$153,0))</f>
        <v>146</v>
      </c>
      <c r="AJ157" s="33" t="n">
        <f aca="false">INDEX(Equipment!$E$2:$E$153,MATCH(E157,Equipment!$A$2:$A$153,0))</f>
        <v>46</v>
      </c>
      <c r="AK157" s="33" t="n">
        <f aca="false">INDEX(Equipment!$F$2:$F$153,MATCH(E157,Equipment!$A$2:$A$153,0))</f>
        <v>0.5</v>
      </c>
      <c r="AL157" s="33" t="n">
        <f aca="false">INDEX(Equipment!$D$2:$D$153,MATCH(G157,Equipment!$A$2:$A$153,0))</f>
        <v>40</v>
      </c>
      <c r="AM157" s="33" t="n">
        <f aca="false">INDEX(Equipment!$E$2:$E$153,MATCH(G157,Equipment!$A$2:$A$153,0))</f>
        <v>55</v>
      </c>
      <c r="AN157" s="33" t="n">
        <f aca="false">INDEX(Equipment!$F$2:$F$153,MATCH(G157,Equipment!$A$2:$A$153,0))</f>
        <v>0.5</v>
      </c>
      <c r="AO157" s="33" t="n">
        <f aca="false">IF(INDEX(Raceways!$D$2:$D$18,MATCH(L157,Raceways!$A$2:$A$18,0))="",0,INDEX(Raceways!$D$2:$D$18,MATCH(L157,Raceways!$A$2:$A$18,0)))</f>
        <v>5</v>
      </c>
      <c r="AP157" s="34" t="n">
        <f aca="false">IF(INDEX(Raceways!$I$2:$I$18,MATCH(L157,Raceways!$A$2:$A$18,0))="","",INDEX(Raceways!$I$2:$I$18,MATCH(L157,Raceways!$A$2:$A$18,0)))</f>
        <v>0.88</v>
      </c>
      <c r="AQ157" s="27" t="n">
        <f aca="false">INDEX('Cable Types'!$D$2:$D$45,MATCH(I157,'Cable Types'!$A$2:$A$45,0))</f>
        <v>1</v>
      </c>
      <c r="AR157" s="27" t="n">
        <f aca="false">IF(INDEX('Cable Types'!$E$2:$E$45,MATCH(I157,'Cable Types'!$A$2:$A$45,0))="","",INDEX('Cable Types'!$E$2:$E$45,MATCH(I157,'Cable Types'!$A$2:$A$45,0)))</f>
        <v>19</v>
      </c>
      <c r="AS157" s="27" t="str">
        <f aca="false">IF(INDEX('Cable Types'!$F$2:$F$45,MATCH(I157,'Cable Types'!$A$2:$A$45,0))="","",INDEX('Cable Types'!$F$2:$F$45,MATCH(I157,'Cable Types'!$A$2:$A$45,0)))</f>
        <v/>
      </c>
      <c r="AT157" s="35" t="str">
        <f aca="false">IF(INDEX('Cable Types'!$G$2:$G$45,MATCH(I157,'Cable Types'!$A$2:$A$45,0))="","",INDEX('Cable Types'!$G$2:$G$45,MATCH(I157,'Cable Types'!$A$2:$A$45,0)))</f>
        <v/>
      </c>
    </row>
    <row r="158" customFormat="false" ht="15" hidden="false" customHeight="false" outlineLevel="0" collapsed="false">
      <c r="A158" s="26" t="s">
        <v>1027</v>
      </c>
      <c r="B158" s="26" t="s">
        <v>336</v>
      </c>
      <c r="C158" s="26" t="s">
        <v>86</v>
      </c>
      <c r="D158" s="26" t="s">
        <v>1028</v>
      </c>
      <c r="E158" s="26" t="s">
        <v>343</v>
      </c>
      <c r="F158" s="27" t="str">
        <f aca="false">INDEX(Equipment!$B$2:$B$153,MATCH(E158,Equipment!$A$2:$A$153,0))</f>
        <v>DCS remote I/O cabinet - CCS</v>
      </c>
      <c r="G158" s="26" t="s">
        <v>512</v>
      </c>
      <c r="H158" s="27" t="str">
        <f aca="false">INDEX(Equipment!$B$2:$B$153,MATCH(G158,Equipment!$A$2:$A$153,0))</f>
        <v>DCS servers / central control room</v>
      </c>
      <c r="I158" s="26" t="s">
        <v>621</v>
      </c>
      <c r="J158" s="27" t="str">
        <f aca="false">INDEX('Cable Types'!$B$2:$B$45,MATCH(I158,'Cable Types'!$A$2:$A$45,0))</f>
        <v>48-fiber single-mode OFCR, interlocked Al armor</v>
      </c>
      <c r="K158" s="26" t="n">
        <v>2</v>
      </c>
      <c r="L158" s="26" t="s">
        <v>724</v>
      </c>
      <c r="M158" s="26" t="s">
        <v>703</v>
      </c>
      <c r="N158" s="26"/>
      <c r="O158" s="28" t="n">
        <f aca="false">IF(N158&lt;&gt;"",N158,IF(M158="D",ROUNDUP(SQRT((AL158-AI158)^2+(AM158-AJ158)^2+(AN158-AK158)^2)*(1+'Design Basis'!$C$6),0),ROUNDUP((ABS(AL158-AI158)+ABS(AM158-AJ158)+ABS(AO158-AK158)+ABS(AO158-AN158))*(1+'Design Basis'!$C$4)+2*'Design Basis'!$C$5,0)))</f>
        <v>167</v>
      </c>
      <c r="P158" s="28" t="n">
        <f aca="false">ROUND(O158*'Design Basis'!$C$10,0)</f>
        <v>548</v>
      </c>
      <c r="Q158" s="28" t="n">
        <f aca="false">O158*K158*AQ158</f>
        <v>334</v>
      </c>
      <c r="R158" s="28" t="n">
        <f aca="false">ROUND(Q158*'Design Basis'!$C$10,0)</f>
        <v>1096</v>
      </c>
      <c r="S158" s="29"/>
      <c r="T158" s="26"/>
      <c r="U158" s="29"/>
      <c r="V158" s="30"/>
      <c r="W158" s="28" t="str">
        <f aca="false">IF(OR(U158="",S158=""),"",IF(T158=3,U158*1000/(SQRT(3)*S158*V158),U158*1000/(S158*V158)))</f>
        <v/>
      </c>
      <c r="X158" s="30"/>
      <c r="Y158" s="28" t="str">
        <f aca="false">IF(W158="","",W158*IF(X158="",1,X158))</f>
        <v/>
      </c>
      <c r="Z158" s="28" t="str">
        <f aca="false">IF(OR(AS158="",AP158=""),"",AS158*AP158)</f>
        <v/>
      </c>
      <c r="AA158" s="28" t="str">
        <f aca="false">IF(Z158="","",Z158*K158)</f>
        <v/>
      </c>
      <c r="AB158" s="31" t="str">
        <f aca="false">IF(OR(Y158="",AA158=""),"",Y158/AA158)</f>
        <v/>
      </c>
      <c r="AC158" s="31" t="str">
        <f aca="false">IF(OR(W158="",AT158=""),"",AT158*(W158/K158)*O158/1000/S158)</f>
        <v/>
      </c>
      <c r="AD158" s="31" t="str">
        <f aca="false">IF(W158="","",IFERROR(IF(INDEX('Design Basis'!$C$13:$C$21,MATCH(C158,'Design Basis'!$A$13:$A$21,0))="","",INDEX('Design Basis'!$C$13:$C$21,MATCH(C158,'Design Basis'!$A$13:$A$21,0))),""))</f>
        <v/>
      </c>
      <c r="AE158" s="32" t="str">
        <f aca="false">IF(W158="","n/a",IF(AA158="","CHECK",IF(AND(AB158&lt;=1,OR(AC158="",AD158="",AC158&lt;=AD158)),"OK","CHECK")))</f>
        <v>n/a</v>
      </c>
      <c r="AF158" s="28" t="n">
        <f aca="false">IF(AR158="","",K158*AQ158*PI()/4*AR158^2)</f>
        <v>692.721180116549</v>
      </c>
      <c r="AG158" s="32" t="s">
        <v>1018</v>
      </c>
      <c r="AI158" s="33" t="n">
        <f aca="false">INDEX(Equipment!$D$2:$D$153,MATCH(E158,Equipment!$A$2:$A$153,0))</f>
        <v>174</v>
      </c>
      <c r="AJ158" s="33" t="n">
        <f aca="false">INDEX(Equipment!$E$2:$E$153,MATCH(E158,Equipment!$A$2:$A$153,0))</f>
        <v>58</v>
      </c>
      <c r="AK158" s="33" t="n">
        <f aca="false">INDEX(Equipment!$F$2:$F$153,MATCH(E158,Equipment!$A$2:$A$153,0))</f>
        <v>0.5</v>
      </c>
      <c r="AL158" s="33" t="n">
        <f aca="false">INDEX(Equipment!$D$2:$D$153,MATCH(G158,Equipment!$A$2:$A$153,0))</f>
        <v>40</v>
      </c>
      <c r="AM158" s="33" t="n">
        <f aca="false">INDEX(Equipment!$E$2:$E$153,MATCH(G158,Equipment!$A$2:$A$153,0))</f>
        <v>55</v>
      </c>
      <c r="AN158" s="33" t="n">
        <f aca="false">INDEX(Equipment!$F$2:$F$153,MATCH(G158,Equipment!$A$2:$A$153,0))</f>
        <v>0.5</v>
      </c>
      <c r="AO158" s="33" t="n">
        <f aca="false">IF(INDEX(Raceways!$D$2:$D$18,MATCH(L158,Raceways!$A$2:$A$18,0))="",0,INDEX(Raceways!$D$2:$D$18,MATCH(L158,Raceways!$A$2:$A$18,0)))</f>
        <v>5</v>
      </c>
      <c r="AP158" s="34" t="n">
        <f aca="false">IF(INDEX(Raceways!$I$2:$I$18,MATCH(L158,Raceways!$A$2:$A$18,0))="","",INDEX(Raceways!$I$2:$I$18,MATCH(L158,Raceways!$A$2:$A$18,0)))</f>
        <v>0.88</v>
      </c>
      <c r="AQ158" s="27" t="n">
        <f aca="false">INDEX('Cable Types'!$D$2:$D$45,MATCH(I158,'Cable Types'!$A$2:$A$45,0))</f>
        <v>1</v>
      </c>
      <c r="AR158" s="27" t="n">
        <f aca="false">IF(INDEX('Cable Types'!$E$2:$E$45,MATCH(I158,'Cable Types'!$A$2:$A$45,0))="","",INDEX('Cable Types'!$E$2:$E$45,MATCH(I158,'Cable Types'!$A$2:$A$45,0)))</f>
        <v>21</v>
      </c>
      <c r="AS158" s="27" t="str">
        <f aca="false">IF(INDEX('Cable Types'!$F$2:$F$45,MATCH(I158,'Cable Types'!$A$2:$A$45,0))="","",INDEX('Cable Types'!$F$2:$F$45,MATCH(I158,'Cable Types'!$A$2:$A$45,0)))</f>
        <v/>
      </c>
      <c r="AT158" s="35" t="str">
        <f aca="false">IF(INDEX('Cable Types'!$G$2:$G$45,MATCH(I158,'Cable Types'!$A$2:$A$45,0))="","",INDEX('Cable Types'!$G$2:$G$45,MATCH(I158,'Cable Types'!$A$2:$A$45,0)))</f>
        <v/>
      </c>
    </row>
    <row r="159" customFormat="false" ht="15" hidden="false" customHeight="false" outlineLevel="0" collapsed="false">
      <c r="A159" s="26" t="s">
        <v>1029</v>
      </c>
      <c r="B159" s="26" t="s">
        <v>336</v>
      </c>
      <c r="C159" s="26" t="s">
        <v>86</v>
      </c>
      <c r="D159" s="26" t="s">
        <v>1030</v>
      </c>
      <c r="E159" s="26" t="s">
        <v>372</v>
      </c>
      <c r="F159" s="27" t="str">
        <f aca="false">INDEX(Equipment!$B$2:$B$153,MATCH(E159,Equipment!$A$2:$A$153,0))</f>
        <v>CO2 compressor unit control panel</v>
      </c>
      <c r="G159" s="26" t="s">
        <v>343</v>
      </c>
      <c r="H159" s="27" t="str">
        <f aca="false">INDEX(Equipment!$B$2:$B$153,MATCH(G159,Equipment!$A$2:$A$153,0))</f>
        <v>DCS remote I/O cabinet - CCS</v>
      </c>
      <c r="I159" s="26" t="s">
        <v>619</v>
      </c>
      <c r="J159" s="27" t="str">
        <f aca="false">INDEX('Cable Types'!$B$2:$B$45,MATCH(I159,'Cable Types'!$A$2:$A$45,0))</f>
        <v>24-fiber single-mode OFCR, interlocked Al armor</v>
      </c>
      <c r="K159" s="26" t="n">
        <v>1</v>
      </c>
      <c r="L159" s="26" t="s">
        <v>759</v>
      </c>
      <c r="M159" s="26" t="s">
        <v>703</v>
      </c>
      <c r="N159" s="26"/>
      <c r="O159" s="28" t="n">
        <f aca="false">IF(N159&lt;&gt;"",N159,IF(M159="D",ROUNDUP(SQRT((AL159-AI159)^2+(AM159-AJ159)^2+(AN159-AK159)^2)*(1+'Design Basis'!$C$6),0),ROUNDUP((ABS(AL159-AI159)+ABS(AM159-AJ159)+ABS(AO159-AK159)+ABS(AO159-AN159))*(1+'Design Basis'!$C$4)+2*'Design Basis'!$C$5,0)))</f>
        <v>65</v>
      </c>
      <c r="P159" s="28" t="n">
        <f aca="false">ROUND(O159*'Design Basis'!$C$10,0)</f>
        <v>213</v>
      </c>
      <c r="Q159" s="28" t="n">
        <f aca="false">O159*K159*AQ159</f>
        <v>65</v>
      </c>
      <c r="R159" s="28" t="n">
        <f aca="false">ROUND(Q159*'Design Basis'!$C$10,0)</f>
        <v>213</v>
      </c>
      <c r="S159" s="29"/>
      <c r="T159" s="26"/>
      <c r="U159" s="29"/>
      <c r="V159" s="30"/>
      <c r="W159" s="28" t="str">
        <f aca="false">IF(OR(U159="",S159=""),"",IF(T159=3,U159*1000/(SQRT(3)*S159*V159),U159*1000/(S159*V159)))</f>
        <v/>
      </c>
      <c r="X159" s="30"/>
      <c r="Y159" s="28" t="str">
        <f aca="false">IF(W159="","",W159*IF(X159="",1,X159))</f>
        <v/>
      </c>
      <c r="Z159" s="28" t="str">
        <f aca="false">IF(OR(AS159="",AP159=""),"",AS159*AP159)</f>
        <v/>
      </c>
      <c r="AA159" s="28" t="str">
        <f aca="false">IF(Z159="","",Z159*K159)</f>
        <v/>
      </c>
      <c r="AB159" s="31" t="str">
        <f aca="false">IF(OR(Y159="",AA159=""),"",Y159/AA159)</f>
        <v/>
      </c>
      <c r="AC159" s="31" t="str">
        <f aca="false">IF(OR(W159="",AT159=""),"",AT159*(W159/K159)*O159/1000/S159)</f>
        <v/>
      </c>
      <c r="AD159" s="31" t="str">
        <f aca="false">IF(W159="","",IFERROR(IF(INDEX('Design Basis'!$C$13:$C$21,MATCH(C159,'Design Basis'!$A$13:$A$21,0))="","",INDEX('Design Basis'!$C$13:$C$21,MATCH(C159,'Design Basis'!$A$13:$A$21,0))),""))</f>
        <v/>
      </c>
      <c r="AE159" s="32" t="str">
        <f aca="false">IF(W159="","n/a",IF(AA159="","CHECK",IF(AND(AB159&lt;=1,OR(AC159="",AD159="",AC159&lt;=AD159)),"OK","CHECK")))</f>
        <v>n/a</v>
      </c>
      <c r="AF159" s="28" t="n">
        <f aca="false">IF(AR159="","",K159*AQ159*PI()/4*AR159^2)</f>
        <v>283.528736986479</v>
      </c>
      <c r="AG159" s="32"/>
      <c r="AI159" s="33" t="n">
        <f aca="false">INDEX(Equipment!$D$2:$D$153,MATCH(E159,Equipment!$A$2:$A$153,0))</f>
        <v>192</v>
      </c>
      <c r="AJ159" s="33" t="n">
        <f aca="false">INDEX(Equipment!$E$2:$E$153,MATCH(E159,Equipment!$A$2:$A$153,0))</f>
        <v>34</v>
      </c>
      <c r="AK159" s="33" t="n">
        <f aca="false">INDEX(Equipment!$F$2:$F$153,MATCH(E159,Equipment!$A$2:$A$153,0))</f>
        <v>0.5</v>
      </c>
      <c r="AL159" s="33" t="n">
        <f aca="false">INDEX(Equipment!$D$2:$D$153,MATCH(G159,Equipment!$A$2:$A$153,0))</f>
        <v>174</v>
      </c>
      <c r="AM159" s="33" t="n">
        <f aca="false">INDEX(Equipment!$E$2:$E$153,MATCH(G159,Equipment!$A$2:$A$153,0))</f>
        <v>58</v>
      </c>
      <c r="AN159" s="33" t="n">
        <f aca="false">INDEX(Equipment!$F$2:$F$153,MATCH(G159,Equipment!$A$2:$A$153,0))</f>
        <v>0.5</v>
      </c>
      <c r="AO159" s="33" t="n">
        <f aca="false">IF(INDEX(Raceways!$D$2:$D$18,MATCH(L159,Raceways!$A$2:$A$18,0))="",0,INDEX(Raceways!$D$2:$D$18,MATCH(L159,Raceways!$A$2:$A$18,0)))</f>
        <v>6</v>
      </c>
      <c r="AP159" s="34" t="n">
        <f aca="false">IF(INDEX(Raceways!$I$2:$I$18,MATCH(L159,Raceways!$A$2:$A$18,0))="","",INDEX(Raceways!$I$2:$I$18,MATCH(L159,Raceways!$A$2:$A$18,0)))</f>
        <v>0.88</v>
      </c>
      <c r="AQ159" s="27" t="n">
        <f aca="false">INDEX('Cable Types'!$D$2:$D$45,MATCH(I159,'Cable Types'!$A$2:$A$45,0))</f>
        <v>1</v>
      </c>
      <c r="AR159" s="27" t="n">
        <f aca="false">IF(INDEX('Cable Types'!$E$2:$E$45,MATCH(I159,'Cable Types'!$A$2:$A$45,0))="","",INDEX('Cable Types'!$E$2:$E$45,MATCH(I159,'Cable Types'!$A$2:$A$45,0)))</f>
        <v>19</v>
      </c>
      <c r="AS159" s="27" t="str">
        <f aca="false">IF(INDEX('Cable Types'!$F$2:$F$45,MATCH(I159,'Cable Types'!$A$2:$A$45,0))="","",INDEX('Cable Types'!$F$2:$F$45,MATCH(I159,'Cable Types'!$A$2:$A$45,0)))</f>
        <v/>
      </c>
      <c r="AT159" s="35" t="str">
        <f aca="false">IF(INDEX('Cable Types'!$G$2:$G$45,MATCH(I159,'Cable Types'!$A$2:$A$45,0))="","",INDEX('Cable Types'!$G$2:$G$45,MATCH(I159,'Cable Types'!$A$2:$A$45,0)))</f>
        <v/>
      </c>
    </row>
    <row r="160" customFormat="false" ht="15" hidden="false" customHeight="false" outlineLevel="0" collapsed="false">
      <c r="A160" s="26" t="s">
        <v>1031</v>
      </c>
      <c r="B160" s="26" t="s">
        <v>133</v>
      </c>
      <c r="C160" s="26" t="s">
        <v>86</v>
      </c>
      <c r="D160" s="26" t="s">
        <v>1032</v>
      </c>
      <c r="E160" s="26" t="s">
        <v>403</v>
      </c>
      <c r="F160" s="27" t="str">
        <f aca="false">INDEX(Equipment!$B$2:$B$153,MATCH(E160,Equipment!$A$2:$A$153,0))</f>
        <v>RICE plant controller</v>
      </c>
      <c r="G160" s="26" t="s">
        <v>512</v>
      </c>
      <c r="H160" s="27" t="str">
        <f aca="false">INDEX(Equipment!$B$2:$B$153,MATCH(G160,Equipment!$A$2:$A$153,0))</f>
        <v>DCS servers / central control room</v>
      </c>
      <c r="I160" s="26" t="s">
        <v>619</v>
      </c>
      <c r="J160" s="27" t="str">
        <f aca="false">INDEX('Cable Types'!$B$2:$B$45,MATCH(I160,'Cable Types'!$A$2:$A$45,0))</f>
        <v>24-fiber single-mode OFCR, interlocked Al armor</v>
      </c>
      <c r="K160" s="26" t="n">
        <v>2</v>
      </c>
      <c r="L160" s="26" t="s">
        <v>756</v>
      </c>
      <c r="M160" s="26" t="s">
        <v>703</v>
      </c>
      <c r="N160" s="26"/>
      <c r="O160" s="28" t="n">
        <f aca="false">IF(N160&lt;&gt;"",N160,IF(M160="D",ROUNDUP(SQRT((AL160-AI160)^2+(AM160-AJ160)^2+(AN160-AK160)^2)*(1+'Design Basis'!$C$6),0),ROUNDUP((ABS(AL160-AI160)+ABS(AM160-AJ160)+ABS(AO160-AK160)+ABS(AO160-AN160))*(1+'Design Basis'!$C$4)+2*'Design Basis'!$C$5,0)))</f>
        <v>94</v>
      </c>
      <c r="P160" s="28" t="n">
        <f aca="false">ROUND(O160*'Design Basis'!$C$10,0)</f>
        <v>308</v>
      </c>
      <c r="Q160" s="28" t="n">
        <f aca="false">O160*K160*AQ160</f>
        <v>188</v>
      </c>
      <c r="R160" s="28" t="n">
        <f aca="false">ROUND(Q160*'Design Basis'!$C$10,0)</f>
        <v>617</v>
      </c>
      <c r="S160" s="29"/>
      <c r="T160" s="26"/>
      <c r="U160" s="29"/>
      <c r="V160" s="30"/>
      <c r="W160" s="28" t="str">
        <f aca="false">IF(OR(U160="",S160=""),"",IF(T160=3,U160*1000/(SQRT(3)*S160*V160),U160*1000/(S160*V160)))</f>
        <v/>
      </c>
      <c r="X160" s="30"/>
      <c r="Y160" s="28" t="str">
        <f aca="false">IF(W160="","",W160*IF(X160="",1,X160))</f>
        <v/>
      </c>
      <c r="Z160" s="28" t="str">
        <f aca="false">IF(OR(AS160="",AP160=""),"",AS160*AP160)</f>
        <v/>
      </c>
      <c r="AA160" s="28" t="str">
        <f aca="false">IF(Z160="","",Z160*K160)</f>
        <v/>
      </c>
      <c r="AB160" s="31" t="str">
        <f aca="false">IF(OR(Y160="",AA160=""),"",Y160/AA160)</f>
        <v/>
      </c>
      <c r="AC160" s="31" t="str">
        <f aca="false">IF(OR(W160="",AT160=""),"",AT160*(W160/K160)*O160/1000/S160)</f>
        <v/>
      </c>
      <c r="AD160" s="31" t="str">
        <f aca="false">IF(W160="","",IFERROR(IF(INDEX('Design Basis'!$C$13:$C$21,MATCH(C160,'Design Basis'!$A$13:$A$21,0))="","",INDEX('Design Basis'!$C$13:$C$21,MATCH(C160,'Design Basis'!$A$13:$A$21,0))),""))</f>
        <v/>
      </c>
      <c r="AE160" s="32" t="str">
        <f aca="false">IF(W160="","n/a",IF(AA160="","CHECK",IF(AND(AB160&lt;=1,OR(AC160="",AD160="",AC160&lt;=AD160)),"OK","CHECK")))</f>
        <v>n/a</v>
      </c>
      <c r="AF160" s="28" t="n">
        <f aca="false">IF(AR160="","",K160*AQ160*PI()/4*AR160^2)</f>
        <v>567.057473972958</v>
      </c>
      <c r="AG160" s="32" t="s">
        <v>1018</v>
      </c>
      <c r="AI160" s="33" t="n">
        <f aca="false">INDEX(Equipment!$D$2:$D$153,MATCH(E160,Equipment!$A$2:$A$153,0))</f>
        <v>8</v>
      </c>
      <c r="AJ160" s="33" t="n">
        <f aca="false">INDEX(Equipment!$E$2:$E$153,MATCH(E160,Equipment!$A$2:$A$153,0))</f>
        <v>99</v>
      </c>
      <c r="AK160" s="33" t="n">
        <f aca="false">INDEX(Equipment!$F$2:$F$153,MATCH(E160,Equipment!$A$2:$A$153,0))</f>
        <v>0.5</v>
      </c>
      <c r="AL160" s="33" t="n">
        <f aca="false">INDEX(Equipment!$D$2:$D$153,MATCH(G160,Equipment!$A$2:$A$153,0))</f>
        <v>40</v>
      </c>
      <c r="AM160" s="33" t="n">
        <f aca="false">INDEX(Equipment!$E$2:$E$153,MATCH(G160,Equipment!$A$2:$A$153,0))</f>
        <v>55</v>
      </c>
      <c r="AN160" s="33" t="n">
        <f aca="false">INDEX(Equipment!$F$2:$F$153,MATCH(G160,Equipment!$A$2:$A$153,0))</f>
        <v>0.5</v>
      </c>
      <c r="AO160" s="33" t="n">
        <f aca="false">IF(INDEX(Raceways!$D$2:$D$18,MATCH(L160,Raceways!$A$2:$A$18,0))="",0,INDEX(Raceways!$D$2:$D$18,MATCH(L160,Raceways!$A$2:$A$18,0)))</f>
        <v>-1.2</v>
      </c>
      <c r="AP160" s="34" t="n">
        <f aca="false">IF(INDEX(Raceways!$I$2:$I$18,MATCH(L160,Raceways!$A$2:$A$18,0))="","",INDEX(Raceways!$I$2:$I$18,MATCH(L160,Raceways!$A$2:$A$18,0)))</f>
        <v>0.7</v>
      </c>
      <c r="AQ160" s="27" t="n">
        <f aca="false">INDEX('Cable Types'!$D$2:$D$45,MATCH(I160,'Cable Types'!$A$2:$A$45,0))</f>
        <v>1</v>
      </c>
      <c r="AR160" s="27" t="n">
        <f aca="false">IF(INDEX('Cable Types'!$E$2:$E$45,MATCH(I160,'Cable Types'!$A$2:$A$45,0))="","",INDEX('Cable Types'!$E$2:$E$45,MATCH(I160,'Cable Types'!$A$2:$A$45,0)))</f>
        <v>19</v>
      </c>
      <c r="AS160" s="27" t="str">
        <f aca="false">IF(INDEX('Cable Types'!$F$2:$F$45,MATCH(I160,'Cable Types'!$A$2:$A$45,0))="","",INDEX('Cable Types'!$F$2:$F$45,MATCH(I160,'Cable Types'!$A$2:$A$45,0)))</f>
        <v/>
      </c>
      <c r="AT160" s="35" t="str">
        <f aca="false">IF(INDEX('Cable Types'!$G$2:$G$45,MATCH(I160,'Cable Types'!$A$2:$A$45,0))="","",INDEX('Cable Types'!$G$2:$G$45,MATCH(I160,'Cable Types'!$A$2:$A$45,0)))</f>
        <v/>
      </c>
    </row>
    <row r="161" customFormat="false" ht="15" hidden="false" customHeight="false" outlineLevel="0" collapsed="false">
      <c r="A161" s="26" t="s">
        <v>1033</v>
      </c>
      <c r="B161" s="26" t="s">
        <v>449</v>
      </c>
      <c r="C161" s="26" t="s">
        <v>86</v>
      </c>
      <c r="D161" s="26" t="s">
        <v>1034</v>
      </c>
      <c r="E161" s="26" t="s">
        <v>476</v>
      </c>
      <c r="F161" s="27" t="str">
        <f aca="false">INDEX(Equipment!$B$2:$B$153,MATCH(E161,Equipment!$A$2:$A$153,0))</f>
        <v>DCS remote I/O cabinet - gas station (shelter)</v>
      </c>
      <c r="G161" s="26" t="s">
        <v>512</v>
      </c>
      <c r="H161" s="27" t="str">
        <f aca="false">INDEX(Equipment!$B$2:$B$153,MATCH(G161,Equipment!$A$2:$A$153,0))</f>
        <v>DCS servers / central control room</v>
      </c>
      <c r="I161" s="26" t="s">
        <v>619</v>
      </c>
      <c r="J161" s="27" t="str">
        <f aca="false">INDEX('Cable Types'!$B$2:$B$45,MATCH(I161,'Cable Types'!$A$2:$A$45,0))</f>
        <v>24-fiber single-mode OFCR, interlocked Al armor</v>
      </c>
      <c r="K161" s="26" t="n">
        <v>2</v>
      </c>
      <c r="L161" s="26" t="s">
        <v>750</v>
      </c>
      <c r="M161" s="26" t="s">
        <v>703</v>
      </c>
      <c r="N161" s="26"/>
      <c r="O161" s="28" t="n">
        <f aca="false">IF(N161&lt;&gt;"",N161,IF(M161="D",ROUNDUP(SQRT((AL161-AI161)^2+(AM161-AJ161)^2+(AN161-AK161)^2)*(1+'Design Basis'!$C$6),0),ROUNDUP((ABS(AL161-AI161)+ABS(AM161-AJ161)+ABS(AO161-AK161)+ABS(AO161-AN161))*(1+'Design Basis'!$C$4)+2*'Design Basis'!$C$5,0)))</f>
        <v>127</v>
      </c>
      <c r="P161" s="28" t="n">
        <f aca="false">ROUND(O161*'Design Basis'!$C$10,0)</f>
        <v>417</v>
      </c>
      <c r="Q161" s="28" t="n">
        <f aca="false">O161*K161*AQ161</f>
        <v>254</v>
      </c>
      <c r="R161" s="28" t="n">
        <f aca="false">ROUND(Q161*'Design Basis'!$C$10,0)</f>
        <v>833</v>
      </c>
      <c r="S161" s="29"/>
      <c r="T161" s="26"/>
      <c r="U161" s="29"/>
      <c r="V161" s="30"/>
      <c r="W161" s="28" t="str">
        <f aca="false">IF(OR(U161="",S161=""),"",IF(T161=3,U161*1000/(SQRT(3)*S161*V161),U161*1000/(S161*V161)))</f>
        <v/>
      </c>
      <c r="X161" s="30"/>
      <c r="Y161" s="28" t="str">
        <f aca="false">IF(W161="","",W161*IF(X161="",1,X161))</f>
        <v/>
      </c>
      <c r="Z161" s="28" t="str">
        <f aca="false">IF(OR(AS161="",AP161=""),"",AS161*AP161)</f>
        <v/>
      </c>
      <c r="AA161" s="28" t="str">
        <f aca="false">IF(Z161="","",Z161*K161)</f>
        <v/>
      </c>
      <c r="AB161" s="31" t="str">
        <f aca="false">IF(OR(Y161="",AA161=""),"",Y161/AA161)</f>
        <v/>
      </c>
      <c r="AC161" s="31" t="str">
        <f aca="false">IF(OR(W161="",AT161=""),"",AT161*(W161/K161)*O161/1000/S161)</f>
        <v/>
      </c>
      <c r="AD161" s="31" t="str">
        <f aca="false">IF(W161="","",IFERROR(IF(INDEX('Design Basis'!$C$13:$C$21,MATCH(C161,'Design Basis'!$A$13:$A$21,0))="","",INDEX('Design Basis'!$C$13:$C$21,MATCH(C161,'Design Basis'!$A$13:$A$21,0))),""))</f>
        <v/>
      </c>
      <c r="AE161" s="32" t="str">
        <f aca="false">IF(W161="","n/a",IF(AA161="","CHECK",IF(AND(AB161&lt;=1,OR(AC161="",AD161="",AC161&lt;=AD161)),"OK","CHECK")))</f>
        <v>n/a</v>
      </c>
      <c r="AF161" s="28" t="n">
        <f aca="false">IF(AR161="","",K161*AQ161*PI()/4*AR161^2)</f>
        <v>567.057473972958</v>
      </c>
      <c r="AG161" s="32" t="s">
        <v>1018</v>
      </c>
      <c r="AI161" s="33" t="n">
        <f aca="false">INDEX(Equipment!$D$2:$D$153,MATCH(E161,Equipment!$A$2:$A$153,0))</f>
        <v>-18</v>
      </c>
      <c r="AJ161" s="33" t="n">
        <f aca="false">INDEX(Equipment!$E$2:$E$153,MATCH(E161,Equipment!$A$2:$A$153,0))</f>
        <v>12</v>
      </c>
      <c r="AK161" s="33" t="n">
        <f aca="false">INDEX(Equipment!$F$2:$F$153,MATCH(E161,Equipment!$A$2:$A$153,0))</f>
        <v>0.5</v>
      </c>
      <c r="AL161" s="33" t="n">
        <f aca="false">INDEX(Equipment!$D$2:$D$153,MATCH(G161,Equipment!$A$2:$A$153,0))</f>
        <v>40</v>
      </c>
      <c r="AM161" s="33" t="n">
        <f aca="false">INDEX(Equipment!$E$2:$E$153,MATCH(G161,Equipment!$A$2:$A$153,0))</f>
        <v>55</v>
      </c>
      <c r="AN161" s="33" t="n">
        <f aca="false">INDEX(Equipment!$F$2:$F$153,MATCH(G161,Equipment!$A$2:$A$153,0))</f>
        <v>0.5</v>
      </c>
      <c r="AO161" s="33" t="n">
        <f aca="false">IF(INDEX(Raceways!$D$2:$D$18,MATCH(L161,Raceways!$A$2:$A$18,0))="",0,INDEX(Raceways!$D$2:$D$18,MATCH(L161,Raceways!$A$2:$A$18,0)))</f>
        <v>5</v>
      </c>
      <c r="AP161" s="34" t="n">
        <f aca="false">IF(INDEX(Raceways!$I$2:$I$18,MATCH(L161,Raceways!$A$2:$A$18,0))="","",INDEX(Raceways!$I$2:$I$18,MATCH(L161,Raceways!$A$2:$A$18,0)))</f>
        <v>0.88</v>
      </c>
      <c r="AQ161" s="27" t="n">
        <f aca="false">INDEX('Cable Types'!$D$2:$D$45,MATCH(I161,'Cable Types'!$A$2:$A$45,0))</f>
        <v>1</v>
      </c>
      <c r="AR161" s="27" t="n">
        <f aca="false">IF(INDEX('Cable Types'!$E$2:$E$45,MATCH(I161,'Cable Types'!$A$2:$A$45,0))="","",INDEX('Cable Types'!$E$2:$E$45,MATCH(I161,'Cable Types'!$A$2:$A$45,0)))</f>
        <v>19</v>
      </c>
      <c r="AS161" s="27" t="str">
        <f aca="false">IF(INDEX('Cable Types'!$F$2:$F$45,MATCH(I161,'Cable Types'!$A$2:$A$45,0))="","",INDEX('Cable Types'!$F$2:$F$45,MATCH(I161,'Cable Types'!$A$2:$A$45,0)))</f>
        <v/>
      </c>
      <c r="AT161" s="35" t="str">
        <f aca="false">IF(INDEX('Cable Types'!$G$2:$G$45,MATCH(I161,'Cable Types'!$A$2:$A$45,0))="","",INDEX('Cable Types'!$G$2:$G$45,MATCH(I161,'Cable Types'!$A$2:$A$45,0)))</f>
        <v/>
      </c>
    </row>
    <row r="162" customFormat="false" ht="15" hidden="false" customHeight="false" outlineLevel="0" collapsed="false">
      <c r="A162" s="26" t="s">
        <v>1035</v>
      </c>
      <c r="B162" s="26" t="s">
        <v>133</v>
      </c>
      <c r="C162" s="26" t="s">
        <v>80</v>
      </c>
      <c r="D162" s="26" t="s">
        <v>1036</v>
      </c>
      <c r="E162" s="26" t="s">
        <v>407</v>
      </c>
      <c r="F162" s="27" t="str">
        <f aca="false">INDEX(Equipment!$B$2:$B$153,MATCH(E162,Equipment!$A$2:$A$153,0))</f>
        <v>Gas engine genset 1 (40 ft container) 2.5 MVA, 13.8 kV - terminal box</v>
      </c>
      <c r="G162" s="26" t="s">
        <v>403</v>
      </c>
      <c r="H162" s="27" t="str">
        <f aca="false">INDEX(Equipment!$B$2:$B$153,MATCH(G162,Equipment!$A$2:$A$153,0))</f>
        <v>RICE plant controller</v>
      </c>
      <c r="I162" s="26" t="s">
        <v>603</v>
      </c>
      <c r="J162" s="27" t="str">
        <f aca="false">INDEX('Cable Types'!$B$2:$B$45,MATCH(I162,'Cable Types'!$A$2:$A$45,0))</f>
        <v>600 V 25/C #14 AWG Cu XHHW-2 control, Type MC-HL, CCW Al armor (Armor-X type), PVC jkt</v>
      </c>
      <c r="K162" s="26" t="n">
        <v>1</v>
      </c>
      <c r="L162" s="26" t="s">
        <v>783</v>
      </c>
      <c r="M162" s="26" t="s">
        <v>703</v>
      </c>
      <c r="N162" s="26"/>
      <c r="O162" s="28" t="n">
        <f aca="false">IF(N162&lt;&gt;"",N162,IF(M162="D",ROUNDUP(SQRT((AL162-AI162)^2+(AM162-AJ162)^2+(AN162-AK162)^2)*(1+'Design Basis'!$C$6),0),ROUNDUP((ABS(AL162-AI162)+ABS(AM162-AJ162)+ABS(AO162-AK162)+ABS(AO162-AN162))*(1+'Design Basis'!$C$4)+2*'Design Basis'!$C$5,0)))</f>
        <v>48</v>
      </c>
      <c r="P162" s="28" t="n">
        <f aca="false">ROUND(O162*'Design Basis'!$C$10,0)</f>
        <v>157</v>
      </c>
      <c r="Q162" s="28" t="n">
        <f aca="false">O162*K162*AQ162</f>
        <v>48</v>
      </c>
      <c r="R162" s="28" t="n">
        <f aca="false">ROUND(Q162*'Design Basis'!$C$10,0)</f>
        <v>157</v>
      </c>
      <c r="S162" s="29"/>
      <c r="T162" s="26"/>
      <c r="U162" s="29"/>
      <c r="V162" s="30"/>
      <c r="W162" s="28" t="str">
        <f aca="false">IF(OR(U162="",S162=""),"",IF(T162=3,U162*1000/(SQRT(3)*S162*V162),U162*1000/(S162*V162)))</f>
        <v/>
      </c>
      <c r="X162" s="30"/>
      <c r="Y162" s="28" t="str">
        <f aca="false">IF(W162="","",W162*IF(X162="",1,X162))</f>
        <v/>
      </c>
      <c r="Z162" s="28" t="str">
        <f aca="false">IF(OR(AS162="",AP162=""),"",AS162*AP162)</f>
        <v/>
      </c>
      <c r="AA162" s="28" t="str">
        <f aca="false">IF(Z162="","",Z162*K162)</f>
        <v/>
      </c>
      <c r="AB162" s="31" t="str">
        <f aca="false">IF(OR(Y162="",AA162=""),"",Y162/AA162)</f>
        <v/>
      </c>
      <c r="AC162" s="31" t="str">
        <f aca="false">IF(OR(W162="",AT162=""),"",AT162*(W162/K162)*O162/1000/S162)</f>
        <v/>
      </c>
      <c r="AD162" s="31" t="str">
        <f aca="false">IF(W162="","",IFERROR(IF(INDEX('Design Basis'!$C$13:$C$21,MATCH(C162,'Design Basis'!$A$13:$A$21,0))="","",INDEX('Design Basis'!$C$13:$C$21,MATCH(C162,'Design Basis'!$A$13:$A$21,0))),""))</f>
        <v/>
      </c>
      <c r="AE162" s="32" t="str">
        <f aca="false">IF(W162="","n/a",IF(AA162="","CHECK",IF(AND(AB162&lt;=1,OR(AC162="",AD162="",AC162&lt;=AD162)),"OK","CHECK")))</f>
        <v>n/a</v>
      </c>
      <c r="AF162" s="28" t="n">
        <f aca="false">IF(AR162="","",K162*AQ162*PI()/4*AR162^2)</f>
        <v>572.55526111674</v>
      </c>
      <c r="AG162" s="32" t="s">
        <v>1037</v>
      </c>
      <c r="AI162" s="33" t="n">
        <f aca="false">INDEX(Equipment!$D$2:$D$153,MATCH(E162,Equipment!$A$2:$A$153,0))</f>
        <v>2.2</v>
      </c>
      <c r="AJ162" s="33" t="n">
        <f aca="false">INDEX(Equipment!$E$2:$E$153,MATCH(E162,Equipment!$A$2:$A$153,0))</f>
        <v>71.45</v>
      </c>
      <c r="AK162" s="33" t="n">
        <f aca="false">INDEX(Equipment!$F$2:$F$153,MATCH(E162,Equipment!$A$2:$A$153,0))</f>
        <v>1.5</v>
      </c>
      <c r="AL162" s="33" t="n">
        <f aca="false">INDEX(Equipment!$D$2:$D$153,MATCH(G162,Equipment!$A$2:$A$153,0))</f>
        <v>8</v>
      </c>
      <c r="AM162" s="33" t="n">
        <f aca="false">INDEX(Equipment!$E$2:$E$153,MATCH(G162,Equipment!$A$2:$A$153,0))</f>
        <v>99</v>
      </c>
      <c r="AN162" s="33" t="n">
        <f aca="false">INDEX(Equipment!$F$2:$F$153,MATCH(G162,Equipment!$A$2:$A$153,0))</f>
        <v>0.5</v>
      </c>
      <c r="AO162" s="33" t="n">
        <f aca="false">IF(INDEX(Raceways!$D$2:$D$18,MATCH(L162,Raceways!$A$2:$A$18,0))="",0,INDEX(Raceways!$D$2:$D$18,MATCH(L162,Raceways!$A$2:$A$18,0)))</f>
        <v>3</v>
      </c>
      <c r="AP162" s="34" t="n">
        <f aca="false">IF(INDEX(Raceways!$I$2:$I$18,MATCH(L162,Raceways!$A$2:$A$18,0))="","",INDEX(Raceways!$I$2:$I$18,MATCH(L162,Raceways!$A$2:$A$18,0)))</f>
        <v>0.88</v>
      </c>
      <c r="AQ162" s="27" t="n">
        <f aca="false">INDEX('Cable Types'!$D$2:$D$45,MATCH(I162,'Cable Types'!$A$2:$A$45,0))</f>
        <v>1</v>
      </c>
      <c r="AR162" s="27" t="n">
        <f aca="false">IF(INDEX('Cable Types'!$E$2:$E$45,MATCH(I162,'Cable Types'!$A$2:$A$45,0))="","",INDEX('Cable Types'!$E$2:$E$45,MATCH(I162,'Cable Types'!$A$2:$A$45,0)))</f>
        <v>27</v>
      </c>
      <c r="AS162" s="27" t="str">
        <f aca="false">IF(INDEX('Cable Types'!$F$2:$F$45,MATCH(I162,'Cable Types'!$A$2:$A$45,0))="","",INDEX('Cable Types'!$F$2:$F$45,MATCH(I162,'Cable Types'!$A$2:$A$45,0)))</f>
        <v/>
      </c>
      <c r="AT162" s="35" t="str">
        <f aca="false">IF(INDEX('Cable Types'!$G$2:$G$45,MATCH(I162,'Cable Types'!$A$2:$A$45,0))="","",INDEX('Cable Types'!$G$2:$G$45,MATCH(I162,'Cable Types'!$A$2:$A$45,0)))</f>
        <v/>
      </c>
    </row>
    <row r="163" customFormat="false" ht="15" hidden="false" customHeight="false" outlineLevel="0" collapsed="false">
      <c r="A163" s="26" t="s">
        <v>1038</v>
      </c>
      <c r="B163" s="26" t="s">
        <v>133</v>
      </c>
      <c r="C163" s="26" t="s">
        <v>80</v>
      </c>
      <c r="D163" s="26" t="s">
        <v>1039</v>
      </c>
      <c r="E163" s="26" t="s">
        <v>410</v>
      </c>
      <c r="F163" s="27" t="str">
        <f aca="false">INDEX(Equipment!$B$2:$B$153,MATCH(E163,Equipment!$A$2:$A$153,0))</f>
        <v>Gas engine genset 2 (40 ft container) 2.5 MVA, 13.8 kV - terminal box</v>
      </c>
      <c r="G163" s="26" t="s">
        <v>403</v>
      </c>
      <c r="H163" s="27" t="str">
        <f aca="false">INDEX(Equipment!$B$2:$B$153,MATCH(G163,Equipment!$A$2:$A$153,0))</f>
        <v>RICE plant controller</v>
      </c>
      <c r="I163" s="26" t="s">
        <v>603</v>
      </c>
      <c r="J163" s="27" t="str">
        <f aca="false">INDEX('Cable Types'!$B$2:$B$45,MATCH(I163,'Cable Types'!$A$2:$A$45,0))</f>
        <v>600 V 25/C #14 AWG Cu XHHW-2 control, Type MC-HL, CCW Al armor (Armor-X type), PVC jkt</v>
      </c>
      <c r="K163" s="26" t="n">
        <v>1</v>
      </c>
      <c r="L163" s="26" t="s">
        <v>783</v>
      </c>
      <c r="M163" s="26" t="s">
        <v>703</v>
      </c>
      <c r="N163" s="26"/>
      <c r="O163" s="28" t="n">
        <f aca="false">IF(N163&lt;&gt;"",N163,IF(M163="D",ROUNDUP(SQRT((AL163-AI163)^2+(AM163-AJ163)^2+(AN163-AK163)^2)*(1+'Design Basis'!$C$6),0),ROUNDUP((ABS(AL163-AI163)+ABS(AM163-AJ163)+ABS(AO163-AK163)+ABS(AO163-AN163))*(1+'Design Basis'!$C$4)+2*'Design Basis'!$C$5,0)))</f>
        <v>43</v>
      </c>
      <c r="P163" s="28" t="n">
        <f aca="false">ROUND(O163*'Design Basis'!$C$10,0)</f>
        <v>141</v>
      </c>
      <c r="Q163" s="28" t="n">
        <f aca="false">O163*K163*AQ163</f>
        <v>43</v>
      </c>
      <c r="R163" s="28" t="n">
        <f aca="false">ROUND(Q163*'Design Basis'!$C$10,0)</f>
        <v>141</v>
      </c>
      <c r="S163" s="29"/>
      <c r="T163" s="26"/>
      <c r="U163" s="29"/>
      <c r="V163" s="30"/>
      <c r="W163" s="28" t="str">
        <f aca="false">IF(OR(U163="",S163=""),"",IF(T163=3,U163*1000/(SQRT(3)*S163*V163),U163*1000/(S163*V163)))</f>
        <v/>
      </c>
      <c r="X163" s="30"/>
      <c r="Y163" s="28" t="str">
        <f aca="false">IF(W163="","",W163*IF(X163="",1,X163))</f>
        <v/>
      </c>
      <c r="Z163" s="28" t="str">
        <f aca="false">IF(OR(AS163="",AP163=""),"",AS163*AP163)</f>
        <v/>
      </c>
      <c r="AA163" s="28" t="str">
        <f aca="false">IF(Z163="","",Z163*K163)</f>
        <v/>
      </c>
      <c r="AB163" s="31" t="str">
        <f aca="false">IF(OR(Y163="",AA163=""),"",Y163/AA163)</f>
        <v/>
      </c>
      <c r="AC163" s="31" t="str">
        <f aca="false">IF(OR(W163="",AT163=""),"",AT163*(W163/K163)*O163/1000/S163)</f>
        <v/>
      </c>
      <c r="AD163" s="31" t="str">
        <f aca="false">IF(W163="","",IFERROR(IF(INDEX('Design Basis'!$C$13:$C$21,MATCH(C163,'Design Basis'!$A$13:$A$21,0))="","",INDEX('Design Basis'!$C$13:$C$21,MATCH(C163,'Design Basis'!$A$13:$A$21,0))),""))</f>
        <v/>
      </c>
      <c r="AE163" s="32" t="str">
        <f aca="false">IF(W163="","n/a",IF(AA163="","CHECK",IF(AND(AB163&lt;=1,OR(AC163="",AD163="",AC163&lt;=AD163)),"OK","CHECK")))</f>
        <v>n/a</v>
      </c>
      <c r="AF163" s="28" t="n">
        <f aca="false">IF(AR163="","",K163*AQ163*PI()/4*AR163^2)</f>
        <v>572.55526111674</v>
      </c>
      <c r="AG163" s="32" t="s">
        <v>1037</v>
      </c>
      <c r="AI163" s="33" t="n">
        <f aca="false">INDEX(Equipment!$D$2:$D$153,MATCH(E163,Equipment!$A$2:$A$153,0))</f>
        <v>2.2</v>
      </c>
      <c r="AJ163" s="33" t="n">
        <f aca="false">INDEX(Equipment!$E$2:$E$153,MATCH(E163,Equipment!$A$2:$A$153,0))</f>
        <v>75.65</v>
      </c>
      <c r="AK163" s="33" t="n">
        <f aca="false">INDEX(Equipment!$F$2:$F$153,MATCH(E163,Equipment!$A$2:$A$153,0))</f>
        <v>1.5</v>
      </c>
      <c r="AL163" s="33" t="n">
        <f aca="false">INDEX(Equipment!$D$2:$D$153,MATCH(G163,Equipment!$A$2:$A$153,0))</f>
        <v>8</v>
      </c>
      <c r="AM163" s="33" t="n">
        <f aca="false">INDEX(Equipment!$E$2:$E$153,MATCH(G163,Equipment!$A$2:$A$153,0))</f>
        <v>99</v>
      </c>
      <c r="AN163" s="33" t="n">
        <f aca="false">INDEX(Equipment!$F$2:$F$153,MATCH(G163,Equipment!$A$2:$A$153,0))</f>
        <v>0.5</v>
      </c>
      <c r="AO163" s="33" t="n">
        <f aca="false">IF(INDEX(Raceways!$D$2:$D$18,MATCH(L163,Raceways!$A$2:$A$18,0))="",0,INDEX(Raceways!$D$2:$D$18,MATCH(L163,Raceways!$A$2:$A$18,0)))</f>
        <v>3</v>
      </c>
      <c r="AP163" s="34" t="n">
        <f aca="false">IF(INDEX(Raceways!$I$2:$I$18,MATCH(L163,Raceways!$A$2:$A$18,0))="","",INDEX(Raceways!$I$2:$I$18,MATCH(L163,Raceways!$A$2:$A$18,0)))</f>
        <v>0.88</v>
      </c>
      <c r="AQ163" s="27" t="n">
        <f aca="false">INDEX('Cable Types'!$D$2:$D$45,MATCH(I163,'Cable Types'!$A$2:$A$45,0))</f>
        <v>1</v>
      </c>
      <c r="AR163" s="27" t="n">
        <f aca="false">IF(INDEX('Cable Types'!$E$2:$E$45,MATCH(I163,'Cable Types'!$A$2:$A$45,0))="","",INDEX('Cable Types'!$E$2:$E$45,MATCH(I163,'Cable Types'!$A$2:$A$45,0)))</f>
        <v>27</v>
      </c>
      <c r="AS163" s="27" t="str">
        <f aca="false">IF(INDEX('Cable Types'!$F$2:$F$45,MATCH(I163,'Cable Types'!$A$2:$A$45,0))="","",INDEX('Cable Types'!$F$2:$F$45,MATCH(I163,'Cable Types'!$A$2:$A$45,0)))</f>
        <v/>
      </c>
      <c r="AT163" s="35" t="str">
        <f aca="false">IF(INDEX('Cable Types'!$G$2:$G$45,MATCH(I163,'Cable Types'!$A$2:$A$45,0))="","",INDEX('Cable Types'!$G$2:$G$45,MATCH(I163,'Cable Types'!$A$2:$A$45,0)))</f>
        <v/>
      </c>
    </row>
    <row r="164" customFormat="false" ht="15" hidden="false" customHeight="false" outlineLevel="0" collapsed="false">
      <c r="A164" s="26" t="s">
        <v>1040</v>
      </c>
      <c r="B164" s="26" t="s">
        <v>133</v>
      </c>
      <c r="C164" s="26" t="s">
        <v>80</v>
      </c>
      <c r="D164" s="26" t="s">
        <v>1041</v>
      </c>
      <c r="E164" s="26" t="s">
        <v>413</v>
      </c>
      <c r="F164" s="27" t="str">
        <f aca="false">INDEX(Equipment!$B$2:$B$153,MATCH(E164,Equipment!$A$2:$A$153,0))</f>
        <v>Gas engine genset 3 (40 ft container) 2.5 MVA, 13.8 kV - terminal box</v>
      </c>
      <c r="G164" s="26" t="s">
        <v>403</v>
      </c>
      <c r="H164" s="27" t="str">
        <f aca="false">INDEX(Equipment!$B$2:$B$153,MATCH(G164,Equipment!$A$2:$A$153,0))</f>
        <v>RICE plant controller</v>
      </c>
      <c r="I164" s="26" t="s">
        <v>603</v>
      </c>
      <c r="J164" s="27" t="str">
        <f aca="false">INDEX('Cable Types'!$B$2:$B$45,MATCH(I164,'Cable Types'!$A$2:$A$45,0))</f>
        <v>600 V 25/C #14 AWG Cu XHHW-2 control, Type MC-HL, CCW Al armor (Armor-X type), PVC jkt</v>
      </c>
      <c r="K164" s="26" t="n">
        <v>1</v>
      </c>
      <c r="L164" s="26" t="s">
        <v>783</v>
      </c>
      <c r="M164" s="26" t="s">
        <v>703</v>
      </c>
      <c r="N164" s="26"/>
      <c r="O164" s="28" t="n">
        <f aca="false">IF(N164&lt;&gt;"",N164,IF(M164="D",ROUNDUP(SQRT((AL164-AI164)^2+(AM164-AJ164)^2+(AN164-AK164)^2)*(1+'Design Basis'!$C$6),0),ROUNDUP((ABS(AL164-AI164)+ABS(AM164-AJ164)+ABS(AO164-AK164)+ABS(AO164-AN164))*(1+'Design Basis'!$C$4)+2*'Design Basis'!$C$5,0)))</f>
        <v>38</v>
      </c>
      <c r="P164" s="28" t="n">
        <f aca="false">ROUND(O164*'Design Basis'!$C$10,0)</f>
        <v>125</v>
      </c>
      <c r="Q164" s="28" t="n">
        <f aca="false">O164*K164*AQ164</f>
        <v>38</v>
      </c>
      <c r="R164" s="28" t="n">
        <f aca="false">ROUND(Q164*'Design Basis'!$C$10,0)</f>
        <v>125</v>
      </c>
      <c r="S164" s="29"/>
      <c r="T164" s="26"/>
      <c r="U164" s="29"/>
      <c r="V164" s="30"/>
      <c r="W164" s="28" t="str">
        <f aca="false">IF(OR(U164="",S164=""),"",IF(T164=3,U164*1000/(SQRT(3)*S164*V164),U164*1000/(S164*V164)))</f>
        <v/>
      </c>
      <c r="X164" s="30"/>
      <c r="Y164" s="28" t="str">
        <f aca="false">IF(W164="","",W164*IF(X164="",1,X164))</f>
        <v/>
      </c>
      <c r="Z164" s="28" t="str">
        <f aca="false">IF(OR(AS164="",AP164=""),"",AS164*AP164)</f>
        <v/>
      </c>
      <c r="AA164" s="28" t="str">
        <f aca="false">IF(Z164="","",Z164*K164)</f>
        <v/>
      </c>
      <c r="AB164" s="31" t="str">
        <f aca="false">IF(OR(Y164="",AA164=""),"",Y164/AA164)</f>
        <v/>
      </c>
      <c r="AC164" s="31" t="str">
        <f aca="false">IF(OR(W164="",AT164=""),"",AT164*(W164/K164)*O164/1000/S164)</f>
        <v/>
      </c>
      <c r="AD164" s="31" t="str">
        <f aca="false">IF(W164="","",IFERROR(IF(INDEX('Design Basis'!$C$13:$C$21,MATCH(C164,'Design Basis'!$A$13:$A$21,0))="","",INDEX('Design Basis'!$C$13:$C$21,MATCH(C164,'Design Basis'!$A$13:$A$21,0))),""))</f>
        <v/>
      </c>
      <c r="AE164" s="32" t="str">
        <f aca="false">IF(W164="","n/a",IF(AA164="","CHECK",IF(AND(AB164&lt;=1,OR(AC164="",AD164="",AC164&lt;=AD164)),"OK","CHECK")))</f>
        <v>n/a</v>
      </c>
      <c r="AF164" s="28" t="n">
        <f aca="false">IF(AR164="","",K164*AQ164*PI()/4*AR164^2)</f>
        <v>572.55526111674</v>
      </c>
      <c r="AG164" s="32" t="s">
        <v>1037</v>
      </c>
      <c r="AI164" s="33" t="n">
        <f aca="false">INDEX(Equipment!$D$2:$D$153,MATCH(E164,Equipment!$A$2:$A$153,0))</f>
        <v>2.2</v>
      </c>
      <c r="AJ164" s="33" t="n">
        <f aca="false">INDEX(Equipment!$E$2:$E$153,MATCH(E164,Equipment!$A$2:$A$153,0))</f>
        <v>79.85</v>
      </c>
      <c r="AK164" s="33" t="n">
        <f aca="false">INDEX(Equipment!$F$2:$F$153,MATCH(E164,Equipment!$A$2:$A$153,0))</f>
        <v>1.5</v>
      </c>
      <c r="AL164" s="33" t="n">
        <f aca="false">INDEX(Equipment!$D$2:$D$153,MATCH(G164,Equipment!$A$2:$A$153,0))</f>
        <v>8</v>
      </c>
      <c r="AM164" s="33" t="n">
        <f aca="false">INDEX(Equipment!$E$2:$E$153,MATCH(G164,Equipment!$A$2:$A$153,0))</f>
        <v>99</v>
      </c>
      <c r="AN164" s="33" t="n">
        <f aca="false">INDEX(Equipment!$F$2:$F$153,MATCH(G164,Equipment!$A$2:$A$153,0))</f>
        <v>0.5</v>
      </c>
      <c r="AO164" s="33" t="n">
        <f aca="false">IF(INDEX(Raceways!$D$2:$D$18,MATCH(L164,Raceways!$A$2:$A$18,0))="",0,INDEX(Raceways!$D$2:$D$18,MATCH(L164,Raceways!$A$2:$A$18,0)))</f>
        <v>3</v>
      </c>
      <c r="AP164" s="34" t="n">
        <f aca="false">IF(INDEX(Raceways!$I$2:$I$18,MATCH(L164,Raceways!$A$2:$A$18,0))="","",INDEX(Raceways!$I$2:$I$18,MATCH(L164,Raceways!$A$2:$A$18,0)))</f>
        <v>0.88</v>
      </c>
      <c r="AQ164" s="27" t="n">
        <f aca="false">INDEX('Cable Types'!$D$2:$D$45,MATCH(I164,'Cable Types'!$A$2:$A$45,0))</f>
        <v>1</v>
      </c>
      <c r="AR164" s="27" t="n">
        <f aca="false">IF(INDEX('Cable Types'!$E$2:$E$45,MATCH(I164,'Cable Types'!$A$2:$A$45,0))="","",INDEX('Cable Types'!$E$2:$E$45,MATCH(I164,'Cable Types'!$A$2:$A$45,0)))</f>
        <v>27</v>
      </c>
      <c r="AS164" s="27" t="str">
        <f aca="false">IF(INDEX('Cable Types'!$F$2:$F$45,MATCH(I164,'Cable Types'!$A$2:$A$45,0))="","",INDEX('Cable Types'!$F$2:$F$45,MATCH(I164,'Cable Types'!$A$2:$A$45,0)))</f>
        <v/>
      </c>
      <c r="AT164" s="35" t="str">
        <f aca="false">IF(INDEX('Cable Types'!$G$2:$G$45,MATCH(I164,'Cable Types'!$A$2:$A$45,0))="","",INDEX('Cable Types'!$G$2:$G$45,MATCH(I164,'Cable Types'!$A$2:$A$45,0)))</f>
        <v/>
      </c>
    </row>
    <row r="165" customFormat="false" ht="15" hidden="false" customHeight="false" outlineLevel="0" collapsed="false">
      <c r="A165" s="26" t="s">
        <v>1042</v>
      </c>
      <c r="B165" s="26" t="s">
        <v>133</v>
      </c>
      <c r="C165" s="26" t="s">
        <v>80</v>
      </c>
      <c r="D165" s="26" t="s">
        <v>1043</v>
      </c>
      <c r="E165" s="26" t="s">
        <v>416</v>
      </c>
      <c r="F165" s="27" t="str">
        <f aca="false">INDEX(Equipment!$B$2:$B$153,MATCH(E165,Equipment!$A$2:$A$153,0))</f>
        <v>Gas engine genset 4 (40 ft container) 2.5 MVA, 13.8 kV - terminal box</v>
      </c>
      <c r="G165" s="26" t="s">
        <v>403</v>
      </c>
      <c r="H165" s="27" t="str">
        <f aca="false">INDEX(Equipment!$B$2:$B$153,MATCH(G165,Equipment!$A$2:$A$153,0))</f>
        <v>RICE plant controller</v>
      </c>
      <c r="I165" s="26" t="s">
        <v>603</v>
      </c>
      <c r="J165" s="27" t="str">
        <f aca="false">INDEX('Cable Types'!$B$2:$B$45,MATCH(I165,'Cable Types'!$A$2:$A$45,0))</f>
        <v>600 V 25/C #14 AWG Cu XHHW-2 control, Type MC-HL, CCW Al armor (Armor-X type), PVC jkt</v>
      </c>
      <c r="K165" s="26" t="n">
        <v>1</v>
      </c>
      <c r="L165" s="26" t="s">
        <v>783</v>
      </c>
      <c r="M165" s="26" t="s">
        <v>703</v>
      </c>
      <c r="N165" s="26"/>
      <c r="O165" s="28" t="n">
        <f aca="false">IF(N165&lt;&gt;"",N165,IF(M165="D",ROUNDUP(SQRT((AL165-AI165)^2+(AM165-AJ165)^2+(AN165-AK165)^2)*(1+'Design Basis'!$C$6),0),ROUNDUP((ABS(AL165-AI165)+ABS(AM165-AJ165)+ABS(AO165-AK165)+ABS(AO165-AN165))*(1+'Design Basis'!$C$4)+2*'Design Basis'!$C$5,0)))</f>
        <v>34</v>
      </c>
      <c r="P165" s="28" t="n">
        <f aca="false">ROUND(O165*'Design Basis'!$C$10,0)</f>
        <v>112</v>
      </c>
      <c r="Q165" s="28" t="n">
        <f aca="false">O165*K165*AQ165</f>
        <v>34</v>
      </c>
      <c r="R165" s="28" t="n">
        <f aca="false">ROUND(Q165*'Design Basis'!$C$10,0)</f>
        <v>112</v>
      </c>
      <c r="S165" s="29"/>
      <c r="T165" s="26"/>
      <c r="U165" s="29"/>
      <c r="V165" s="30"/>
      <c r="W165" s="28" t="str">
        <f aca="false">IF(OR(U165="",S165=""),"",IF(T165=3,U165*1000/(SQRT(3)*S165*V165),U165*1000/(S165*V165)))</f>
        <v/>
      </c>
      <c r="X165" s="30"/>
      <c r="Y165" s="28" t="str">
        <f aca="false">IF(W165="","",W165*IF(X165="",1,X165))</f>
        <v/>
      </c>
      <c r="Z165" s="28" t="str">
        <f aca="false">IF(OR(AS165="",AP165=""),"",AS165*AP165)</f>
        <v/>
      </c>
      <c r="AA165" s="28" t="str">
        <f aca="false">IF(Z165="","",Z165*K165)</f>
        <v/>
      </c>
      <c r="AB165" s="31" t="str">
        <f aca="false">IF(OR(Y165="",AA165=""),"",Y165/AA165)</f>
        <v/>
      </c>
      <c r="AC165" s="31" t="str">
        <f aca="false">IF(OR(W165="",AT165=""),"",AT165*(W165/K165)*O165/1000/S165)</f>
        <v/>
      </c>
      <c r="AD165" s="31" t="str">
        <f aca="false">IF(W165="","",IFERROR(IF(INDEX('Design Basis'!$C$13:$C$21,MATCH(C165,'Design Basis'!$A$13:$A$21,0))="","",INDEX('Design Basis'!$C$13:$C$21,MATCH(C165,'Design Basis'!$A$13:$A$21,0))),""))</f>
        <v/>
      </c>
      <c r="AE165" s="32" t="str">
        <f aca="false">IF(W165="","n/a",IF(AA165="","CHECK",IF(AND(AB165&lt;=1,OR(AC165="",AD165="",AC165&lt;=AD165)),"OK","CHECK")))</f>
        <v>n/a</v>
      </c>
      <c r="AF165" s="28" t="n">
        <f aca="false">IF(AR165="","",K165*AQ165*PI()/4*AR165^2)</f>
        <v>572.55526111674</v>
      </c>
      <c r="AG165" s="32" t="s">
        <v>1037</v>
      </c>
      <c r="AI165" s="33" t="n">
        <f aca="false">INDEX(Equipment!$D$2:$D$153,MATCH(E165,Equipment!$A$2:$A$153,0))</f>
        <v>2.2</v>
      </c>
      <c r="AJ165" s="33" t="n">
        <f aca="false">INDEX(Equipment!$E$2:$E$153,MATCH(E165,Equipment!$A$2:$A$153,0))</f>
        <v>84.05</v>
      </c>
      <c r="AK165" s="33" t="n">
        <f aca="false">INDEX(Equipment!$F$2:$F$153,MATCH(E165,Equipment!$A$2:$A$153,0))</f>
        <v>1.5</v>
      </c>
      <c r="AL165" s="33" t="n">
        <f aca="false">INDEX(Equipment!$D$2:$D$153,MATCH(G165,Equipment!$A$2:$A$153,0))</f>
        <v>8</v>
      </c>
      <c r="AM165" s="33" t="n">
        <f aca="false">INDEX(Equipment!$E$2:$E$153,MATCH(G165,Equipment!$A$2:$A$153,0))</f>
        <v>99</v>
      </c>
      <c r="AN165" s="33" t="n">
        <f aca="false">INDEX(Equipment!$F$2:$F$153,MATCH(G165,Equipment!$A$2:$A$153,0))</f>
        <v>0.5</v>
      </c>
      <c r="AO165" s="33" t="n">
        <f aca="false">IF(INDEX(Raceways!$D$2:$D$18,MATCH(L165,Raceways!$A$2:$A$18,0))="",0,INDEX(Raceways!$D$2:$D$18,MATCH(L165,Raceways!$A$2:$A$18,0)))</f>
        <v>3</v>
      </c>
      <c r="AP165" s="34" t="n">
        <f aca="false">IF(INDEX(Raceways!$I$2:$I$18,MATCH(L165,Raceways!$A$2:$A$18,0))="","",INDEX(Raceways!$I$2:$I$18,MATCH(L165,Raceways!$A$2:$A$18,0)))</f>
        <v>0.88</v>
      </c>
      <c r="AQ165" s="27" t="n">
        <f aca="false">INDEX('Cable Types'!$D$2:$D$45,MATCH(I165,'Cable Types'!$A$2:$A$45,0))</f>
        <v>1</v>
      </c>
      <c r="AR165" s="27" t="n">
        <f aca="false">IF(INDEX('Cable Types'!$E$2:$E$45,MATCH(I165,'Cable Types'!$A$2:$A$45,0))="","",INDEX('Cable Types'!$E$2:$E$45,MATCH(I165,'Cable Types'!$A$2:$A$45,0)))</f>
        <v>27</v>
      </c>
      <c r="AS165" s="27" t="str">
        <f aca="false">IF(INDEX('Cable Types'!$F$2:$F$45,MATCH(I165,'Cable Types'!$A$2:$A$45,0))="","",INDEX('Cable Types'!$F$2:$F$45,MATCH(I165,'Cable Types'!$A$2:$A$45,0)))</f>
        <v/>
      </c>
      <c r="AT165" s="35" t="str">
        <f aca="false">IF(INDEX('Cable Types'!$G$2:$G$45,MATCH(I165,'Cable Types'!$A$2:$A$45,0))="","",INDEX('Cable Types'!$G$2:$G$45,MATCH(I165,'Cable Types'!$A$2:$A$45,0)))</f>
        <v/>
      </c>
    </row>
    <row r="166" customFormat="false" ht="15" hidden="false" customHeight="false" outlineLevel="0" collapsed="false">
      <c r="A166" s="26" t="s">
        <v>1044</v>
      </c>
      <c r="B166" s="26" t="s">
        <v>133</v>
      </c>
      <c r="C166" s="26" t="s">
        <v>80</v>
      </c>
      <c r="D166" s="26" t="s">
        <v>1045</v>
      </c>
      <c r="E166" s="26" t="s">
        <v>419</v>
      </c>
      <c r="F166" s="27" t="str">
        <f aca="false">INDEX(Equipment!$B$2:$B$153,MATCH(E166,Equipment!$A$2:$A$153,0))</f>
        <v>Gas engine genset 5 (40 ft container) 2.5 MVA, 13.8 kV - terminal box</v>
      </c>
      <c r="G166" s="26" t="s">
        <v>403</v>
      </c>
      <c r="H166" s="27" t="str">
        <f aca="false">INDEX(Equipment!$B$2:$B$153,MATCH(G166,Equipment!$A$2:$A$153,0))</f>
        <v>RICE plant controller</v>
      </c>
      <c r="I166" s="26" t="s">
        <v>603</v>
      </c>
      <c r="J166" s="27" t="str">
        <f aca="false">INDEX('Cable Types'!$B$2:$B$45,MATCH(I166,'Cable Types'!$A$2:$A$45,0))</f>
        <v>600 V 25/C #14 AWG Cu XHHW-2 control, Type MC-HL, CCW Al armor (Armor-X type), PVC jkt</v>
      </c>
      <c r="K166" s="26" t="n">
        <v>1</v>
      </c>
      <c r="L166" s="26" t="s">
        <v>783</v>
      </c>
      <c r="M166" s="26" t="s">
        <v>703</v>
      </c>
      <c r="N166" s="26"/>
      <c r="O166" s="28" t="n">
        <f aca="false">IF(N166&lt;&gt;"",N166,IF(M166="D",ROUNDUP(SQRT((AL166-AI166)^2+(AM166-AJ166)^2+(AN166-AK166)^2)*(1+'Design Basis'!$C$6),0),ROUNDUP((ABS(AL166-AI166)+ABS(AM166-AJ166)+ABS(AO166-AK166)+ABS(AO166-AN166))*(1+'Design Basis'!$C$4)+2*'Design Basis'!$C$5,0)))</f>
        <v>29</v>
      </c>
      <c r="P166" s="28" t="n">
        <f aca="false">ROUND(O166*'Design Basis'!$C$10,0)</f>
        <v>95</v>
      </c>
      <c r="Q166" s="28" t="n">
        <f aca="false">O166*K166*AQ166</f>
        <v>29</v>
      </c>
      <c r="R166" s="28" t="n">
        <f aca="false">ROUND(Q166*'Design Basis'!$C$10,0)</f>
        <v>95</v>
      </c>
      <c r="S166" s="29"/>
      <c r="T166" s="26"/>
      <c r="U166" s="29"/>
      <c r="V166" s="30"/>
      <c r="W166" s="28" t="str">
        <f aca="false">IF(OR(U166="",S166=""),"",IF(T166=3,U166*1000/(SQRT(3)*S166*V166),U166*1000/(S166*V166)))</f>
        <v/>
      </c>
      <c r="X166" s="30"/>
      <c r="Y166" s="28" t="str">
        <f aca="false">IF(W166="","",W166*IF(X166="",1,X166))</f>
        <v/>
      </c>
      <c r="Z166" s="28" t="str">
        <f aca="false">IF(OR(AS166="",AP166=""),"",AS166*AP166)</f>
        <v/>
      </c>
      <c r="AA166" s="28" t="str">
        <f aca="false">IF(Z166="","",Z166*K166)</f>
        <v/>
      </c>
      <c r="AB166" s="31" t="str">
        <f aca="false">IF(OR(Y166="",AA166=""),"",Y166/AA166)</f>
        <v/>
      </c>
      <c r="AC166" s="31" t="str">
        <f aca="false">IF(OR(W166="",AT166=""),"",AT166*(W166/K166)*O166/1000/S166)</f>
        <v/>
      </c>
      <c r="AD166" s="31" t="str">
        <f aca="false">IF(W166="","",IFERROR(IF(INDEX('Design Basis'!$C$13:$C$21,MATCH(C166,'Design Basis'!$A$13:$A$21,0))="","",INDEX('Design Basis'!$C$13:$C$21,MATCH(C166,'Design Basis'!$A$13:$A$21,0))),""))</f>
        <v/>
      </c>
      <c r="AE166" s="32" t="str">
        <f aca="false">IF(W166="","n/a",IF(AA166="","CHECK",IF(AND(AB166&lt;=1,OR(AC166="",AD166="",AC166&lt;=AD166)),"OK","CHECK")))</f>
        <v>n/a</v>
      </c>
      <c r="AF166" s="28" t="n">
        <f aca="false">IF(AR166="","",K166*AQ166*PI()/4*AR166^2)</f>
        <v>572.55526111674</v>
      </c>
      <c r="AG166" s="32" t="s">
        <v>1037</v>
      </c>
      <c r="AI166" s="33" t="n">
        <f aca="false">INDEX(Equipment!$D$2:$D$153,MATCH(E166,Equipment!$A$2:$A$153,0))</f>
        <v>2.2</v>
      </c>
      <c r="AJ166" s="33" t="n">
        <f aca="false">INDEX(Equipment!$E$2:$E$153,MATCH(E166,Equipment!$A$2:$A$153,0))</f>
        <v>88.25</v>
      </c>
      <c r="AK166" s="33" t="n">
        <f aca="false">INDEX(Equipment!$F$2:$F$153,MATCH(E166,Equipment!$A$2:$A$153,0))</f>
        <v>1.5</v>
      </c>
      <c r="AL166" s="33" t="n">
        <f aca="false">INDEX(Equipment!$D$2:$D$153,MATCH(G166,Equipment!$A$2:$A$153,0))</f>
        <v>8</v>
      </c>
      <c r="AM166" s="33" t="n">
        <f aca="false">INDEX(Equipment!$E$2:$E$153,MATCH(G166,Equipment!$A$2:$A$153,0))</f>
        <v>99</v>
      </c>
      <c r="AN166" s="33" t="n">
        <f aca="false">INDEX(Equipment!$F$2:$F$153,MATCH(G166,Equipment!$A$2:$A$153,0))</f>
        <v>0.5</v>
      </c>
      <c r="AO166" s="33" t="n">
        <f aca="false">IF(INDEX(Raceways!$D$2:$D$18,MATCH(L166,Raceways!$A$2:$A$18,0))="",0,INDEX(Raceways!$D$2:$D$18,MATCH(L166,Raceways!$A$2:$A$18,0)))</f>
        <v>3</v>
      </c>
      <c r="AP166" s="34" t="n">
        <f aca="false">IF(INDEX(Raceways!$I$2:$I$18,MATCH(L166,Raceways!$A$2:$A$18,0))="","",INDEX(Raceways!$I$2:$I$18,MATCH(L166,Raceways!$A$2:$A$18,0)))</f>
        <v>0.88</v>
      </c>
      <c r="AQ166" s="27" t="n">
        <f aca="false">INDEX('Cable Types'!$D$2:$D$45,MATCH(I166,'Cable Types'!$A$2:$A$45,0))</f>
        <v>1</v>
      </c>
      <c r="AR166" s="27" t="n">
        <f aca="false">IF(INDEX('Cable Types'!$E$2:$E$45,MATCH(I166,'Cable Types'!$A$2:$A$45,0))="","",INDEX('Cable Types'!$E$2:$E$45,MATCH(I166,'Cable Types'!$A$2:$A$45,0)))</f>
        <v>27</v>
      </c>
      <c r="AS166" s="27" t="str">
        <f aca="false">IF(INDEX('Cable Types'!$F$2:$F$45,MATCH(I166,'Cable Types'!$A$2:$A$45,0))="","",INDEX('Cable Types'!$F$2:$F$45,MATCH(I166,'Cable Types'!$A$2:$A$45,0)))</f>
        <v/>
      </c>
      <c r="AT166" s="35" t="str">
        <f aca="false">IF(INDEX('Cable Types'!$G$2:$G$45,MATCH(I166,'Cable Types'!$A$2:$A$45,0))="","",INDEX('Cable Types'!$G$2:$G$45,MATCH(I166,'Cable Types'!$A$2:$A$45,0)))</f>
        <v/>
      </c>
    </row>
    <row r="167" customFormat="false" ht="15" hidden="false" customHeight="false" outlineLevel="0" collapsed="false">
      <c r="A167" s="26" t="s">
        <v>1046</v>
      </c>
      <c r="B167" s="26" t="s">
        <v>133</v>
      </c>
      <c r="C167" s="26" t="s">
        <v>80</v>
      </c>
      <c r="D167" s="26" t="s">
        <v>1047</v>
      </c>
      <c r="E167" s="26" t="s">
        <v>422</v>
      </c>
      <c r="F167" s="27" t="str">
        <f aca="false">INDEX(Equipment!$B$2:$B$153,MATCH(E167,Equipment!$A$2:$A$153,0))</f>
        <v>Gas engine genset 6 (40 ft container) 2.5 MVA, 13.8 kV - terminal box</v>
      </c>
      <c r="G167" s="26" t="s">
        <v>403</v>
      </c>
      <c r="H167" s="27" t="str">
        <f aca="false">INDEX(Equipment!$B$2:$B$153,MATCH(G167,Equipment!$A$2:$A$153,0))</f>
        <v>RICE plant controller</v>
      </c>
      <c r="I167" s="26" t="s">
        <v>603</v>
      </c>
      <c r="J167" s="27" t="str">
        <f aca="false">INDEX('Cable Types'!$B$2:$B$45,MATCH(I167,'Cable Types'!$A$2:$A$45,0))</f>
        <v>600 V 25/C #14 AWG Cu XHHW-2 control, Type MC-HL, CCW Al armor (Armor-X type), PVC jkt</v>
      </c>
      <c r="K167" s="26" t="n">
        <v>1</v>
      </c>
      <c r="L167" s="26" t="s">
        <v>783</v>
      </c>
      <c r="M167" s="26" t="s">
        <v>703</v>
      </c>
      <c r="N167" s="26"/>
      <c r="O167" s="28" t="n">
        <f aca="false">IF(N167&lt;&gt;"",N167,IF(M167="D",ROUNDUP(SQRT((AL167-AI167)^2+(AM167-AJ167)^2+(AN167-AK167)^2)*(1+'Design Basis'!$C$6),0),ROUNDUP((ABS(AL167-AI167)+ABS(AM167-AJ167)+ABS(AO167-AK167)+ABS(AO167-AN167))*(1+'Design Basis'!$C$4)+2*'Design Basis'!$C$5,0)))</f>
        <v>24</v>
      </c>
      <c r="P167" s="28" t="n">
        <f aca="false">ROUND(O167*'Design Basis'!$C$10,0)</f>
        <v>79</v>
      </c>
      <c r="Q167" s="28" t="n">
        <f aca="false">O167*K167*AQ167</f>
        <v>24</v>
      </c>
      <c r="R167" s="28" t="n">
        <f aca="false">ROUND(Q167*'Design Basis'!$C$10,0)</f>
        <v>79</v>
      </c>
      <c r="S167" s="29"/>
      <c r="T167" s="26"/>
      <c r="U167" s="29"/>
      <c r="V167" s="30"/>
      <c r="W167" s="28" t="str">
        <f aca="false">IF(OR(U167="",S167=""),"",IF(T167=3,U167*1000/(SQRT(3)*S167*V167),U167*1000/(S167*V167)))</f>
        <v/>
      </c>
      <c r="X167" s="30"/>
      <c r="Y167" s="28" t="str">
        <f aca="false">IF(W167="","",W167*IF(X167="",1,X167))</f>
        <v/>
      </c>
      <c r="Z167" s="28" t="str">
        <f aca="false">IF(OR(AS167="",AP167=""),"",AS167*AP167)</f>
        <v/>
      </c>
      <c r="AA167" s="28" t="str">
        <f aca="false">IF(Z167="","",Z167*K167)</f>
        <v/>
      </c>
      <c r="AB167" s="31" t="str">
        <f aca="false">IF(OR(Y167="",AA167=""),"",Y167/AA167)</f>
        <v/>
      </c>
      <c r="AC167" s="31" t="str">
        <f aca="false">IF(OR(W167="",AT167=""),"",AT167*(W167/K167)*O167/1000/S167)</f>
        <v/>
      </c>
      <c r="AD167" s="31" t="str">
        <f aca="false">IF(W167="","",IFERROR(IF(INDEX('Design Basis'!$C$13:$C$21,MATCH(C167,'Design Basis'!$A$13:$A$21,0))="","",INDEX('Design Basis'!$C$13:$C$21,MATCH(C167,'Design Basis'!$A$13:$A$21,0))),""))</f>
        <v/>
      </c>
      <c r="AE167" s="32" t="str">
        <f aca="false">IF(W167="","n/a",IF(AA167="","CHECK",IF(AND(AB167&lt;=1,OR(AC167="",AD167="",AC167&lt;=AD167)),"OK","CHECK")))</f>
        <v>n/a</v>
      </c>
      <c r="AF167" s="28" t="n">
        <f aca="false">IF(AR167="","",K167*AQ167*PI()/4*AR167^2)</f>
        <v>572.55526111674</v>
      </c>
      <c r="AG167" s="32" t="s">
        <v>1037</v>
      </c>
      <c r="AI167" s="33" t="n">
        <f aca="false">INDEX(Equipment!$D$2:$D$153,MATCH(E167,Equipment!$A$2:$A$153,0))</f>
        <v>2.2</v>
      </c>
      <c r="AJ167" s="33" t="n">
        <f aca="false">INDEX(Equipment!$E$2:$E$153,MATCH(E167,Equipment!$A$2:$A$153,0))</f>
        <v>92.45</v>
      </c>
      <c r="AK167" s="33" t="n">
        <f aca="false">INDEX(Equipment!$F$2:$F$153,MATCH(E167,Equipment!$A$2:$A$153,0))</f>
        <v>1.5</v>
      </c>
      <c r="AL167" s="33" t="n">
        <f aca="false">INDEX(Equipment!$D$2:$D$153,MATCH(G167,Equipment!$A$2:$A$153,0))</f>
        <v>8</v>
      </c>
      <c r="AM167" s="33" t="n">
        <f aca="false">INDEX(Equipment!$E$2:$E$153,MATCH(G167,Equipment!$A$2:$A$153,0))</f>
        <v>99</v>
      </c>
      <c r="AN167" s="33" t="n">
        <f aca="false">INDEX(Equipment!$F$2:$F$153,MATCH(G167,Equipment!$A$2:$A$153,0))</f>
        <v>0.5</v>
      </c>
      <c r="AO167" s="33" t="n">
        <f aca="false">IF(INDEX(Raceways!$D$2:$D$18,MATCH(L167,Raceways!$A$2:$A$18,0))="",0,INDEX(Raceways!$D$2:$D$18,MATCH(L167,Raceways!$A$2:$A$18,0)))</f>
        <v>3</v>
      </c>
      <c r="AP167" s="34" t="n">
        <f aca="false">IF(INDEX(Raceways!$I$2:$I$18,MATCH(L167,Raceways!$A$2:$A$18,0))="","",INDEX(Raceways!$I$2:$I$18,MATCH(L167,Raceways!$A$2:$A$18,0)))</f>
        <v>0.88</v>
      </c>
      <c r="AQ167" s="27" t="n">
        <f aca="false">INDEX('Cable Types'!$D$2:$D$45,MATCH(I167,'Cable Types'!$A$2:$A$45,0))</f>
        <v>1</v>
      </c>
      <c r="AR167" s="27" t="n">
        <f aca="false">IF(INDEX('Cable Types'!$E$2:$E$45,MATCH(I167,'Cable Types'!$A$2:$A$45,0))="","",INDEX('Cable Types'!$E$2:$E$45,MATCH(I167,'Cable Types'!$A$2:$A$45,0)))</f>
        <v>27</v>
      </c>
      <c r="AS167" s="27" t="str">
        <f aca="false">IF(INDEX('Cable Types'!$F$2:$F$45,MATCH(I167,'Cable Types'!$A$2:$A$45,0))="","",INDEX('Cable Types'!$F$2:$F$45,MATCH(I167,'Cable Types'!$A$2:$A$45,0)))</f>
        <v/>
      </c>
      <c r="AT167" s="35" t="str">
        <f aca="false">IF(INDEX('Cable Types'!$G$2:$G$45,MATCH(I167,'Cable Types'!$A$2:$A$45,0))="","",INDEX('Cable Types'!$G$2:$G$45,MATCH(I167,'Cable Types'!$A$2:$A$45,0)))</f>
        <v/>
      </c>
    </row>
    <row r="168" customFormat="false" ht="15" hidden="false" customHeight="false" outlineLevel="0" collapsed="false">
      <c r="A168" s="26" t="s">
        <v>1048</v>
      </c>
      <c r="B168" s="26" t="s">
        <v>133</v>
      </c>
      <c r="C168" s="26" t="s">
        <v>80</v>
      </c>
      <c r="D168" s="26" t="s">
        <v>1049</v>
      </c>
      <c r="E168" s="26" t="s">
        <v>425</v>
      </c>
      <c r="F168" s="27" t="str">
        <f aca="false">INDEX(Equipment!$B$2:$B$153,MATCH(E168,Equipment!$A$2:$A$153,0))</f>
        <v>Gas engine genset 7 (40 ft container) 2.5 MVA, 13.8 kV - terminal box</v>
      </c>
      <c r="G168" s="26" t="s">
        <v>403</v>
      </c>
      <c r="H168" s="27" t="str">
        <f aca="false">INDEX(Equipment!$B$2:$B$153,MATCH(G168,Equipment!$A$2:$A$153,0))</f>
        <v>RICE plant controller</v>
      </c>
      <c r="I168" s="26" t="s">
        <v>603</v>
      </c>
      <c r="J168" s="27" t="str">
        <f aca="false">INDEX('Cable Types'!$B$2:$B$45,MATCH(I168,'Cable Types'!$A$2:$A$45,0))</f>
        <v>600 V 25/C #14 AWG Cu XHHW-2 control, Type MC-HL, CCW Al armor (Armor-X type), PVC jkt</v>
      </c>
      <c r="K168" s="26" t="n">
        <v>1</v>
      </c>
      <c r="L168" s="26" t="s">
        <v>783</v>
      </c>
      <c r="M168" s="26" t="s">
        <v>703</v>
      </c>
      <c r="N168" s="26"/>
      <c r="O168" s="28" t="n">
        <f aca="false">IF(N168&lt;&gt;"",N168,IF(M168="D",ROUNDUP(SQRT((AL168-AI168)^2+(AM168-AJ168)^2+(AN168-AK168)^2)*(1+'Design Basis'!$C$6),0),ROUNDUP((ABS(AL168-AI168)+ABS(AM168-AJ168)+ABS(AO168-AK168)+ABS(AO168-AN168))*(1+'Design Basis'!$C$4)+2*'Design Basis'!$C$5,0)))</f>
        <v>20</v>
      </c>
      <c r="P168" s="28" t="n">
        <f aca="false">ROUND(O168*'Design Basis'!$C$10,0)</f>
        <v>66</v>
      </c>
      <c r="Q168" s="28" t="n">
        <f aca="false">O168*K168*AQ168</f>
        <v>20</v>
      </c>
      <c r="R168" s="28" t="n">
        <f aca="false">ROUND(Q168*'Design Basis'!$C$10,0)</f>
        <v>66</v>
      </c>
      <c r="S168" s="29"/>
      <c r="T168" s="26"/>
      <c r="U168" s="29"/>
      <c r="V168" s="30"/>
      <c r="W168" s="28" t="str">
        <f aca="false">IF(OR(U168="",S168=""),"",IF(T168=3,U168*1000/(SQRT(3)*S168*V168),U168*1000/(S168*V168)))</f>
        <v/>
      </c>
      <c r="X168" s="30"/>
      <c r="Y168" s="28" t="str">
        <f aca="false">IF(W168="","",W168*IF(X168="",1,X168))</f>
        <v/>
      </c>
      <c r="Z168" s="28" t="str">
        <f aca="false">IF(OR(AS168="",AP168=""),"",AS168*AP168)</f>
        <v/>
      </c>
      <c r="AA168" s="28" t="str">
        <f aca="false">IF(Z168="","",Z168*K168)</f>
        <v/>
      </c>
      <c r="AB168" s="31" t="str">
        <f aca="false">IF(OR(Y168="",AA168=""),"",Y168/AA168)</f>
        <v/>
      </c>
      <c r="AC168" s="31" t="str">
        <f aca="false">IF(OR(W168="",AT168=""),"",AT168*(W168/K168)*O168/1000/S168)</f>
        <v/>
      </c>
      <c r="AD168" s="31" t="str">
        <f aca="false">IF(W168="","",IFERROR(IF(INDEX('Design Basis'!$C$13:$C$21,MATCH(C168,'Design Basis'!$A$13:$A$21,0))="","",INDEX('Design Basis'!$C$13:$C$21,MATCH(C168,'Design Basis'!$A$13:$A$21,0))),""))</f>
        <v/>
      </c>
      <c r="AE168" s="32" t="str">
        <f aca="false">IF(W168="","n/a",IF(AA168="","CHECK",IF(AND(AB168&lt;=1,OR(AC168="",AD168="",AC168&lt;=AD168)),"OK","CHECK")))</f>
        <v>n/a</v>
      </c>
      <c r="AF168" s="28" t="n">
        <f aca="false">IF(AR168="","",K168*AQ168*PI()/4*AR168^2)</f>
        <v>572.55526111674</v>
      </c>
      <c r="AG168" s="32" t="s">
        <v>1037</v>
      </c>
      <c r="AI168" s="33" t="n">
        <f aca="false">INDEX(Equipment!$D$2:$D$153,MATCH(E168,Equipment!$A$2:$A$153,0))</f>
        <v>2.2</v>
      </c>
      <c r="AJ168" s="33" t="n">
        <f aca="false">INDEX(Equipment!$E$2:$E$153,MATCH(E168,Equipment!$A$2:$A$153,0))</f>
        <v>96.65</v>
      </c>
      <c r="AK168" s="33" t="n">
        <f aca="false">INDEX(Equipment!$F$2:$F$153,MATCH(E168,Equipment!$A$2:$A$153,0))</f>
        <v>1.5</v>
      </c>
      <c r="AL168" s="33" t="n">
        <f aca="false">INDEX(Equipment!$D$2:$D$153,MATCH(G168,Equipment!$A$2:$A$153,0))</f>
        <v>8</v>
      </c>
      <c r="AM168" s="33" t="n">
        <f aca="false">INDEX(Equipment!$E$2:$E$153,MATCH(G168,Equipment!$A$2:$A$153,0))</f>
        <v>99</v>
      </c>
      <c r="AN168" s="33" t="n">
        <f aca="false">INDEX(Equipment!$F$2:$F$153,MATCH(G168,Equipment!$A$2:$A$153,0))</f>
        <v>0.5</v>
      </c>
      <c r="AO168" s="33" t="n">
        <f aca="false">IF(INDEX(Raceways!$D$2:$D$18,MATCH(L168,Raceways!$A$2:$A$18,0))="",0,INDEX(Raceways!$D$2:$D$18,MATCH(L168,Raceways!$A$2:$A$18,0)))</f>
        <v>3</v>
      </c>
      <c r="AP168" s="34" t="n">
        <f aca="false">IF(INDEX(Raceways!$I$2:$I$18,MATCH(L168,Raceways!$A$2:$A$18,0))="","",INDEX(Raceways!$I$2:$I$18,MATCH(L168,Raceways!$A$2:$A$18,0)))</f>
        <v>0.88</v>
      </c>
      <c r="AQ168" s="27" t="n">
        <f aca="false">INDEX('Cable Types'!$D$2:$D$45,MATCH(I168,'Cable Types'!$A$2:$A$45,0))</f>
        <v>1</v>
      </c>
      <c r="AR168" s="27" t="n">
        <f aca="false">IF(INDEX('Cable Types'!$E$2:$E$45,MATCH(I168,'Cable Types'!$A$2:$A$45,0))="","",INDEX('Cable Types'!$E$2:$E$45,MATCH(I168,'Cable Types'!$A$2:$A$45,0)))</f>
        <v>27</v>
      </c>
      <c r="AS168" s="27" t="str">
        <f aca="false">IF(INDEX('Cable Types'!$F$2:$F$45,MATCH(I168,'Cable Types'!$A$2:$A$45,0))="","",INDEX('Cable Types'!$F$2:$F$45,MATCH(I168,'Cable Types'!$A$2:$A$45,0)))</f>
        <v/>
      </c>
      <c r="AT168" s="35" t="str">
        <f aca="false">IF(INDEX('Cable Types'!$G$2:$G$45,MATCH(I168,'Cable Types'!$A$2:$A$45,0))="","",INDEX('Cable Types'!$G$2:$G$45,MATCH(I168,'Cable Types'!$A$2:$A$45,0)))</f>
        <v/>
      </c>
    </row>
    <row r="169" customFormat="false" ht="15" hidden="false" customHeight="false" outlineLevel="0" collapsed="false">
      <c r="A169" s="26" t="s">
        <v>1050</v>
      </c>
      <c r="B169" s="26" t="s">
        <v>133</v>
      </c>
      <c r="C169" s="26" t="s">
        <v>80</v>
      </c>
      <c r="D169" s="26" t="s">
        <v>1051</v>
      </c>
      <c r="E169" s="26" t="s">
        <v>428</v>
      </c>
      <c r="F169" s="27" t="str">
        <f aca="false">INDEX(Equipment!$B$2:$B$153,MATCH(E169,Equipment!$A$2:$A$153,0))</f>
        <v>Gas engine genset 8 (40 ft container) 2.5 MVA, 13.8 kV - terminal box</v>
      </c>
      <c r="G169" s="26" t="s">
        <v>403</v>
      </c>
      <c r="H169" s="27" t="str">
        <f aca="false">INDEX(Equipment!$B$2:$B$153,MATCH(G169,Equipment!$A$2:$A$153,0))</f>
        <v>RICE plant controller</v>
      </c>
      <c r="I169" s="26" t="s">
        <v>603</v>
      </c>
      <c r="J169" s="27" t="str">
        <f aca="false">INDEX('Cable Types'!$B$2:$B$45,MATCH(I169,'Cable Types'!$A$2:$A$45,0))</f>
        <v>600 V 25/C #14 AWG Cu XHHW-2 control, Type MC-HL, CCW Al armor (Armor-X type), PVC jkt</v>
      </c>
      <c r="K169" s="26" t="n">
        <v>1</v>
      </c>
      <c r="L169" s="26" t="s">
        <v>783</v>
      </c>
      <c r="M169" s="26" t="s">
        <v>703</v>
      </c>
      <c r="N169" s="26"/>
      <c r="O169" s="28" t="n">
        <f aca="false">IF(N169&lt;&gt;"",N169,IF(M169="D",ROUNDUP(SQRT((AL169-AI169)^2+(AM169-AJ169)^2+(AN169-AK169)^2)*(1+'Design Basis'!$C$6),0),ROUNDUP((ABS(AL169-AI169)+ABS(AM169-AJ169)+ABS(AO169-AK169)+ABS(AO169-AN169))*(1+'Design Basis'!$C$4)+2*'Design Basis'!$C$5,0)))</f>
        <v>19</v>
      </c>
      <c r="P169" s="28" t="n">
        <f aca="false">ROUND(O169*'Design Basis'!$C$10,0)</f>
        <v>62</v>
      </c>
      <c r="Q169" s="28" t="n">
        <f aca="false">O169*K169*AQ169</f>
        <v>19</v>
      </c>
      <c r="R169" s="28" t="n">
        <f aca="false">ROUND(Q169*'Design Basis'!$C$10,0)</f>
        <v>62</v>
      </c>
      <c r="S169" s="29"/>
      <c r="T169" s="26"/>
      <c r="U169" s="29"/>
      <c r="V169" s="30"/>
      <c r="W169" s="28" t="str">
        <f aca="false">IF(OR(U169="",S169=""),"",IF(T169=3,U169*1000/(SQRT(3)*S169*V169),U169*1000/(S169*V169)))</f>
        <v/>
      </c>
      <c r="X169" s="30"/>
      <c r="Y169" s="28" t="str">
        <f aca="false">IF(W169="","",W169*IF(X169="",1,X169))</f>
        <v/>
      </c>
      <c r="Z169" s="28" t="str">
        <f aca="false">IF(OR(AS169="",AP169=""),"",AS169*AP169)</f>
        <v/>
      </c>
      <c r="AA169" s="28" t="str">
        <f aca="false">IF(Z169="","",Z169*K169)</f>
        <v/>
      </c>
      <c r="AB169" s="31" t="str">
        <f aca="false">IF(OR(Y169="",AA169=""),"",Y169/AA169)</f>
        <v/>
      </c>
      <c r="AC169" s="31" t="str">
        <f aca="false">IF(OR(W169="",AT169=""),"",AT169*(W169/K169)*O169/1000/S169)</f>
        <v/>
      </c>
      <c r="AD169" s="31" t="str">
        <f aca="false">IF(W169="","",IFERROR(IF(INDEX('Design Basis'!$C$13:$C$21,MATCH(C169,'Design Basis'!$A$13:$A$21,0))="","",INDEX('Design Basis'!$C$13:$C$21,MATCH(C169,'Design Basis'!$A$13:$A$21,0))),""))</f>
        <v/>
      </c>
      <c r="AE169" s="32" t="str">
        <f aca="false">IF(W169="","n/a",IF(AA169="","CHECK",IF(AND(AB169&lt;=1,OR(AC169="",AD169="",AC169&lt;=AD169)),"OK","CHECK")))</f>
        <v>n/a</v>
      </c>
      <c r="AF169" s="28" t="n">
        <f aca="false">IF(AR169="","",K169*AQ169*PI()/4*AR169^2)</f>
        <v>572.55526111674</v>
      </c>
      <c r="AG169" s="32" t="s">
        <v>1037</v>
      </c>
      <c r="AI169" s="33" t="n">
        <f aca="false">INDEX(Equipment!$D$2:$D$153,MATCH(E169,Equipment!$A$2:$A$153,0))</f>
        <v>2.2</v>
      </c>
      <c r="AJ169" s="33" t="n">
        <f aca="false">INDEX(Equipment!$E$2:$E$153,MATCH(E169,Equipment!$A$2:$A$153,0))</f>
        <v>100.85</v>
      </c>
      <c r="AK169" s="33" t="n">
        <f aca="false">INDEX(Equipment!$F$2:$F$153,MATCH(E169,Equipment!$A$2:$A$153,0))</f>
        <v>1.5</v>
      </c>
      <c r="AL169" s="33" t="n">
        <f aca="false">INDEX(Equipment!$D$2:$D$153,MATCH(G169,Equipment!$A$2:$A$153,0))</f>
        <v>8</v>
      </c>
      <c r="AM169" s="33" t="n">
        <f aca="false">INDEX(Equipment!$E$2:$E$153,MATCH(G169,Equipment!$A$2:$A$153,0))</f>
        <v>99</v>
      </c>
      <c r="AN169" s="33" t="n">
        <f aca="false">INDEX(Equipment!$F$2:$F$153,MATCH(G169,Equipment!$A$2:$A$153,0))</f>
        <v>0.5</v>
      </c>
      <c r="AO169" s="33" t="n">
        <f aca="false">IF(INDEX(Raceways!$D$2:$D$18,MATCH(L169,Raceways!$A$2:$A$18,0))="",0,INDEX(Raceways!$D$2:$D$18,MATCH(L169,Raceways!$A$2:$A$18,0)))</f>
        <v>3</v>
      </c>
      <c r="AP169" s="34" t="n">
        <f aca="false">IF(INDEX(Raceways!$I$2:$I$18,MATCH(L169,Raceways!$A$2:$A$18,0))="","",INDEX(Raceways!$I$2:$I$18,MATCH(L169,Raceways!$A$2:$A$18,0)))</f>
        <v>0.88</v>
      </c>
      <c r="AQ169" s="27" t="n">
        <f aca="false">INDEX('Cable Types'!$D$2:$D$45,MATCH(I169,'Cable Types'!$A$2:$A$45,0))</f>
        <v>1</v>
      </c>
      <c r="AR169" s="27" t="n">
        <f aca="false">IF(INDEX('Cable Types'!$E$2:$E$45,MATCH(I169,'Cable Types'!$A$2:$A$45,0))="","",INDEX('Cable Types'!$E$2:$E$45,MATCH(I169,'Cable Types'!$A$2:$A$45,0)))</f>
        <v>27</v>
      </c>
      <c r="AS169" s="27" t="str">
        <f aca="false">IF(INDEX('Cable Types'!$F$2:$F$45,MATCH(I169,'Cable Types'!$A$2:$A$45,0))="","",INDEX('Cable Types'!$F$2:$F$45,MATCH(I169,'Cable Types'!$A$2:$A$45,0)))</f>
        <v/>
      </c>
      <c r="AT169" s="35" t="str">
        <f aca="false">IF(INDEX('Cable Types'!$G$2:$G$45,MATCH(I169,'Cable Types'!$A$2:$A$45,0))="","",INDEX('Cable Types'!$G$2:$G$45,MATCH(I169,'Cable Types'!$A$2:$A$45,0)))</f>
        <v/>
      </c>
    </row>
    <row r="170" customFormat="false" ht="15" hidden="false" customHeight="false" outlineLevel="0" collapsed="false">
      <c r="A170" s="26" t="s">
        <v>1052</v>
      </c>
      <c r="B170" s="26" t="s">
        <v>449</v>
      </c>
      <c r="C170" s="26" t="s">
        <v>83</v>
      </c>
      <c r="D170" s="26" t="s">
        <v>1053</v>
      </c>
      <c r="E170" s="26" t="s">
        <v>483</v>
      </c>
      <c r="F170" s="27" t="str">
        <f aca="false">INDEX(Equipment!$B$2:$B$153,MATCH(E170,Equipment!$A$2:$A$153,0))</f>
        <v>Ultrasonic gas meter run A</v>
      </c>
      <c r="G170" s="26" t="s">
        <v>479</v>
      </c>
      <c r="H170" s="27" t="str">
        <f aca="false">INDEX(Equipment!$B$2:$B$153,MATCH(G170,Equipment!$A$2:$A$153,0))</f>
        <v>Fiscal gas flow computer / metering panel (shelter)</v>
      </c>
      <c r="I170" s="26" t="s">
        <v>609</v>
      </c>
      <c r="J170" s="27" t="str">
        <f aca="false">INDEX('Cable Types'!$B$2:$B$45,MATCH(I170,'Cable Types'!$A$2:$A$45,0))</f>
        <v>300 V 2 TSP #16 AWG, PLTC/ITC-HL, CCW armor, PVC jkt (IS blue)</v>
      </c>
      <c r="K170" s="26" t="n">
        <v>1</v>
      </c>
      <c r="L170" s="26" t="s">
        <v>931</v>
      </c>
      <c r="M170" s="26" t="s">
        <v>703</v>
      </c>
      <c r="N170" s="26"/>
      <c r="O170" s="28" t="n">
        <f aca="false">IF(N170&lt;&gt;"",N170,IF(M170="D",ROUNDUP(SQRT((AL170-AI170)^2+(AM170-AJ170)^2+(AN170-AK170)^2)*(1+'Design Basis'!$C$6),0),ROUNDUP((ABS(AL170-AI170)+ABS(AM170-AJ170)+ABS(AO170-AK170)+ABS(AO170-AN170))*(1+'Design Basis'!$C$4)+2*'Design Basis'!$C$5,0)))</f>
        <v>37</v>
      </c>
      <c r="P170" s="28" t="n">
        <f aca="false">ROUND(O170*'Design Basis'!$C$10,0)</f>
        <v>121</v>
      </c>
      <c r="Q170" s="28" t="n">
        <f aca="false">O170*K170*AQ170</f>
        <v>37</v>
      </c>
      <c r="R170" s="28" t="n">
        <f aca="false">ROUND(Q170*'Design Basis'!$C$10,0)</f>
        <v>121</v>
      </c>
      <c r="S170" s="29"/>
      <c r="T170" s="26"/>
      <c r="U170" s="29"/>
      <c r="V170" s="30"/>
      <c r="W170" s="28" t="str">
        <f aca="false">IF(OR(U170="",S170=""),"",IF(T170=3,U170*1000/(SQRT(3)*S170*V170),U170*1000/(S170*V170)))</f>
        <v/>
      </c>
      <c r="X170" s="30"/>
      <c r="Y170" s="28" t="str">
        <f aca="false">IF(W170="","",W170*IF(X170="",1,X170))</f>
        <v/>
      </c>
      <c r="Z170" s="28" t="str">
        <f aca="false">IF(OR(AS170="",AP170=""),"",AS170*AP170)</f>
        <v/>
      </c>
      <c r="AA170" s="28" t="str">
        <f aca="false">IF(Z170="","",Z170*K170)</f>
        <v/>
      </c>
      <c r="AB170" s="31" t="str">
        <f aca="false">IF(OR(Y170="",AA170=""),"",Y170/AA170)</f>
        <v/>
      </c>
      <c r="AC170" s="31" t="str">
        <f aca="false">IF(OR(W170="",AT170=""),"",AT170*(W170/K170)*O170/1000/S170)</f>
        <v/>
      </c>
      <c r="AD170" s="31" t="str">
        <f aca="false">IF(W170="","",IFERROR(IF(INDEX('Design Basis'!$C$13:$C$21,MATCH(C170,'Design Basis'!$A$13:$A$21,0))="","",INDEX('Design Basis'!$C$13:$C$21,MATCH(C170,'Design Basis'!$A$13:$A$21,0))),""))</f>
        <v/>
      </c>
      <c r="AE170" s="32" t="str">
        <f aca="false">IF(W170="","n/a",IF(AA170="","CHECK",IF(AND(AB170&lt;=1,OR(AC170="",AD170="",AC170&lt;=AD170)),"OK","CHECK")))</f>
        <v>n/a</v>
      </c>
      <c r="AF170" s="28" t="n">
        <f aca="false">IF(AR170="","",K170*AQ170*PI()/4*AR170^2)</f>
        <v>201.061929829747</v>
      </c>
      <c r="AG170" s="32" t="s">
        <v>1054</v>
      </c>
      <c r="AI170" s="33" t="n">
        <f aca="false">INDEX(Equipment!$D$2:$D$153,MATCH(E170,Equipment!$A$2:$A$153,0))</f>
        <v>-7.25</v>
      </c>
      <c r="AJ170" s="33" t="n">
        <f aca="false">INDEX(Equipment!$E$2:$E$153,MATCH(E170,Equipment!$A$2:$A$153,0))</f>
        <v>-3</v>
      </c>
      <c r="AK170" s="33" t="n">
        <f aca="false">INDEX(Equipment!$F$2:$F$153,MATCH(E170,Equipment!$A$2:$A$153,0))</f>
        <v>2.2</v>
      </c>
      <c r="AL170" s="33" t="n">
        <f aca="false">INDEX(Equipment!$D$2:$D$153,MATCH(G170,Equipment!$A$2:$A$153,0))</f>
        <v>-17</v>
      </c>
      <c r="AM170" s="33" t="n">
        <f aca="false">INDEX(Equipment!$E$2:$E$153,MATCH(G170,Equipment!$A$2:$A$153,0))</f>
        <v>12</v>
      </c>
      <c r="AN170" s="33" t="n">
        <f aca="false">INDEX(Equipment!$F$2:$F$153,MATCH(G170,Equipment!$A$2:$A$153,0))</f>
        <v>0.5</v>
      </c>
      <c r="AO170" s="33" t="n">
        <f aca="false">IF(INDEX(Raceways!$D$2:$D$18,MATCH(L170,Raceways!$A$2:$A$18,0))="",0,INDEX(Raceways!$D$2:$D$18,MATCH(L170,Raceways!$A$2:$A$18,0)))</f>
        <v>3</v>
      </c>
      <c r="AP170" s="34" t="n">
        <f aca="false">IF(INDEX(Raceways!$I$2:$I$18,MATCH(L170,Raceways!$A$2:$A$18,0))="","",INDEX(Raceways!$I$2:$I$18,MATCH(L170,Raceways!$A$2:$A$18,0)))</f>
        <v>0.88</v>
      </c>
      <c r="AQ170" s="27" t="n">
        <f aca="false">INDEX('Cable Types'!$D$2:$D$45,MATCH(I170,'Cable Types'!$A$2:$A$45,0))</f>
        <v>1</v>
      </c>
      <c r="AR170" s="27" t="n">
        <f aca="false">IF(INDEX('Cable Types'!$E$2:$E$45,MATCH(I170,'Cable Types'!$A$2:$A$45,0))="","",INDEX('Cable Types'!$E$2:$E$45,MATCH(I170,'Cable Types'!$A$2:$A$45,0)))</f>
        <v>16</v>
      </c>
      <c r="AS170" s="27" t="str">
        <f aca="false">IF(INDEX('Cable Types'!$F$2:$F$45,MATCH(I170,'Cable Types'!$A$2:$A$45,0))="","",INDEX('Cable Types'!$F$2:$F$45,MATCH(I170,'Cable Types'!$A$2:$A$45,0)))</f>
        <v/>
      </c>
      <c r="AT170" s="35" t="str">
        <f aca="false">IF(INDEX('Cable Types'!$G$2:$G$45,MATCH(I170,'Cable Types'!$A$2:$A$45,0))="","",INDEX('Cable Types'!$G$2:$G$45,MATCH(I170,'Cable Types'!$A$2:$A$45,0)))</f>
        <v/>
      </c>
    </row>
    <row r="171" customFormat="false" ht="15" hidden="false" customHeight="false" outlineLevel="0" collapsed="false">
      <c r="A171" s="26" t="s">
        <v>1055</v>
      </c>
      <c r="B171" s="26" t="s">
        <v>449</v>
      </c>
      <c r="C171" s="26" t="s">
        <v>83</v>
      </c>
      <c r="D171" s="26" t="s">
        <v>1056</v>
      </c>
      <c r="E171" s="26" t="s">
        <v>486</v>
      </c>
      <c r="F171" s="27" t="str">
        <f aca="false">INDEX(Equipment!$B$2:$B$153,MATCH(E171,Equipment!$A$2:$A$153,0))</f>
        <v>Ultrasonic gas meter run B</v>
      </c>
      <c r="G171" s="26" t="s">
        <v>479</v>
      </c>
      <c r="H171" s="27" t="str">
        <f aca="false">INDEX(Equipment!$B$2:$B$153,MATCH(G171,Equipment!$A$2:$A$153,0))</f>
        <v>Fiscal gas flow computer / metering panel (shelter)</v>
      </c>
      <c r="I171" s="26" t="s">
        <v>609</v>
      </c>
      <c r="J171" s="27" t="str">
        <f aca="false">INDEX('Cable Types'!$B$2:$B$45,MATCH(I171,'Cable Types'!$A$2:$A$45,0))</f>
        <v>300 V 2 TSP #16 AWG, PLTC/ITC-HL, CCW armor, PVC jkt (IS blue)</v>
      </c>
      <c r="K171" s="26" t="n">
        <v>1</v>
      </c>
      <c r="L171" s="26" t="s">
        <v>931</v>
      </c>
      <c r="M171" s="26" t="s">
        <v>703</v>
      </c>
      <c r="N171" s="26"/>
      <c r="O171" s="28" t="n">
        <f aca="false">IF(N171&lt;&gt;"",N171,IF(M171="D",ROUNDUP(SQRT((AL171-AI171)^2+(AM171-AJ171)^2+(AN171-AK171)^2)*(1+'Design Basis'!$C$6),0),ROUNDUP((ABS(AL171-AI171)+ABS(AM171-AJ171)+ABS(AO171-AK171)+ABS(AO171-AN171))*(1+'Design Basis'!$C$4)+2*'Design Basis'!$C$5,0)))</f>
        <v>34</v>
      </c>
      <c r="P171" s="28" t="n">
        <f aca="false">ROUND(O171*'Design Basis'!$C$10,0)</f>
        <v>112</v>
      </c>
      <c r="Q171" s="28" t="n">
        <f aca="false">O171*K171*AQ171</f>
        <v>34</v>
      </c>
      <c r="R171" s="28" t="n">
        <f aca="false">ROUND(Q171*'Design Basis'!$C$10,0)</f>
        <v>112</v>
      </c>
      <c r="S171" s="29"/>
      <c r="T171" s="26"/>
      <c r="U171" s="29"/>
      <c r="V171" s="30"/>
      <c r="W171" s="28" t="str">
        <f aca="false">IF(OR(U171="",S171=""),"",IF(T171=3,U171*1000/(SQRT(3)*S171*V171),U171*1000/(S171*V171)))</f>
        <v/>
      </c>
      <c r="X171" s="30"/>
      <c r="Y171" s="28" t="str">
        <f aca="false">IF(W171="","",W171*IF(X171="",1,X171))</f>
        <v/>
      </c>
      <c r="Z171" s="28" t="str">
        <f aca="false">IF(OR(AS171="",AP171=""),"",AS171*AP171)</f>
        <v/>
      </c>
      <c r="AA171" s="28" t="str">
        <f aca="false">IF(Z171="","",Z171*K171)</f>
        <v/>
      </c>
      <c r="AB171" s="31" t="str">
        <f aca="false">IF(OR(Y171="",AA171=""),"",Y171/AA171)</f>
        <v/>
      </c>
      <c r="AC171" s="31" t="str">
        <f aca="false">IF(OR(W171="",AT171=""),"",AT171*(W171/K171)*O171/1000/S171)</f>
        <v/>
      </c>
      <c r="AD171" s="31" t="str">
        <f aca="false">IF(W171="","",IFERROR(IF(INDEX('Design Basis'!$C$13:$C$21,MATCH(C171,'Design Basis'!$A$13:$A$21,0))="","",INDEX('Design Basis'!$C$13:$C$21,MATCH(C171,'Design Basis'!$A$13:$A$21,0))),""))</f>
        <v/>
      </c>
      <c r="AE171" s="32" t="str">
        <f aca="false">IF(W171="","n/a",IF(AA171="","CHECK",IF(AND(AB171&lt;=1,OR(AC171="",AD171="",AC171&lt;=AD171)),"OK","CHECK")))</f>
        <v>n/a</v>
      </c>
      <c r="AF171" s="28" t="n">
        <f aca="false">IF(AR171="","",K171*AQ171*PI()/4*AR171^2)</f>
        <v>201.061929829747</v>
      </c>
      <c r="AG171" s="32" t="s">
        <v>1054</v>
      </c>
      <c r="AI171" s="33" t="n">
        <f aca="false">INDEX(Equipment!$D$2:$D$153,MATCH(E171,Equipment!$A$2:$A$153,0))</f>
        <v>-7.25</v>
      </c>
      <c r="AJ171" s="33" t="n">
        <f aca="false">INDEX(Equipment!$E$2:$E$153,MATCH(E171,Equipment!$A$2:$A$153,0))</f>
        <v>0</v>
      </c>
      <c r="AK171" s="33" t="n">
        <f aca="false">INDEX(Equipment!$F$2:$F$153,MATCH(E171,Equipment!$A$2:$A$153,0))</f>
        <v>2.2</v>
      </c>
      <c r="AL171" s="33" t="n">
        <f aca="false">INDEX(Equipment!$D$2:$D$153,MATCH(G171,Equipment!$A$2:$A$153,0))</f>
        <v>-17</v>
      </c>
      <c r="AM171" s="33" t="n">
        <f aca="false">INDEX(Equipment!$E$2:$E$153,MATCH(G171,Equipment!$A$2:$A$153,0))</f>
        <v>12</v>
      </c>
      <c r="AN171" s="33" t="n">
        <f aca="false">INDEX(Equipment!$F$2:$F$153,MATCH(G171,Equipment!$A$2:$A$153,0))</f>
        <v>0.5</v>
      </c>
      <c r="AO171" s="33" t="n">
        <f aca="false">IF(INDEX(Raceways!$D$2:$D$18,MATCH(L171,Raceways!$A$2:$A$18,0))="",0,INDEX(Raceways!$D$2:$D$18,MATCH(L171,Raceways!$A$2:$A$18,0)))</f>
        <v>3</v>
      </c>
      <c r="AP171" s="34" t="n">
        <f aca="false">IF(INDEX(Raceways!$I$2:$I$18,MATCH(L171,Raceways!$A$2:$A$18,0))="","",INDEX(Raceways!$I$2:$I$18,MATCH(L171,Raceways!$A$2:$A$18,0)))</f>
        <v>0.88</v>
      </c>
      <c r="AQ171" s="27" t="n">
        <f aca="false">INDEX('Cable Types'!$D$2:$D$45,MATCH(I171,'Cable Types'!$A$2:$A$45,0))</f>
        <v>1</v>
      </c>
      <c r="AR171" s="27" t="n">
        <f aca="false">IF(INDEX('Cable Types'!$E$2:$E$45,MATCH(I171,'Cable Types'!$A$2:$A$45,0))="","",INDEX('Cable Types'!$E$2:$E$45,MATCH(I171,'Cable Types'!$A$2:$A$45,0)))</f>
        <v>16</v>
      </c>
      <c r="AS171" s="27" t="str">
        <f aca="false">IF(INDEX('Cable Types'!$F$2:$F$45,MATCH(I171,'Cable Types'!$A$2:$A$45,0))="","",INDEX('Cable Types'!$F$2:$F$45,MATCH(I171,'Cable Types'!$A$2:$A$45,0)))</f>
        <v/>
      </c>
      <c r="AT171" s="35" t="str">
        <f aca="false">IF(INDEX('Cable Types'!$G$2:$G$45,MATCH(I171,'Cable Types'!$A$2:$A$45,0))="","",INDEX('Cable Types'!$G$2:$G$45,MATCH(I171,'Cable Types'!$A$2:$A$45,0)))</f>
        <v/>
      </c>
    </row>
    <row r="172" customFormat="false" ht="15" hidden="false" customHeight="false" outlineLevel="0" collapsed="false">
      <c r="A172" s="26" t="s">
        <v>1057</v>
      </c>
      <c r="B172" s="26" t="s">
        <v>449</v>
      </c>
      <c r="C172" s="26" t="s">
        <v>83</v>
      </c>
      <c r="D172" s="26" t="s">
        <v>1058</v>
      </c>
      <c r="E172" s="26" t="s">
        <v>489</v>
      </c>
      <c r="F172" s="27" t="str">
        <f aca="false">INDEX(Equipment!$B$2:$B$153,MATCH(E172,Equipment!$A$2:$A$153,0))</f>
        <v>Ultrasonic gas meter run C (spare / check)</v>
      </c>
      <c r="G172" s="26" t="s">
        <v>479</v>
      </c>
      <c r="H172" s="27" t="str">
        <f aca="false">INDEX(Equipment!$B$2:$B$153,MATCH(G172,Equipment!$A$2:$A$153,0))</f>
        <v>Fiscal gas flow computer / metering panel (shelter)</v>
      </c>
      <c r="I172" s="26" t="s">
        <v>609</v>
      </c>
      <c r="J172" s="27" t="str">
        <f aca="false">INDEX('Cable Types'!$B$2:$B$45,MATCH(I172,'Cable Types'!$A$2:$A$45,0))</f>
        <v>300 V 2 TSP #16 AWG, PLTC/ITC-HL, CCW armor, PVC jkt (IS blue)</v>
      </c>
      <c r="K172" s="26" t="n">
        <v>1</v>
      </c>
      <c r="L172" s="26" t="s">
        <v>931</v>
      </c>
      <c r="M172" s="26" t="s">
        <v>703</v>
      </c>
      <c r="N172" s="26"/>
      <c r="O172" s="28" t="n">
        <f aca="false">IF(N172&lt;&gt;"",N172,IF(M172="D",ROUNDUP(SQRT((AL172-AI172)^2+(AM172-AJ172)^2+(AN172-AK172)^2)*(1+'Design Basis'!$C$6),0),ROUNDUP((ABS(AL172-AI172)+ABS(AM172-AJ172)+ABS(AO172-AK172)+ABS(AO172-AN172))*(1+'Design Basis'!$C$4)+2*'Design Basis'!$C$5,0)))</f>
        <v>31</v>
      </c>
      <c r="P172" s="28" t="n">
        <f aca="false">ROUND(O172*'Design Basis'!$C$10,0)</f>
        <v>102</v>
      </c>
      <c r="Q172" s="28" t="n">
        <f aca="false">O172*K172*AQ172</f>
        <v>31</v>
      </c>
      <c r="R172" s="28" t="n">
        <f aca="false">ROUND(Q172*'Design Basis'!$C$10,0)</f>
        <v>102</v>
      </c>
      <c r="S172" s="29"/>
      <c r="T172" s="26"/>
      <c r="U172" s="29"/>
      <c r="V172" s="30"/>
      <c r="W172" s="28" t="str">
        <f aca="false">IF(OR(U172="",S172=""),"",IF(T172=3,U172*1000/(SQRT(3)*S172*V172),U172*1000/(S172*V172)))</f>
        <v/>
      </c>
      <c r="X172" s="30"/>
      <c r="Y172" s="28" t="str">
        <f aca="false">IF(W172="","",W172*IF(X172="",1,X172))</f>
        <v/>
      </c>
      <c r="Z172" s="28" t="str">
        <f aca="false">IF(OR(AS172="",AP172=""),"",AS172*AP172)</f>
        <v/>
      </c>
      <c r="AA172" s="28" t="str">
        <f aca="false">IF(Z172="","",Z172*K172)</f>
        <v/>
      </c>
      <c r="AB172" s="31" t="str">
        <f aca="false">IF(OR(Y172="",AA172=""),"",Y172/AA172)</f>
        <v/>
      </c>
      <c r="AC172" s="31" t="str">
        <f aca="false">IF(OR(W172="",AT172=""),"",AT172*(W172/K172)*O172/1000/S172)</f>
        <v/>
      </c>
      <c r="AD172" s="31" t="str">
        <f aca="false">IF(W172="","",IFERROR(IF(INDEX('Design Basis'!$C$13:$C$21,MATCH(C172,'Design Basis'!$A$13:$A$21,0))="","",INDEX('Design Basis'!$C$13:$C$21,MATCH(C172,'Design Basis'!$A$13:$A$21,0))),""))</f>
        <v/>
      </c>
      <c r="AE172" s="32" t="str">
        <f aca="false">IF(W172="","n/a",IF(AA172="","CHECK",IF(AND(AB172&lt;=1,OR(AC172="",AD172="",AC172&lt;=AD172)),"OK","CHECK")))</f>
        <v>n/a</v>
      </c>
      <c r="AF172" s="28" t="n">
        <f aca="false">IF(AR172="","",K172*AQ172*PI()/4*AR172^2)</f>
        <v>201.061929829747</v>
      </c>
      <c r="AG172" s="32" t="s">
        <v>1054</v>
      </c>
      <c r="AI172" s="33" t="n">
        <f aca="false">INDEX(Equipment!$D$2:$D$153,MATCH(E172,Equipment!$A$2:$A$153,0))</f>
        <v>-7.25</v>
      </c>
      <c r="AJ172" s="33" t="n">
        <f aca="false">INDEX(Equipment!$E$2:$E$153,MATCH(E172,Equipment!$A$2:$A$153,0))</f>
        <v>3</v>
      </c>
      <c r="AK172" s="33" t="n">
        <f aca="false">INDEX(Equipment!$F$2:$F$153,MATCH(E172,Equipment!$A$2:$A$153,0))</f>
        <v>2.2</v>
      </c>
      <c r="AL172" s="33" t="n">
        <f aca="false">INDEX(Equipment!$D$2:$D$153,MATCH(G172,Equipment!$A$2:$A$153,0))</f>
        <v>-17</v>
      </c>
      <c r="AM172" s="33" t="n">
        <f aca="false">INDEX(Equipment!$E$2:$E$153,MATCH(G172,Equipment!$A$2:$A$153,0))</f>
        <v>12</v>
      </c>
      <c r="AN172" s="33" t="n">
        <f aca="false">INDEX(Equipment!$F$2:$F$153,MATCH(G172,Equipment!$A$2:$A$153,0))</f>
        <v>0.5</v>
      </c>
      <c r="AO172" s="33" t="n">
        <f aca="false">IF(INDEX(Raceways!$D$2:$D$18,MATCH(L172,Raceways!$A$2:$A$18,0))="",0,INDEX(Raceways!$D$2:$D$18,MATCH(L172,Raceways!$A$2:$A$18,0)))</f>
        <v>3</v>
      </c>
      <c r="AP172" s="34" t="n">
        <f aca="false">IF(INDEX(Raceways!$I$2:$I$18,MATCH(L172,Raceways!$A$2:$A$18,0))="","",INDEX(Raceways!$I$2:$I$18,MATCH(L172,Raceways!$A$2:$A$18,0)))</f>
        <v>0.88</v>
      </c>
      <c r="AQ172" s="27" t="n">
        <f aca="false">INDEX('Cable Types'!$D$2:$D$45,MATCH(I172,'Cable Types'!$A$2:$A$45,0))</f>
        <v>1</v>
      </c>
      <c r="AR172" s="27" t="n">
        <f aca="false">IF(INDEX('Cable Types'!$E$2:$E$45,MATCH(I172,'Cable Types'!$A$2:$A$45,0))="","",INDEX('Cable Types'!$E$2:$E$45,MATCH(I172,'Cable Types'!$A$2:$A$45,0)))</f>
        <v>16</v>
      </c>
      <c r="AS172" s="27" t="str">
        <f aca="false">IF(INDEX('Cable Types'!$F$2:$F$45,MATCH(I172,'Cable Types'!$A$2:$A$45,0))="","",INDEX('Cable Types'!$F$2:$F$45,MATCH(I172,'Cable Types'!$A$2:$A$45,0)))</f>
        <v/>
      </c>
      <c r="AT172" s="35" t="str">
        <f aca="false">IF(INDEX('Cable Types'!$G$2:$G$45,MATCH(I172,'Cable Types'!$A$2:$A$45,0))="","",INDEX('Cable Types'!$G$2:$G$45,MATCH(I172,'Cable Types'!$A$2:$A$45,0)))</f>
        <v/>
      </c>
    </row>
    <row r="173" customFormat="false" ht="15" hidden="false" customHeight="false" outlineLevel="0" collapsed="false">
      <c r="A173" s="26" t="s">
        <v>1059</v>
      </c>
      <c r="B173" s="26" t="s">
        <v>449</v>
      </c>
      <c r="C173" s="26" t="s">
        <v>83</v>
      </c>
      <c r="D173" s="26" t="s">
        <v>1060</v>
      </c>
      <c r="E173" s="26" t="s">
        <v>481</v>
      </c>
      <c r="F173" s="27" t="str">
        <f aca="false">INDEX(Equipment!$B$2:$B$153,MATCH(E173,Equipment!$A$2:$A$153,0))</f>
        <v>Gas chromatograph (shelter)</v>
      </c>
      <c r="G173" s="26" t="s">
        <v>479</v>
      </c>
      <c r="H173" s="27" t="str">
        <f aca="false">INDEX(Equipment!$B$2:$B$153,MATCH(G173,Equipment!$A$2:$A$153,0))</f>
        <v>Fiscal gas flow computer / metering panel (shelter)</v>
      </c>
      <c r="I173" s="26" t="s">
        <v>617</v>
      </c>
      <c r="J173" s="27" t="str">
        <f aca="false">INDEX('Cable Types'!$B$2:$B$45,MATCH(I173,'Cable Types'!$A$2:$A$45,0))</f>
        <v>300 V 1 TSP #22 AWG 120 ohm RS-485, ITC-HL, CCW armor</v>
      </c>
      <c r="K173" s="26" t="n">
        <v>1</v>
      </c>
      <c r="L173" s="26" t="s">
        <v>714</v>
      </c>
      <c r="M173" s="26" t="s">
        <v>703</v>
      </c>
      <c r="N173" s="26"/>
      <c r="O173" s="28" t="n">
        <f aca="false">IF(N173&lt;&gt;"",N173,IF(M173="D",ROUNDUP(SQRT((AL173-AI173)^2+(AM173-AJ173)^2+(AN173-AK173)^2)*(1+'Design Basis'!$C$6),0),ROUNDUP((ABS(AL173-AI173)+ABS(AM173-AJ173)+ABS(AO173-AK173)+ABS(AO173-AN173))*(1+'Design Basis'!$C$4)+2*'Design Basis'!$C$5,0)))</f>
        <v>13</v>
      </c>
      <c r="P173" s="28" t="n">
        <f aca="false">ROUND(O173*'Design Basis'!$C$10,0)</f>
        <v>43</v>
      </c>
      <c r="Q173" s="28" t="n">
        <f aca="false">O173*K173*AQ173</f>
        <v>13</v>
      </c>
      <c r="R173" s="28" t="n">
        <f aca="false">ROUND(Q173*'Design Basis'!$C$10,0)</f>
        <v>43</v>
      </c>
      <c r="S173" s="29"/>
      <c r="T173" s="26"/>
      <c r="U173" s="29"/>
      <c r="V173" s="30"/>
      <c r="W173" s="28" t="str">
        <f aca="false">IF(OR(U173="",S173=""),"",IF(T173=3,U173*1000/(SQRT(3)*S173*V173),U173*1000/(S173*V173)))</f>
        <v/>
      </c>
      <c r="X173" s="30"/>
      <c r="Y173" s="28" t="str">
        <f aca="false">IF(W173="","",W173*IF(X173="",1,X173))</f>
        <v/>
      </c>
      <c r="Z173" s="28" t="str">
        <f aca="false">IF(OR(AS173="",AP173=""),"",AS173*AP173)</f>
        <v/>
      </c>
      <c r="AA173" s="28" t="str">
        <f aca="false">IF(Z173="","",Z173*K173)</f>
        <v/>
      </c>
      <c r="AB173" s="31" t="str">
        <f aca="false">IF(OR(Y173="",AA173=""),"",Y173/AA173)</f>
        <v/>
      </c>
      <c r="AC173" s="31" t="str">
        <f aca="false">IF(OR(W173="",AT173=""),"",AT173*(W173/K173)*O173/1000/S173)</f>
        <v/>
      </c>
      <c r="AD173" s="31" t="str">
        <f aca="false">IF(W173="","",IFERROR(IF(INDEX('Design Basis'!$C$13:$C$21,MATCH(C173,'Design Basis'!$A$13:$A$21,0))="","",INDEX('Design Basis'!$C$13:$C$21,MATCH(C173,'Design Basis'!$A$13:$A$21,0))),""))</f>
        <v/>
      </c>
      <c r="AE173" s="32" t="str">
        <f aca="false">IF(W173="","n/a",IF(AA173="","CHECK",IF(AND(AB173&lt;=1,OR(AC173="",AD173="",AC173&lt;=AD173)),"OK","CHECK")))</f>
        <v>n/a</v>
      </c>
      <c r="AF173" s="28" t="n">
        <f aca="false">IF(AR173="","",K173*AQ173*PI()/4*AR173^2)</f>
        <v>113.097335529233</v>
      </c>
      <c r="AG173" s="32"/>
      <c r="AI173" s="33" t="n">
        <f aca="false">INDEX(Equipment!$D$2:$D$153,MATCH(E173,Equipment!$A$2:$A$153,0))</f>
        <v>-22</v>
      </c>
      <c r="AJ173" s="33" t="n">
        <f aca="false">INDEX(Equipment!$E$2:$E$153,MATCH(E173,Equipment!$A$2:$A$153,0))</f>
        <v>12</v>
      </c>
      <c r="AK173" s="33" t="n">
        <f aca="false">INDEX(Equipment!$F$2:$F$153,MATCH(E173,Equipment!$A$2:$A$153,0))</f>
        <v>0.5</v>
      </c>
      <c r="AL173" s="33" t="n">
        <f aca="false">INDEX(Equipment!$D$2:$D$153,MATCH(G173,Equipment!$A$2:$A$153,0))</f>
        <v>-17</v>
      </c>
      <c r="AM173" s="33" t="n">
        <f aca="false">INDEX(Equipment!$E$2:$E$153,MATCH(G173,Equipment!$A$2:$A$153,0))</f>
        <v>12</v>
      </c>
      <c r="AN173" s="33" t="n">
        <f aca="false">INDEX(Equipment!$F$2:$F$153,MATCH(G173,Equipment!$A$2:$A$153,0))</f>
        <v>0.5</v>
      </c>
      <c r="AO173" s="33" t="n">
        <f aca="false">IF(INDEX(Raceways!$D$2:$D$18,MATCH(L173,Raceways!$A$2:$A$18,0))="",0,INDEX(Raceways!$D$2:$D$18,MATCH(L173,Raceways!$A$2:$A$18,0)))</f>
        <v>1</v>
      </c>
      <c r="AP173" s="34" t="n">
        <f aca="false">IF(INDEX(Raceways!$I$2:$I$18,MATCH(L173,Raceways!$A$2:$A$18,0))="","",INDEX(Raceways!$I$2:$I$18,MATCH(L173,Raceways!$A$2:$A$18,0)))</f>
        <v>0.88</v>
      </c>
      <c r="AQ173" s="27" t="n">
        <f aca="false">INDEX('Cable Types'!$D$2:$D$45,MATCH(I173,'Cable Types'!$A$2:$A$45,0))</f>
        <v>1</v>
      </c>
      <c r="AR173" s="27" t="n">
        <f aca="false">IF(INDEX('Cable Types'!$E$2:$E$45,MATCH(I173,'Cable Types'!$A$2:$A$45,0))="","",INDEX('Cable Types'!$E$2:$E$45,MATCH(I173,'Cable Types'!$A$2:$A$45,0)))</f>
        <v>12</v>
      </c>
      <c r="AS173" s="27" t="str">
        <f aca="false">IF(INDEX('Cable Types'!$F$2:$F$45,MATCH(I173,'Cable Types'!$A$2:$A$45,0))="","",INDEX('Cable Types'!$F$2:$F$45,MATCH(I173,'Cable Types'!$A$2:$A$45,0)))</f>
        <v/>
      </c>
      <c r="AT173" s="35" t="str">
        <f aca="false">IF(INDEX('Cable Types'!$G$2:$G$45,MATCH(I173,'Cable Types'!$A$2:$A$45,0))="","",INDEX('Cable Types'!$G$2:$G$45,MATCH(I173,'Cable Types'!$A$2:$A$45,0)))</f>
        <v/>
      </c>
    </row>
    <row r="174" customFormat="false" ht="15" hidden="false" customHeight="false" outlineLevel="0" collapsed="false">
      <c r="A174" s="26" t="s">
        <v>1061</v>
      </c>
      <c r="B174" s="26" t="s">
        <v>449</v>
      </c>
      <c r="C174" s="26" t="s">
        <v>83</v>
      </c>
      <c r="D174" s="26" t="s">
        <v>1062</v>
      </c>
      <c r="E174" s="26" t="s">
        <v>479</v>
      </c>
      <c r="F174" s="27" t="str">
        <f aca="false">INDEX(Equipment!$B$2:$B$153,MATCH(E174,Equipment!$A$2:$A$153,0))</f>
        <v>Fiscal gas flow computer / metering panel (shelter)</v>
      </c>
      <c r="G174" s="26" t="s">
        <v>476</v>
      </c>
      <c r="H174" s="27" t="str">
        <f aca="false">INDEX(Equipment!$B$2:$B$153,MATCH(G174,Equipment!$A$2:$A$153,0))</f>
        <v>DCS remote I/O cabinet - gas station (shelter)</v>
      </c>
      <c r="I174" s="26" t="s">
        <v>617</v>
      </c>
      <c r="J174" s="27" t="str">
        <f aca="false">INDEX('Cable Types'!$B$2:$B$45,MATCH(I174,'Cable Types'!$A$2:$A$45,0))</f>
        <v>300 V 1 TSP #22 AWG 120 ohm RS-485, ITC-HL, CCW armor</v>
      </c>
      <c r="K174" s="26" t="n">
        <v>1</v>
      </c>
      <c r="L174" s="26" t="s">
        <v>714</v>
      </c>
      <c r="M174" s="26" t="s">
        <v>703</v>
      </c>
      <c r="N174" s="26"/>
      <c r="O174" s="28" t="n">
        <f aca="false">IF(N174&lt;&gt;"",N174,IF(M174="D",ROUNDUP(SQRT((AL174-AI174)^2+(AM174-AJ174)^2+(AN174-AK174)^2)*(1+'Design Basis'!$C$6),0),ROUNDUP((ABS(AL174-AI174)+ABS(AM174-AJ174)+ABS(AO174-AK174)+ABS(AO174-AN174))*(1+'Design Basis'!$C$4)+2*'Design Basis'!$C$5,0)))</f>
        <v>9</v>
      </c>
      <c r="P174" s="28" t="n">
        <f aca="false">ROUND(O174*'Design Basis'!$C$10,0)</f>
        <v>30</v>
      </c>
      <c r="Q174" s="28" t="n">
        <f aca="false">O174*K174*AQ174</f>
        <v>9</v>
      </c>
      <c r="R174" s="28" t="n">
        <f aca="false">ROUND(Q174*'Design Basis'!$C$10,0)</f>
        <v>30</v>
      </c>
      <c r="S174" s="29"/>
      <c r="T174" s="26"/>
      <c r="U174" s="29"/>
      <c r="V174" s="30"/>
      <c r="W174" s="28" t="str">
        <f aca="false">IF(OR(U174="",S174=""),"",IF(T174=3,U174*1000/(SQRT(3)*S174*V174),U174*1000/(S174*V174)))</f>
        <v/>
      </c>
      <c r="X174" s="30"/>
      <c r="Y174" s="28" t="str">
        <f aca="false">IF(W174="","",W174*IF(X174="",1,X174))</f>
        <v/>
      </c>
      <c r="Z174" s="28" t="str">
        <f aca="false">IF(OR(AS174="",AP174=""),"",AS174*AP174)</f>
        <v/>
      </c>
      <c r="AA174" s="28" t="str">
        <f aca="false">IF(Z174="","",Z174*K174)</f>
        <v/>
      </c>
      <c r="AB174" s="31" t="str">
        <f aca="false">IF(OR(Y174="",AA174=""),"",Y174/AA174)</f>
        <v/>
      </c>
      <c r="AC174" s="31" t="str">
        <f aca="false">IF(OR(W174="",AT174=""),"",AT174*(W174/K174)*O174/1000/S174)</f>
        <v/>
      </c>
      <c r="AD174" s="31" t="str">
        <f aca="false">IF(W174="","",IFERROR(IF(INDEX('Design Basis'!$C$13:$C$21,MATCH(C174,'Design Basis'!$A$13:$A$21,0))="","",INDEX('Design Basis'!$C$13:$C$21,MATCH(C174,'Design Basis'!$A$13:$A$21,0))),""))</f>
        <v/>
      </c>
      <c r="AE174" s="32" t="str">
        <f aca="false">IF(W174="","n/a",IF(AA174="","CHECK",IF(AND(AB174&lt;=1,OR(AC174="",AD174="",AC174&lt;=AD174)),"OK","CHECK")))</f>
        <v>n/a</v>
      </c>
      <c r="AF174" s="28" t="n">
        <f aca="false">IF(AR174="","",K174*AQ174*PI()/4*AR174^2)</f>
        <v>113.097335529233</v>
      </c>
      <c r="AG174" s="32"/>
      <c r="AI174" s="33" t="n">
        <f aca="false">INDEX(Equipment!$D$2:$D$153,MATCH(E174,Equipment!$A$2:$A$153,0))</f>
        <v>-17</v>
      </c>
      <c r="AJ174" s="33" t="n">
        <f aca="false">INDEX(Equipment!$E$2:$E$153,MATCH(E174,Equipment!$A$2:$A$153,0))</f>
        <v>12</v>
      </c>
      <c r="AK174" s="33" t="n">
        <f aca="false">INDEX(Equipment!$F$2:$F$153,MATCH(E174,Equipment!$A$2:$A$153,0))</f>
        <v>0.5</v>
      </c>
      <c r="AL174" s="33" t="n">
        <f aca="false">INDEX(Equipment!$D$2:$D$153,MATCH(G174,Equipment!$A$2:$A$153,0))</f>
        <v>-18</v>
      </c>
      <c r="AM174" s="33" t="n">
        <f aca="false">INDEX(Equipment!$E$2:$E$153,MATCH(G174,Equipment!$A$2:$A$153,0))</f>
        <v>12</v>
      </c>
      <c r="AN174" s="33" t="n">
        <f aca="false">INDEX(Equipment!$F$2:$F$153,MATCH(G174,Equipment!$A$2:$A$153,0))</f>
        <v>0.5</v>
      </c>
      <c r="AO174" s="33" t="n">
        <f aca="false">IF(INDEX(Raceways!$D$2:$D$18,MATCH(L174,Raceways!$A$2:$A$18,0))="",0,INDEX(Raceways!$D$2:$D$18,MATCH(L174,Raceways!$A$2:$A$18,0)))</f>
        <v>1</v>
      </c>
      <c r="AP174" s="34" t="n">
        <f aca="false">IF(INDEX(Raceways!$I$2:$I$18,MATCH(L174,Raceways!$A$2:$A$18,0))="","",INDEX(Raceways!$I$2:$I$18,MATCH(L174,Raceways!$A$2:$A$18,0)))</f>
        <v>0.88</v>
      </c>
      <c r="AQ174" s="27" t="n">
        <f aca="false">INDEX('Cable Types'!$D$2:$D$45,MATCH(I174,'Cable Types'!$A$2:$A$45,0))</f>
        <v>1</v>
      </c>
      <c r="AR174" s="27" t="n">
        <f aca="false">IF(INDEX('Cable Types'!$E$2:$E$45,MATCH(I174,'Cable Types'!$A$2:$A$45,0))="","",INDEX('Cable Types'!$E$2:$E$45,MATCH(I174,'Cable Types'!$A$2:$A$45,0)))</f>
        <v>12</v>
      </c>
      <c r="AS174" s="27" t="str">
        <f aca="false">IF(INDEX('Cable Types'!$F$2:$F$45,MATCH(I174,'Cable Types'!$A$2:$A$45,0))="","",INDEX('Cable Types'!$F$2:$F$45,MATCH(I174,'Cable Types'!$A$2:$A$45,0)))</f>
        <v/>
      </c>
      <c r="AT174" s="35" t="str">
        <f aca="false">IF(INDEX('Cable Types'!$G$2:$G$45,MATCH(I174,'Cable Types'!$A$2:$A$45,0))="","",INDEX('Cable Types'!$G$2:$G$45,MATCH(I174,'Cable Types'!$A$2:$A$45,0)))</f>
        <v/>
      </c>
    </row>
    <row r="175" customFormat="false" ht="15" hidden="false" customHeight="false" outlineLevel="0" collapsed="false">
      <c r="A175" s="26" t="s">
        <v>1063</v>
      </c>
      <c r="B175" s="26" t="s">
        <v>449</v>
      </c>
      <c r="C175" s="26" t="s">
        <v>83</v>
      </c>
      <c r="D175" s="26" t="s">
        <v>1064</v>
      </c>
      <c r="E175" s="26" t="s">
        <v>498</v>
      </c>
      <c r="F175" s="27" t="str">
        <f aca="false">INDEX(Equipment!$B$2:$B$153,MATCH(E175,Equipment!$A$2:$A$153,0))</f>
        <v>Gas station instrument junction box</v>
      </c>
      <c r="G175" s="26" t="s">
        <v>476</v>
      </c>
      <c r="H175" s="27" t="str">
        <f aca="false">INDEX(Equipment!$B$2:$B$153,MATCH(G175,Equipment!$A$2:$A$153,0))</f>
        <v>DCS remote I/O cabinet - gas station (shelter)</v>
      </c>
      <c r="I175" s="26" t="s">
        <v>613</v>
      </c>
      <c r="J175" s="27" t="str">
        <f aca="false">INDEX('Cable Types'!$B$2:$B$45,MATCH(I175,'Cable Types'!$A$2:$A$45,0))</f>
        <v>300 V 24 TSP #18 AWG indiv. + overall shield, PLTC/ITC-HL, CCW armor</v>
      </c>
      <c r="K175" s="26" t="n">
        <v>1</v>
      </c>
      <c r="L175" s="26" t="s">
        <v>931</v>
      </c>
      <c r="M175" s="26" t="s">
        <v>703</v>
      </c>
      <c r="N175" s="26"/>
      <c r="O175" s="28" t="n">
        <f aca="false">IF(N175&lt;&gt;"",N175,IF(M175="D",ROUNDUP(SQRT((AL175-AI175)^2+(AM175-AJ175)^2+(AN175-AK175)^2)*(1+'Design Basis'!$C$6),0),ROUNDUP((ABS(AL175-AI175)+ABS(AM175-AJ175)+ABS(AO175-AK175)+ABS(AO175-AN175))*(1+'Design Basis'!$C$4)+2*'Design Basis'!$C$5,0)))</f>
        <v>25</v>
      </c>
      <c r="P175" s="28" t="n">
        <f aca="false">ROUND(O175*'Design Basis'!$C$10,0)</f>
        <v>82</v>
      </c>
      <c r="Q175" s="28" t="n">
        <f aca="false">O175*K175*AQ175</f>
        <v>25</v>
      </c>
      <c r="R175" s="28" t="n">
        <f aca="false">ROUND(Q175*'Design Basis'!$C$10,0)</f>
        <v>82</v>
      </c>
      <c r="S175" s="29"/>
      <c r="T175" s="26"/>
      <c r="U175" s="29"/>
      <c r="V175" s="30"/>
      <c r="W175" s="28" t="str">
        <f aca="false">IF(OR(U175="",S175=""),"",IF(T175=3,U175*1000/(SQRT(3)*S175*V175),U175*1000/(S175*V175)))</f>
        <v/>
      </c>
      <c r="X175" s="30"/>
      <c r="Y175" s="28" t="str">
        <f aca="false">IF(W175="","",W175*IF(X175="",1,X175))</f>
        <v/>
      </c>
      <c r="Z175" s="28" t="str">
        <f aca="false">IF(OR(AS175="",AP175=""),"",AS175*AP175)</f>
        <v/>
      </c>
      <c r="AA175" s="28" t="str">
        <f aca="false">IF(Z175="","",Z175*K175)</f>
        <v/>
      </c>
      <c r="AB175" s="31" t="str">
        <f aca="false">IF(OR(Y175="",AA175=""),"",Y175/AA175)</f>
        <v/>
      </c>
      <c r="AC175" s="31" t="str">
        <f aca="false">IF(OR(W175="",AT175=""),"",AT175*(W175/K175)*O175/1000/S175)</f>
        <v/>
      </c>
      <c r="AD175" s="31" t="str">
        <f aca="false">IF(W175="","",IFERROR(IF(INDEX('Design Basis'!$C$13:$C$21,MATCH(C175,'Design Basis'!$A$13:$A$21,0))="","",INDEX('Design Basis'!$C$13:$C$21,MATCH(C175,'Design Basis'!$A$13:$A$21,0))),""))</f>
        <v/>
      </c>
      <c r="AE175" s="32" t="str">
        <f aca="false">IF(W175="","n/a",IF(AA175="","CHECK",IF(AND(AB175&lt;=1,OR(AC175="",AD175="",AC175&lt;=AD175)),"OK","CHECK")))</f>
        <v>n/a</v>
      </c>
      <c r="AF175" s="28" t="n">
        <f aca="false">IF(AR175="","",K175*AQ175*PI()/4*AR175^2)</f>
        <v>1134.11494794592</v>
      </c>
      <c r="AG175" s="32" t="s">
        <v>1065</v>
      </c>
      <c r="AI175" s="33" t="n">
        <f aca="false">INDEX(Equipment!$D$2:$D$153,MATCH(E175,Equipment!$A$2:$A$153,0))</f>
        <v>-10</v>
      </c>
      <c r="AJ175" s="33" t="n">
        <f aca="false">INDEX(Equipment!$E$2:$E$153,MATCH(E175,Equipment!$A$2:$A$153,0))</f>
        <v>8</v>
      </c>
      <c r="AK175" s="33" t="n">
        <f aca="false">INDEX(Equipment!$F$2:$F$153,MATCH(E175,Equipment!$A$2:$A$153,0))</f>
        <v>0.5</v>
      </c>
      <c r="AL175" s="33" t="n">
        <f aca="false">INDEX(Equipment!$D$2:$D$153,MATCH(G175,Equipment!$A$2:$A$153,0))</f>
        <v>-18</v>
      </c>
      <c r="AM175" s="33" t="n">
        <f aca="false">INDEX(Equipment!$E$2:$E$153,MATCH(G175,Equipment!$A$2:$A$153,0))</f>
        <v>12</v>
      </c>
      <c r="AN175" s="33" t="n">
        <f aca="false">INDEX(Equipment!$F$2:$F$153,MATCH(G175,Equipment!$A$2:$A$153,0))</f>
        <v>0.5</v>
      </c>
      <c r="AO175" s="33" t="n">
        <f aca="false">IF(INDEX(Raceways!$D$2:$D$18,MATCH(L175,Raceways!$A$2:$A$18,0))="",0,INDEX(Raceways!$D$2:$D$18,MATCH(L175,Raceways!$A$2:$A$18,0)))</f>
        <v>3</v>
      </c>
      <c r="AP175" s="34" t="n">
        <f aca="false">IF(INDEX(Raceways!$I$2:$I$18,MATCH(L175,Raceways!$A$2:$A$18,0))="","",INDEX(Raceways!$I$2:$I$18,MATCH(L175,Raceways!$A$2:$A$18,0)))</f>
        <v>0.88</v>
      </c>
      <c r="AQ175" s="27" t="n">
        <f aca="false">INDEX('Cable Types'!$D$2:$D$45,MATCH(I175,'Cable Types'!$A$2:$A$45,0))</f>
        <v>1</v>
      </c>
      <c r="AR175" s="27" t="n">
        <f aca="false">IF(INDEX('Cable Types'!$E$2:$E$45,MATCH(I175,'Cable Types'!$A$2:$A$45,0))="","",INDEX('Cable Types'!$E$2:$E$45,MATCH(I175,'Cable Types'!$A$2:$A$45,0)))</f>
        <v>38</v>
      </c>
      <c r="AS175" s="27" t="str">
        <f aca="false">IF(INDEX('Cable Types'!$F$2:$F$45,MATCH(I175,'Cable Types'!$A$2:$A$45,0))="","",INDEX('Cable Types'!$F$2:$F$45,MATCH(I175,'Cable Types'!$A$2:$A$45,0)))</f>
        <v/>
      </c>
      <c r="AT175" s="35" t="str">
        <f aca="false">IF(INDEX('Cable Types'!$G$2:$G$45,MATCH(I175,'Cable Types'!$A$2:$A$45,0))="","",INDEX('Cable Types'!$G$2:$G$45,MATCH(I175,'Cable Types'!$A$2:$A$45,0)))</f>
        <v/>
      </c>
    </row>
    <row r="176" customFormat="false" ht="15" hidden="false" customHeight="false" outlineLevel="0" collapsed="false">
      <c r="A176" s="26" t="s">
        <v>1066</v>
      </c>
      <c r="B176" s="26" t="s">
        <v>449</v>
      </c>
      <c r="C176" s="26" t="s">
        <v>83</v>
      </c>
      <c r="D176" s="26" t="s">
        <v>1067</v>
      </c>
      <c r="E176" s="26" t="s">
        <v>492</v>
      </c>
      <c r="F176" s="27" t="str">
        <f aca="false">INDEX(Equipment!$B$2:$B$153,MATCH(E176,Equipment!$A$2:$A$153,0))</f>
        <v>Pressure reducing / regulating valve skid</v>
      </c>
      <c r="G176" s="26" t="s">
        <v>498</v>
      </c>
      <c r="H176" s="27" t="str">
        <f aca="false">INDEX(Equipment!$B$2:$B$153,MATCH(G176,Equipment!$A$2:$A$153,0))</f>
        <v>Gas station instrument junction box</v>
      </c>
      <c r="I176" s="26" t="s">
        <v>607</v>
      </c>
      <c r="J176" s="27" t="str">
        <f aca="false">INDEX('Cable Types'!$B$2:$B$45,MATCH(I176,'Cable Types'!$A$2:$A$45,0))</f>
        <v>300 V 1 TSP #16 AWG, PLTC/ITC-HL, CCW armor, PVC jkt (IS blue)</v>
      </c>
      <c r="K176" s="26" t="n">
        <v>2</v>
      </c>
      <c r="L176" s="26" t="s">
        <v>931</v>
      </c>
      <c r="M176" s="26" t="s">
        <v>703</v>
      </c>
      <c r="N176" s="26"/>
      <c r="O176" s="28" t="n">
        <f aca="false">IF(N176&lt;&gt;"",N176,IF(M176="D",ROUNDUP(SQRT((AL176-AI176)^2+(AM176-AJ176)^2+(AN176-AK176)^2)*(1+'Design Basis'!$C$6),0),ROUNDUP((ABS(AL176-AI176)+ABS(AM176-AJ176)+ABS(AO176-AK176)+ABS(AO176-AN176))*(1+'Design Basis'!$C$4)+2*'Design Basis'!$C$5,0)))</f>
        <v>30</v>
      </c>
      <c r="P176" s="28" t="n">
        <f aca="false">ROUND(O176*'Design Basis'!$C$10,0)</f>
        <v>98</v>
      </c>
      <c r="Q176" s="28" t="n">
        <f aca="false">O176*K176*AQ176</f>
        <v>60</v>
      </c>
      <c r="R176" s="28" t="n">
        <f aca="false">ROUND(Q176*'Design Basis'!$C$10,0)</f>
        <v>197</v>
      </c>
      <c r="S176" s="29"/>
      <c r="T176" s="26"/>
      <c r="U176" s="29"/>
      <c r="V176" s="30"/>
      <c r="W176" s="28" t="str">
        <f aca="false">IF(OR(U176="",S176=""),"",IF(T176=3,U176*1000/(SQRT(3)*S176*V176),U176*1000/(S176*V176)))</f>
        <v/>
      </c>
      <c r="X176" s="30"/>
      <c r="Y176" s="28" t="str">
        <f aca="false">IF(W176="","",W176*IF(X176="",1,X176))</f>
        <v/>
      </c>
      <c r="Z176" s="28" t="str">
        <f aca="false">IF(OR(AS176="",AP176=""),"",AS176*AP176)</f>
        <v/>
      </c>
      <c r="AA176" s="28" t="str">
        <f aca="false">IF(Z176="","",Z176*K176)</f>
        <v/>
      </c>
      <c r="AB176" s="31" t="str">
        <f aca="false">IF(OR(Y176="",AA176=""),"",Y176/AA176)</f>
        <v/>
      </c>
      <c r="AC176" s="31" t="str">
        <f aca="false">IF(OR(W176="",AT176=""),"",AT176*(W176/K176)*O176/1000/S176)</f>
        <v/>
      </c>
      <c r="AD176" s="31" t="str">
        <f aca="false">IF(W176="","",IFERROR(IF(INDEX('Design Basis'!$C$13:$C$21,MATCH(C176,'Design Basis'!$A$13:$A$21,0))="","",INDEX('Design Basis'!$C$13:$C$21,MATCH(C176,'Design Basis'!$A$13:$A$21,0))),""))</f>
        <v/>
      </c>
      <c r="AE176" s="32" t="str">
        <f aca="false">IF(W176="","n/a",IF(AA176="","CHECK",IF(AND(AB176&lt;=1,OR(AC176="",AD176="",AC176&lt;=AD176)),"OK","CHECK")))</f>
        <v>n/a</v>
      </c>
      <c r="AF176" s="28" t="n">
        <f aca="false">IF(AR176="","",K176*AQ176*PI()/4*AR176^2)</f>
        <v>265.464579228338</v>
      </c>
      <c r="AG176" s="32" t="s">
        <v>1065</v>
      </c>
      <c r="AI176" s="33" t="n">
        <f aca="false">INDEX(Equipment!$D$2:$D$153,MATCH(E176,Equipment!$A$2:$A$153,0))</f>
        <v>1.5</v>
      </c>
      <c r="AJ176" s="33" t="n">
        <f aca="false">INDEX(Equipment!$E$2:$E$153,MATCH(E176,Equipment!$A$2:$A$153,0))</f>
        <v>1.5</v>
      </c>
      <c r="AK176" s="33" t="n">
        <f aca="false">INDEX(Equipment!$F$2:$F$153,MATCH(E176,Equipment!$A$2:$A$153,0))</f>
        <v>2.5</v>
      </c>
      <c r="AL176" s="33" t="n">
        <f aca="false">INDEX(Equipment!$D$2:$D$153,MATCH(G176,Equipment!$A$2:$A$153,0))</f>
        <v>-10</v>
      </c>
      <c r="AM176" s="33" t="n">
        <f aca="false">INDEX(Equipment!$E$2:$E$153,MATCH(G176,Equipment!$A$2:$A$153,0))</f>
        <v>8</v>
      </c>
      <c r="AN176" s="33" t="n">
        <f aca="false">INDEX(Equipment!$F$2:$F$153,MATCH(G176,Equipment!$A$2:$A$153,0))</f>
        <v>0.5</v>
      </c>
      <c r="AO176" s="33" t="n">
        <f aca="false">IF(INDEX(Raceways!$D$2:$D$18,MATCH(L176,Raceways!$A$2:$A$18,0))="",0,INDEX(Raceways!$D$2:$D$18,MATCH(L176,Raceways!$A$2:$A$18,0)))</f>
        <v>3</v>
      </c>
      <c r="AP176" s="34" t="n">
        <f aca="false">IF(INDEX(Raceways!$I$2:$I$18,MATCH(L176,Raceways!$A$2:$A$18,0))="","",INDEX(Raceways!$I$2:$I$18,MATCH(L176,Raceways!$A$2:$A$18,0)))</f>
        <v>0.88</v>
      </c>
      <c r="AQ176" s="27" t="n">
        <f aca="false">INDEX('Cable Types'!$D$2:$D$45,MATCH(I176,'Cable Types'!$A$2:$A$45,0))</f>
        <v>1</v>
      </c>
      <c r="AR176" s="27" t="n">
        <f aca="false">IF(INDEX('Cable Types'!$E$2:$E$45,MATCH(I176,'Cable Types'!$A$2:$A$45,0))="","",INDEX('Cable Types'!$E$2:$E$45,MATCH(I176,'Cable Types'!$A$2:$A$45,0)))</f>
        <v>13</v>
      </c>
      <c r="AS176" s="27" t="str">
        <f aca="false">IF(INDEX('Cable Types'!$F$2:$F$45,MATCH(I176,'Cable Types'!$A$2:$A$45,0))="","",INDEX('Cable Types'!$F$2:$F$45,MATCH(I176,'Cable Types'!$A$2:$A$45,0)))</f>
        <v/>
      </c>
      <c r="AT176" s="35" t="str">
        <f aca="false">IF(INDEX('Cable Types'!$G$2:$G$45,MATCH(I176,'Cable Types'!$A$2:$A$45,0))="","",INDEX('Cable Types'!$G$2:$G$45,MATCH(I176,'Cable Types'!$A$2:$A$45,0)))</f>
        <v/>
      </c>
    </row>
    <row r="177" customFormat="false" ht="15" hidden="false" customHeight="false" outlineLevel="0" collapsed="false">
      <c r="A177" s="26" t="s">
        <v>1068</v>
      </c>
      <c r="B177" s="26" t="s">
        <v>449</v>
      </c>
      <c r="C177" s="26" t="s">
        <v>83</v>
      </c>
      <c r="D177" s="26" t="s">
        <v>1069</v>
      </c>
      <c r="E177" s="26" t="s">
        <v>456</v>
      </c>
      <c r="F177" s="27" t="str">
        <f aca="false">INDEX(Equipment!$B$2:$B$153,MATCH(E177,Equipment!$A$2:$A$153,0))</f>
        <v>LNG tank level / temperature gauging head</v>
      </c>
      <c r="G177" s="26" t="s">
        <v>476</v>
      </c>
      <c r="H177" s="27" t="str">
        <f aca="false">INDEX(Equipment!$B$2:$B$153,MATCH(G177,Equipment!$A$2:$A$153,0))</f>
        <v>DCS remote I/O cabinet - gas station (shelter)</v>
      </c>
      <c r="I177" s="26" t="s">
        <v>611</v>
      </c>
      <c r="J177" s="27" t="str">
        <f aca="false">INDEX('Cable Types'!$B$2:$B$45,MATCH(I177,'Cable Types'!$A$2:$A$45,0))</f>
        <v>300 V 12 TSP #18 AWG indiv. + overall shield, PLTC/ITC-HL, CCW armor</v>
      </c>
      <c r="K177" s="26" t="n">
        <v>1</v>
      </c>
      <c r="L177" s="26" t="s">
        <v>931</v>
      </c>
      <c r="M177" s="26" t="s">
        <v>703</v>
      </c>
      <c r="N177" s="26"/>
      <c r="O177" s="28" t="n">
        <f aca="false">IF(N177&lt;&gt;"",N177,IF(M177="D",ROUNDUP(SQRT((AL177-AI177)^2+(AM177-AJ177)^2+(AN177-AK177)^2)*(1+'Design Basis'!$C$6),0),ROUNDUP((ABS(AL177-AI177)+ABS(AM177-AJ177)+ABS(AO177-AK177)+ABS(AO177-AN177))*(1+'Design Basis'!$C$4)+2*'Design Basis'!$C$5,0)))</f>
        <v>98</v>
      </c>
      <c r="P177" s="28" t="n">
        <f aca="false">ROUND(O177*'Design Basis'!$C$10,0)</f>
        <v>322</v>
      </c>
      <c r="Q177" s="28" t="n">
        <f aca="false">O177*K177*AQ177</f>
        <v>98</v>
      </c>
      <c r="R177" s="28" t="n">
        <f aca="false">ROUND(Q177*'Design Basis'!$C$10,0)</f>
        <v>322</v>
      </c>
      <c r="S177" s="29"/>
      <c r="T177" s="26"/>
      <c r="U177" s="29"/>
      <c r="V177" s="30"/>
      <c r="W177" s="28" t="str">
        <f aca="false">IF(OR(U177="",S177=""),"",IF(T177=3,U177*1000/(SQRT(3)*S177*V177),U177*1000/(S177*V177)))</f>
        <v/>
      </c>
      <c r="X177" s="30"/>
      <c r="Y177" s="28" t="str">
        <f aca="false">IF(W177="","",W177*IF(X177="",1,X177))</f>
        <v/>
      </c>
      <c r="Z177" s="28" t="str">
        <f aca="false">IF(OR(AS177="",AP177=""),"",AS177*AP177)</f>
        <v/>
      </c>
      <c r="AA177" s="28" t="str">
        <f aca="false">IF(Z177="","",Z177*K177)</f>
        <v/>
      </c>
      <c r="AB177" s="31" t="str">
        <f aca="false">IF(OR(Y177="",AA177=""),"",Y177/AA177)</f>
        <v/>
      </c>
      <c r="AC177" s="31" t="str">
        <f aca="false">IF(OR(W177="",AT177=""),"",AT177*(W177/K177)*O177/1000/S177)</f>
        <v/>
      </c>
      <c r="AD177" s="31" t="str">
        <f aca="false">IF(W177="","",IFERROR(IF(INDEX('Design Basis'!$C$13:$C$21,MATCH(C177,'Design Basis'!$A$13:$A$21,0))="","",INDEX('Design Basis'!$C$13:$C$21,MATCH(C177,'Design Basis'!$A$13:$A$21,0))),""))</f>
        <v/>
      </c>
      <c r="AE177" s="32" t="str">
        <f aca="false">IF(W177="","n/a",IF(AA177="","CHECK",IF(AND(AB177&lt;=1,OR(AC177="",AD177="",AC177&lt;=AD177)),"OK","CHECK")))</f>
        <v>n/a</v>
      </c>
      <c r="AF177" s="28" t="n">
        <f aca="false">IF(AR177="","",K177*AQ177*PI()/4*AR177^2)</f>
        <v>706.858347057703</v>
      </c>
      <c r="AG177" s="32"/>
      <c r="AI177" s="33" t="n">
        <f aca="false">INDEX(Equipment!$D$2:$D$153,MATCH(E177,Equipment!$A$2:$A$153,0))</f>
        <v>-60</v>
      </c>
      <c r="AJ177" s="33" t="n">
        <f aca="false">INDEX(Equipment!$E$2:$E$153,MATCH(E177,Equipment!$A$2:$A$153,0))</f>
        <v>-6</v>
      </c>
      <c r="AK177" s="33" t="n">
        <f aca="false">INDEX(Equipment!$F$2:$F$153,MATCH(E177,Equipment!$A$2:$A$153,0))</f>
        <v>24</v>
      </c>
      <c r="AL177" s="33" t="n">
        <f aca="false">INDEX(Equipment!$D$2:$D$153,MATCH(G177,Equipment!$A$2:$A$153,0))</f>
        <v>-18</v>
      </c>
      <c r="AM177" s="33" t="n">
        <f aca="false">INDEX(Equipment!$E$2:$E$153,MATCH(G177,Equipment!$A$2:$A$153,0))</f>
        <v>12</v>
      </c>
      <c r="AN177" s="33" t="n">
        <f aca="false">INDEX(Equipment!$F$2:$F$153,MATCH(G177,Equipment!$A$2:$A$153,0))</f>
        <v>0.5</v>
      </c>
      <c r="AO177" s="33" t="n">
        <f aca="false">IF(INDEX(Raceways!$D$2:$D$18,MATCH(L177,Raceways!$A$2:$A$18,0))="",0,INDEX(Raceways!$D$2:$D$18,MATCH(L177,Raceways!$A$2:$A$18,0)))</f>
        <v>3</v>
      </c>
      <c r="AP177" s="34" t="n">
        <f aca="false">IF(INDEX(Raceways!$I$2:$I$18,MATCH(L177,Raceways!$A$2:$A$18,0))="","",INDEX(Raceways!$I$2:$I$18,MATCH(L177,Raceways!$A$2:$A$18,0)))</f>
        <v>0.88</v>
      </c>
      <c r="AQ177" s="27" t="n">
        <f aca="false">INDEX('Cable Types'!$D$2:$D$45,MATCH(I177,'Cable Types'!$A$2:$A$45,0))</f>
        <v>1</v>
      </c>
      <c r="AR177" s="27" t="n">
        <f aca="false">IF(INDEX('Cable Types'!$E$2:$E$45,MATCH(I177,'Cable Types'!$A$2:$A$45,0))="","",INDEX('Cable Types'!$E$2:$E$45,MATCH(I177,'Cable Types'!$A$2:$A$45,0)))</f>
        <v>30</v>
      </c>
      <c r="AS177" s="27" t="str">
        <f aca="false">IF(INDEX('Cable Types'!$F$2:$F$45,MATCH(I177,'Cable Types'!$A$2:$A$45,0))="","",INDEX('Cable Types'!$F$2:$F$45,MATCH(I177,'Cable Types'!$A$2:$A$45,0)))</f>
        <v/>
      </c>
      <c r="AT177" s="35" t="str">
        <f aca="false">IF(INDEX('Cable Types'!$G$2:$G$45,MATCH(I177,'Cable Types'!$A$2:$A$45,0))="","",INDEX('Cable Types'!$G$2:$G$45,MATCH(I177,'Cable Types'!$A$2:$A$45,0)))</f>
        <v/>
      </c>
    </row>
    <row r="178" customFormat="false" ht="15" hidden="false" customHeight="false" outlineLevel="0" collapsed="false">
      <c r="A178" s="26" t="s">
        <v>1070</v>
      </c>
      <c r="B178" s="26" t="s">
        <v>449</v>
      </c>
      <c r="C178" s="26" t="s">
        <v>83</v>
      </c>
      <c r="D178" s="26" t="s">
        <v>1071</v>
      </c>
      <c r="E178" s="26" t="s">
        <v>462</v>
      </c>
      <c r="F178" s="27" t="str">
        <f aca="false">INDEX(Equipment!$B$2:$B$153,MATCH(E178,Equipment!$A$2:$A$153,0))</f>
        <v>LNG area instrument junction box</v>
      </c>
      <c r="G178" s="26" t="s">
        <v>476</v>
      </c>
      <c r="H178" s="27" t="str">
        <f aca="false">INDEX(Equipment!$B$2:$B$153,MATCH(G178,Equipment!$A$2:$A$153,0))</f>
        <v>DCS remote I/O cabinet - gas station (shelter)</v>
      </c>
      <c r="I178" s="26" t="s">
        <v>613</v>
      </c>
      <c r="J178" s="27" t="str">
        <f aca="false">INDEX('Cable Types'!$B$2:$B$45,MATCH(I178,'Cable Types'!$A$2:$A$45,0))</f>
        <v>300 V 24 TSP #18 AWG indiv. + overall shield, PLTC/ITC-HL, CCW armor</v>
      </c>
      <c r="K178" s="26" t="n">
        <v>1</v>
      </c>
      <c r="L178" s="26" t="s">
        <v>931</v>
      </c>
      <c r="M178" s="26" t="s">
        <v>703</v>
      </c>
      <c r="N178" s="26"/>
      <c r="O178" s="28" t="n">
        <f aca="false">IF(N178&lt;&gt;"",N178,IF(M178="D",ROUNDUP(SQRT((AL178-AI178)^2+(AM178-AJ178)^2+(AN178-AK178)^2)*(1+'Design Basis'!$C$6),0),ROUNDUP((ABS(AL178-AI178)+ABS(AM178-AJ178)+ABS(AO178-AK178)+ABS(AO178-AN178))*(1+'Design Basis'!$C$4)+2*'Design Basis'!$C$5,0)))</f>
        <v>45</v>
      </c>
      <c r="P178" s="28" t="n">
        <f aca="false">ROUND(O178*'Design Basis'!$C$10,0)</f>
        <v>148</v>
      </c>
      <c r="Q178" s="28" t="n">
        <f aca="false">O178*K178*AQ178</f>
        <v>45</v>
      </c>
      <c r="R178" s="28" t="n">
        <f aca="false">ROUND(Q178*'Design Basis'!$C$10,0)</f>
        <v>148</v>
      </c>
      <c r="S178" s="29"/>
      <c r="T178" s="26"/>
      <c r="U178" s="29"/>
      <c r="V178" s="30"/>
      <c r="W178" s="28" t="str">
        <f aca="false">IF(OR(U178="",S178=""),"",IF(T178=3,U178*1000/(SQRT(3)*S178*V178),U178*1000/(S178*V178)))</f>
        <v/>
      </c>
      <c r="X178" s="30"/>
      <c r="Y178" s="28" t="str">
        <f aca="false">IF(W178="","",W178*IF(X178="",1,X178))</f>
        <v/>
      </c>
      <c r="Z178" s="28" t="str">
        <f aca="false">IF(OR(AS178="",AP178=""),"",AS178*AP178)</f>
        <v/>
      </c>
      <c r="AA178" s="28" t="str">
        <f aca="false">IF(Z178="","",Z178*K178)</f>
        <v/>
      </c>
      <c r="AB178" s="31" t="str">
        <f aca="false">IF(OR(Y178="",AA178=""),"",Y178/AA178)</f>
        <v/>
      </c>
      <c r="AC178" s="31" t="str">
        <f aca="false">IF(OR(W178="",AT178=""),"",AT178*(W178/K178)*O178/1000/S178)</f>
        <v/>
      </c>
      <c r="AD178" s="31" t="str">
        <f aca="false">IF(W178="","",IFERROR(IF(INDEX('Design Basis'!$C$13:$C$21,MATCH(C178,'Design Basis'!$A$13:$A$21,0))="","",INDEX('Design Basis'!$C$13:$C$21,MATCH(C178,'Design Basis'!$A$13:$A$21,0))),""))</f>
        <v/>
      </c>
      <c r="AE178" s="32" t="str">
        <f aca="false">IF(W178="","n/a",IF(AA178="","CHECK",IF(AND(AB178&lt;=1,OR(AC178="",AD178="",AC178&lt;=AD178)),"OK","CHECK")))</f>
        <v>n/a</v>
      </c>
      <c r="AF178" s="28" t="n">
        <f aca="false">IF(AR178="","",K178*AQ178*PI()/4*AR178^2)</f>
        <v>1134.11494794592</v>
      </c>
      <c r="AG178" s="32" t="s">
        <v>1065</v>
      </c>
      <c r="AI178" s="33" t="n">
        <f aca="false">INDEX(Equipment!$D$2:$D$153,MATCH(E178,Equipment!$A$2:$A$153,0))</f>
        <v>-44</v>
      </c>
      <c r="AJ178" s="33" t="n">
        <f aca="false">INDEX(Equipment!$E$2:$E$153,MATCH(E178,Equipment!$A$2:$A$153,0))</f>
        <v>8</v>
      </c>
      <c r="AK178" s="33" t="n">
        <f aca="false">INDEX(Equipment!$F$2:$F$153,MATCH(E178,Equipment!$A$2:$A$153,0))</f>
        <v>0.5</v>
      </c>
      <c r="AL178" s="33" t="n">
        <f aca="false">INDEX(Equipment!$D$2:$D$153,MATCH(G178,Equipment!$A$2:$A$153,0))</f>
        <v>-18</v>
      </c>
      <c r="AM178" s="33" t="n">
        <f aca="false">INDEX(Equipment!$E$2:$E$153,MATCH(G178,Equipment!$A$2:$A$153,0))</f>
        <v>12</v>
      </c>
      <c r="AN178" s="33" t="n">
        <f aca="false">INDEX(Equipment!$F$2:$F$153,MATCH(G178,Equipment!$A$2:$A$153,0))</f>
        <v>0.5</v>
      </c>
      <c r="AO178" s="33" t="n">
        <f aca="false">IF(INDEX(Raceways!$D$2:$D$18,MATCH(L178,Raceways!$A$2:$A$18,0))="",0,INDEX(Raceways!$D$2:$D$18,MATCH(L178,Raceways!$A$2:$A$18,0)))</f>
        <v>3</v>
      </c>
      <c r="AP178" s="34" t="n">
        <f aca="false">IF(INDEX(Raceways!$I$2:$I$18,MATCH(L178,Raceways!$A$2:$A$18,0))="","",INDEX(Raceways!$I$2:$I$18,MATCH(L178,Raceways!$A$2:$A$18,0)))</f>
        <v>0.88</v>
      </c>
      <c r="AQ178" s="27" t="n">
        <f aca="false">INDEX('Cable Types'!$D$2:$D$45,MATCH(I178,'Cable Types'!$A$2:$A$45,0))</f>
        <v>1</v>
      </c>
      <c r="AR178" s="27" t="n">
        <f aca="false">IF(INDEX('Cable Types'!$E$2:$E$45,MATCH(I178,'Cable Types'!$A$2:$A$45,0))="","",INDEX('Cable Types'!$E$2:$E$45,MATCH(I178,'Cable Types'!$A$2:$A$45,0)))</f>
        <v>38</v>
      </c>
      <c r="AS178" s="27" t="str">
        <f aca="false">IF(INDEX('Cable Types'!$F$2:$F$45,MATCH(I178,'Cable Types'!$A$2:$A$45,0))="","",INDEX('Cable Types'!$F$2:$F$45,MATCH(I178,'Cable Types'!$A$2:$A$45,0)))</f>
        <v/>
      </c>
      <c r="AT178" s="35" t="str">
        <f aca="false">IF(INDEX('Cable Types'!$G$2:$G$45,MATCH(I178,'Cable Types'!$A$2:$A$45,0))="","",INDEX('Cable Types'!$G$2:$G$45,MATCH(I178,'Cable Types'!$A$2:$A$45,0)))</f>
        <v/>
      </c>
    </row>
    <row r="179" customFormat="false" ht="15" hidden="false" customHeight="false" outlineLevel="0" collapsed="false">
      <c r="A179" s="26" t="s">
        <v>1072</v>
      </c>
      <c r="B179" s="26" t="s">
        <v>139</v>
      </c>
      <c r="C179" s="26" t="s">
        <v>83</v>
      </c>
      <c r="D179" s="26" t="s">
        <v>1073</v>
      </c>
      <c r="E179" s="26" t="s">
        <v>186</v>
      </c>
      <c r="F179" s="27" t="str">
        <f aca="false">INDEX(Equipment!$B$2:$B$153,MATCH(E179,Equipment!$A$2:$A$153,0))</f>
        <v>GT exhaust thermocouple junction box</v>
      </c>
      <c r="G179" s="26" t="s">
        <v>170</v>
      </c>
      <c r="H179" s="27" t="str">
        <f aca="false">INDEX(Equipment!$B$2:$B$153,MATCH(G179,Equipment!$A$2:$A$153,0))</f>
        <v>GT control panel (in PEECC)</v>
      </c>
      <c r="I179" s="26" t="s">
        <v>615</v>
      </c>
      <c r="J179" s="27" t="str">
        <f aca="false">INDEX('Cable Types'!$B$2:$B$45,MATCH(I179,'Cable Types'!$A$2:$A$45,0))</f>
        <v>300 V 12 pair #16 AWG type KX thermocouple extension, ITC-HL, CCW armor</v>
      </c>
      <c r="K179" s="26" t="n">
        <v>2</v>
      </c>
      <c r="L179" s="26" t="s">
        <v>730</v>
      </c>
      <c r="M179" s="26" t="s">
        <v>703</v>
      </c>
      <c r="N179" s="26"/>
      <c r="O179" s="28" t="n">
        <f aca="false">IF(N179&lt;&gt;"",N179,IF(M179="D",ROUNDUP(SQRT((AL179-AI179)^2+(AM179-AJ179)^2+(AN179-AK179)^2)*(1+'Design Basis'!$C$6),0),ROUNDUP((ABS(AL179-AI179)+ABS(AM179-AJ179)+ABS(AO179-AK179)+ABS(AO179-AN179))*(1+'Design Basis'!$C$4)+2*'Design Basis'!$C$5,0)))</f>
        <v>50</v>
      </c>
      <c r="P179" s="28" t="n">
        <f aca="false">ROUND(O179*'Design Basis'!$C$10,0)</f>
        <v>164</v>
      </c>
      <c r="Q179" s="28" t="n">
        <f aca="false">O179*K179*AQ179</f>
        <v>100</v>
      </c>
      <c r="R179" s="28" t="n">
        <f aca="false">ROUND(Q179*'Design Basis'!$C$10,0)</f>
        <v>328</v>
      </c>
      <c r="S179" s="29"/>
      <c r="T179" s="26"/>
      <c r="U179" s="29"/>
      <c r="V179" s="30"/>
      <c r="W179" s="28" t="str">
        <f aca="false">IF(OR(U179="",S179=""),"",IF(T179=3,U179*1000/(SQRT(3)*S179*V179),U179*1000/(S179*V179)))</f>
        <v/>
      </c>
      <c r="X179" s="30"/>
      <c r="Y179" s="28" t="str">
        <f aca="false">IF(W179="","",W179*IF(X179="",1,X179))</f>
        <v/>
      </c>
      <c r="Z179" s="28" t="str">
        <f aca="false">IF(OR(AS179="",AP179=""),"",AS179*AP179)</f>
        <v/>
      </c>
      <c r="AA179" s="28" t="str">
        <f aca="false">IF(Z179="","",Z179*K179)</f>
        <v/>
      </c>
      <c r="AB179" s="31" t="str">
        <f aca="false">IF(OR(Y179="",AA179=""),"",Y179/AA179)</f>
        <v/>
      </c>
      <c r="AC179" s="31" t="str">
        <f aca="false">IF(OR(W179="",AT179=""),"",AT179*(W179/K179)*O179/1000/S179)</f>
        <v/>
      </c>
      <c r="AD179" s="31" t="str">
        <f aca="false">IF(W179="","",IFERROR(IF(INDEX('Design Basis'!$C$13:$C$21,MATCH(C179,'Design Basis'!$A$13:$A$21,0))="","",INDEX('Design Basis'!$C$13:$C$21,MATCH(C179,'Design Basis'!$A$13:$A$21,0))),""))</f>
        <v/>
      </c>
      <c r="AE179" s="32" t="str">
        <f aca="false">IF(W179="","n/a",IF(AA179="","CHECK",IF(AND(AB179&lt;=1,OR(AC179="",AD179="",AC179&lt;=AD179)),"OK","CHECK")))</f>
        <v>n/a</v>
      </c>
      <c r="AF179" s="28" t="n">
        <f aca="false">IF(AR179="","",K179*AQ179*PI()/4*AR179^2)</f>
        <v>1413.71669411541</v>
      </c>
      <c r="AG179" s="32"/>
      <c r="AI179" s="33" t="n">
        <f aca="false">INDEX(Equipment!$D$2:$D$153,MATCH(E179,Equipment!$A$2:$A$153,0))</f>
        <v>72</v>
      </c>
      <c r="AJ179" s="33" t="n">
        <f aca="false">INDEX(Equipment!$E$2:$E$153,MATCH(E179,Equipment!$A$2:$A$153,0))</f>
        <v>2</v>
      </c>
      <c r="AK179" s="33" t="n">
        <f aca="false">INDEX(Equipment!$F$2:$F$153,MATCH(E179,Equipment!$A$2:$A$153,0))</f>
        <v>6</v>
      </c>
      <c r="AL179" s="33" t="n">
        <f aca="false">INDEX(Equipment!$D$2:$D$153,MATCH(G179,Equipment!$A$2:$A$153,0))</f>
        <v>46</v>
      </c>
      <c r="AM179" s="33" t="n">
        <f aca="false">INDEX(Equipment!$E$2:$E$153,MATCH(G179,Equipment!$A$2:$A$153,0))</f>
        <v>-6</v>
      </c>
      <c r="AN179" s="33" t="n">
        <f aca="false">INDEX(Equipment!$F$2:$F$153,MATCH(G179,Equipment!$A$2:$A$153,0))</f>
        <v>0.5</v>
      </c>
      <c r="AO179" s="33" t="n">
        <f aca="false">IF(INDEX(Raceways!$D$2:$D$18,MATCH(L179,Raceways!$A$2:$A$18,0))="",0,INDEX(Raceways!$D$2:$D$18,MATCH(L179,Raceways!$A$2:$A$18,0)))</f>
        <v>5</v>
      </c>
      <c r="AP179" s="34" t="n">
        <f aca="false">IF(INDEX(Raceways!$I$2:$I$18,MATCH(L179,Raceways!$A$2:$A$18,0))="","",INDEX(Raceways!$I$2:$I$18,MATCH(L179,Raceways!$A$2:$A$18,0)))</f>
        <v>0.88</v>
      </c>
      <c r="AQ179" s="27" t="n">
        <f aca="false">INDEX('Cable Types'!$D$2:$D$45,MATCH(I179,'Cable Types'!$A$2:$A$45,0))</f>
        <v>1</v>
      </c>
      <c r="AR179" s="27" t="n">
        <f aca="false">IF(INDEX('Cable Types'!$E$2:$E$45,MATCH(I179,'Cable Types'!$A$2:$A$45,0))="","",INDEX('Cable Types'!$E$2:$E$45,MATCH(I179,'Cable Types'!$A$2:$A$45,0)))</f>
        <v>30</v>
      </c>
      <c r="AS179" s="27" t="str">
        <f aca="false">IF(INDEX('Cable Types'!$F$2:$F$45,MATCH(I179,'Cable Types'!$A$2:$A$45,0))="","",INDEX('Cable Types'!$F$2:$F$45,MATCH(I179,'Cable Types'!$A$2:$A$45,0)))</f>
        <v/>
      </c>
      <c r="AT179" s="35" t="str">
        <f aca="false">IF(INDEX('Cable Types'!$G$2:$G$45,MATCH(I179,'Cable Types'!$A$2:$A$45,0))="","",INDEX('Cable Types'!$G$2:$G$45,MATCH(I179,'Cable Types'!$A$2:$A$45,0)))</f>
        <v/>
      </c>
    </row>
    <row r="180" customFormat="false" ht="15" hidden="false" customHeight="false" outlineLevel="0" collapsed="false">
      <c r="A180" s="26" t="s">
        <v>1074</v>
      </c>
      <c r="B180" s="26" t="s">
        <v>139</v>
      </c>
      <c r="C180" s="26" t="s">
        <v>83</v>
      </c>
      <c r="D180" s="26" t="s">
        <v>1075</v>
      </c>
      <c r="E180" s="26" t="s">
        <v>201</v>
      </c>
      <c r="F180" s="27" t="str">
        <f aca="false">INDEX(Equipment!$B$2:$B$153,MATCH(E180,Equipment!$A$2:$A$153,0))</f>
        <v>HRSG drum platform instrument junction box</v>
      </c>
      <c r="G180" s="26" t="s">
        <v>229</v>
      </c>
      <c r="H180" s="27" t="str">
        <f aca="false">INDEX(Equipment!$B$2:$B$153,MATCH(G180,Equipment!$A$2:$A$153,0))</f>
        <v>DCS remote I/O cabinet - power block</v>
      </c>
      <c r="I180" s="26" t="s">
        <v>613</v>
      </c>
      <c r="J180" s="27" t="str">
        <f aca="false">INDEX('Cable Types'!$B$2:$B$45,MATCH(I180,'Cable Types'!$A$2:$A$45,0))</f>
        <v>300 V 24 TSP #18 AWG indiv. + overall shield, PLTC/ITC-HL, CCW armor</v>
      </c>
      <c r="K180" s="26" t="n">
        <v>2</v>
      </c>
      <c r="L180" s="26" t="s">
        <v>730</v>
      </c>
      <c r="M180" s="26" t="s">
        <v>703</v>
      </c>
      <c r="N180" s="26"/>
      <c r="O180" s="28" t="n">
        <f aca="false">IF(N180&lt;&gt;"",N180,IF(M180="D",ROUNDUP(SQRT((AL180-AI180)^2+(AM180-AJ180)^2+(AN180-AK180)^2)*(1+'Design Basis'!$C$6),0),ROUNDUP((ABS(AL180-AI180)+ABS(AM180-AJ180)+ABS(AO180-AK180)+ABS(AO180-AN180))*(1+'Design Basis'!$C$4)+2*'Design Basis'!$C$5,0)))</f>
        <v>102</v>
      </c>
      <c r="P180" s="28" t="n">
        <f aca="false">ROUND(O180*'Design Basis'!$C$10,0)</f>
        <v>335</v>
      </c>
      <c r="Q180" s="28" t="n">
        <f aca="false">O180*K180*AQ180</f>
        <v>204</v>
      </c>
      <c r="R180" s="28" t="n">
        <f aca="false">ROUND(Q180*'Design Basis'!$C$10,0)</f>
        <v>669</v>
      </c>
      <c r="S180" s="29"/>
      <c r="T180" s="26"/>
      <c r="U180" s="29"/>
      <c r="V180" s="30"/>
      <c r="W180" s="28" t="str">
        <f aca="false">IF(OR(U180="",S180=""),"",IF(T180=3,U180*1000/(SQRT(3)*S180*V180),U180*1000/(S180*V180)))</f>
        <v/>
      </c>
      <c r="X180" s="30"/>
      <c r="Y180" s="28" t="str">
        <f aca="false">IF(W180="","",W180*IF(X180="",1,X180))</f>
        <v/>
      </c>
      <c r="Z180" s="28" t="str">
        <f aca="false">IF(OR(AS180="",AP180=""),"",AS180*AP180)</f>
        <v/>
      </c>
      <c r="AA180" s="28" t="str">
        <f aca="false">IF(Z180="","",Z180*K180)</f>
        <v/>
      </c>
      <c r="AB180" s="31" t="str">
        <f aca="false">IF(OR(Y180="",AA180=""),"",Y180/AA180)</f>
        <v/>
      </c>
      <c r="AC180" s="31" t="str">
        <f aca="false">IF(OR(W180="",AT180=""),"",AT180*(W180/K180)*O180/1000/S180)</f>
        <v/>
      </c>
      <c r="AD180" s="31" t="str">
        <f aca="false">IF(W180="","",IFERROR(IF(INDEX('Design Basis'!$C$13:$C$21,MATCH(C180,'Design Basis'!$A$13:$A$21,0))="","",INDEX('Design Basis'!$C$13:$C$21,MATCH(C180,'Design Basis'!$A$13:$A$21,0))),""))</f>
        <v/>
      </c>
      <c r="AE180" s="32" t="str">
        <f aca="false">IF(W180="","n/a",IF(AA180="","CHECK",IF(AND(AB180&lt;=1,OR(AC180="",AD180="",AC180&lt;=AD180)),"OK","CHECK")))</f>
        <v>n/a</v>
      </c>
      <c r="AF180" s="28" t="n">
        <f aca="false">IF(AR180="","",K180*AQ180*PI()/4*AR180^2)</f>
        <v>2268.22989589183</v>
      </c>
      <c r="AG180" s="32"/>
      <c r="AI180" s="33" t="n">
        <f aca="false">INDEX(Equipment!$D$2:$D$153,MATCH(E180,Equipment!$A$2:$A$153,0))</f>
        <v>97</v>
      </c>
      <c r="AJ180" s="33" t="n">
        <f aca="false">INDEX(Equipment!$E$2:$E$153,MATCH(E180,Equipment!$A$2:$A$153,0))</f>
        <v>-6</v>
      </c>
      <c r="AK180" s="33" t="n">
        <f aca="false">INDEX(Equipment!$F$2:$F$153,MATCH(E180,Equipment!$A$2:$A$153,0))</f>
        <v>30</v>
      </c>
      <c r="AL180" s="33" t="n">
        <f aca="false">INDEX(Equipment!$D$2:$D$153,MATCH(G180,Equipment!$A$2:$A$153,0))</f>
        <v>68</v>
      </c>
      <c r="AM180" s="33" t="n">
        <f aca="false">INDEX(Equipment!$E$2:$E$153,MATCH(G180,Equipment!$A$2:$A$153,0))</f>
        <v>22</v>
      </c>
      <c r="AN180" s="33" t="n">
        <f aca="false">INDEX(Equipment!$F$2:$F$153,MATCH(G180,Equipment!$A$2:$A$153,0))</f>
        <v>0.5</v>
      </c>
      <c r="AO180" s="33" t="n">
        <f aca="false">IF(INDEX(Raceways!$D$2:$D$18,MATCH(L180,Raceways!$A$2:$A$18,0))="",0,INDEX(Raceways!$D$2:$D$18,MATCH(L180,Raceways!$A$2:$A$18,0)))</f>
        <v>5</v>
      </c>
      <c r="AP180" s="34" t="n">
        <f aca="false">IF(INDEX(Raceways!$I$2:$I$18,MATCH(L180,Raceways!$A$2:$A$18,0))="","",INDEX(Raceways!$I$2:$I$18,MATCH(L180,Raceways!$A$2:$A$18,0)))</f>
        <v>0.88</v>
      </c>
      <c r="AQ180" s="27" t="n">
        <f aca="false">INDEX('Cable Types'!$D$2:$D$45,MATCH(I180,'Cable Types'!$A$2:$A$45,0))</f>
        <v>1</v>
      </c>
      <c r="AR180" s="27" t="n">
        <f aca="false">IF(INDEX('Cable Types'!$E$2:$E$45,MATCH(I180,'Cable Types'!$A$2:$A$45,0))="","",INDEX('Cable Types'!$E$2:$E$45,MATCH(I180,'Cable Types'!$A$2:$A$45,0)))</f>
        <v>38</v>
      </c>
      <c r="AS180" s="27" t="str">
        <f aca="false">IF(INDEX('Cable Types'!$F$2:$F$45,MATCH(I180,'Cable Types'!$A$2:$A$45,0))="","",INDEX('Cable Types'!$F$2:$F$45,MATCH(I180,'Cable Types'!$A$2:$A$45,0)))</f>
        <v/>
      </c>
      <c r="AT180" s="35" t="str">
        <f aca="false">IF(INDEX('Cable Types'!$G$2:$G$45,MATCH(I180,'Cable Types'!$A$2:$A$45,0))="","",INDEX('Cable Types'!$G$2:$G$45,MATCH(I180,'Cable Types'!$A$2:$A$45,0)))</f>
        <v/>
      </c>
    </row>
    <row r="181" customFormat="false" ht="15" hidden="false" customHeight="false" outlineLevel="0" collapsed="false">
      <c r="A181" s="26" t="s">
        <v>1076</v>
      </c>
      <c r="B181" s="26" t="s">
        <v>139</v>
      </c>
      <c r="C181" s="26" t="s">
        <v>83</v>
      </c>
      <c r="D181" s="26" t="s">
        <v>1077</v>
      </c>
      <c r="E181" s="26" t="s">
        <v>207</v>
      </c>
      <c r="F181" s="27" t="str">
        <f aca="false">INDEX(Equipment!$B$2:$B$153,MATCH(E181,Equipment!$A$2:$A$153,0))</f>
        <v>CEMS probe at stack sample port</v>
      </c>
      <c r="G181" s="26" t="s">
        <v>210</v>
      </c>
      <c r="H181" s="27" t="str">
        <f aca="false">INDEX(Equipment!$B$2:$B$153,MATCH(G181,Equipment!$A$2:$A$153,0))</f>
        <v>CEMS analyser shelter</v>
      </c>
      <c r="I181" s="26" t="s">
        <v>609</v>
      </c>
      <c r="J181" s="27" t="str">
        <f aca="false">INDEX('Cable Types'!$B$2:$B$45,MATCH(I181,'Cable Types'!$A$2:$A$45,0))</f>
        <v>300 V 2 TSP #16 AWG, PLTC/ITC-HL, CCW armor, PVC jkt (IS blue)</v>
      </c>
      <c r="K181" s="26" t="n">
        <v>1</v>
      </c>
      <c r="L181" s="26" t="s">
        <v>714</v>
      </c>
      <c r="M181" s="26" t="s">
        <v>703</v>
      </c>
      <c r="N181" s="26"/>
      <c r="O181" s="28" t="n">
        <f aca="false">IF(N181&lt;&gt;"",N181,IF(M181="D",ROUNDUP(SQRT((AL181-AI181)^2+(AM181-AJ181)^2+(AN181-AK181)^2)*(1+'Design Basis'!$C$6),0),ROUNDUP((ABS(AL181-AI181)+ABS(AM181-AJ181)+ABS(AO181-AK181)+ABS(AO181-AN181))*(1+'Design Basis'!$C$4)+2*'Design Basis'!$C$5,0)))</f>
        <v>64</v>
      </c>
      <c r="P181" s="28" t="n">
        <f aca="false">ROUND(O181*'Design Basis'!$C$10,0)</f>
        <v>210</v>
      </c>
      <c r="Q181" s="28" t="n">
        <f aca="false">O181*K181*AQ181</f>
        <v>64</v>
      </c>
      <c r="R181" s="28" t="n">
        <f aca="false">ROUND(Q181*'Design Basis'!$C$10,0)</f>
        <v>210</v>
      </c>
      <c r="S181" s="29"/>
      <c r="T181" s="26"/>
      <c r="U181" s="29"/>
      <c r="V181" s="30"/>
      <c r="W181" s="28" t="str">
        <f aca="false">IF(OR(U181="",S181=""),"",IF(T181=3,U181*1000/(SQRT(3)*S181*V181),U181*1000/(S181*V181)))</f>
        <v/>
      </c>
      <c r="X181" s="30"/>
      <c r="Y181" s="28" t="str">
        <f aca="false">IF(W181="","",W181*IF(X181="",1,X181))</f>
        <v/>
      </c>
      <c r="Z181" s="28" t="str">
        <f aca="false">IF(OR(AS181="",AP181=""),"",AS181*AP181)</f>
        <v/>
      </c>
      <c r="AA181" s="28" t="str">
        <f aca="false">IF(Z181="","",Z181*K181)</f>
        <v/>
      </c>
      <c r="AB181" s="31" t="str">
        <f aca="false">IF(OR(Y181="",AA181=""),"",Y181/AA181)</f>
        <v/>
      </c>
      <c r="AC181" s="31" t="str">
        <f aca="false">IF(OR(W181="",AT181=""),"",AT181*(W181/K181)*O181/1000/S181)</f>
        <v/>
      </c>
      <c r="AD181" s="31" t="str">
        <f aca="false">IF(W181="","",IFERROR(IF(INDEX('Design Basis'!$C$13:$C$21,MATCH(C181,'Design Basis'!$A$13:$A$21,0))="","",INDEX('Design Basis'!$C$13:$C$21,MATCH(C181,'Design Basis'!$A$13:$A$21,0))),""))</f>
        <v/>
      </c>
      <c r="AE181" s="32" t="str">
        <f aca="false">IF(W181="","n/a",IF(AA181="","CHECK",IF(AND(AB181&lt;=1,OR(AC181="",AD181="",AC181&lt;=AD181)),"OK","CHECK")))</f>
        <v>n/a</v>
      </c>
      <c r="AF181" s="28" t="n">
        <f aca="false">IF(AR181="","",K181*AQ181*PI()/4*AR181^2)</f>
        <v>201.061929829747</v>
      </c>
      <c r="AG181" s="32" t="s">
        <v>1078</v>
      </c>
      <c r="AI181" s="33" t="n">
        <f aca="false">INDEX(Equipment!$D$2:$D$153,MATCH(E181,Equipment!$A$2:$A$153,0))</f>
        <v>117</v>
      </c>
      <c r="AJ181" s="33" t="n">
        <f aca="false">INDEX(Equipment!$E$2:$E$153,MATCH(E181,Equipment!$A$2:$A$153,0))</f>
        <v>-0.5</v>
      </c>
      <c r="AK181" s="33" t="n">
        <f aca="false">INDEX(Equipment!$F$2:$F$153,MATCH(E181,Equipment!$A$2:$A$153,0))</f>
        <v>40</v>
      </c>
      <c r="AL181" s="33" t="n">
        <f aca="false">INDEX(Equipment!$D$2:$D$153,MATCH(G181,Equipment!$A$2:$A$153,0))</f>
        <v>122</v>
      </c>
      <c r="AM181" s="33" t="n">
        <f aca="false">INDEX(Equipment!$E$2:$E$153,MATCH(G181,Equipment!$A$2:$A$153,0))</f>
        <v>-8</v>
      </c>
      <c r="AN181" s="33" t="n">
        <f aca="false">INDEX(Equipment!$F$2:$F$153,MATCH(G181,Equipment!$A$2:$A$153,0))</f>
        <v>0.5</v>
      </c>
      <c r="AO181" s="33" t="n">
        <f aca="false">IF(INDEX(Raceways!$D$2:$D$18,MATCH(L181,Raceways!$A$2:$A$18,0))="",0,INDEX(Raceways!$D$2:$D$18,MATCH(L181,Raceways!$A$2:$A$18,0)))</f>
        <v>1</v>
      </c>
      <c r="AP181" s="34" t="n">
        <f aca="false">IF(INDEX(Raceways!$I$2:$I$18,MATCH(L181,Raceways!$A$2:$A$18,0))="","",INDEX(Raceways!$I$2:$I$18,MATCH(L181,Raceways!$A$2:$A$18,0)))</f>
        <v>0.88</v>
      </c>
      <c r="AQ181" s="27" t="n">
        <f aca="false">INDEX('Cable Types'!$D$2:$D$45,MATCH(I181,'Cable Types'!$A$2:$A$45,0))</f>
        <v>1</v>
      </c>
      <c r="AR181" s="27" t="n">
        <f aca="false">IF(INDEX('Cable Types'!$E$2:$E$45,MATCH(I181,'Cable Types'!$A$2:$A$45,0))="","",INDEX('Cable Types'!$E$2:$E$45,MATCH(I181,'Cable Types'!$A$2:$A$45,0)))</f>
        <v>16</v>
      </c>
      <c r="AS181" s="27" t="str">
        <f aca="false">IF(INDEX('Cable Types'!$F$2:$F$45,MATCH(I181,'Cable Types'!$A$2:$A$45,0))="","",INDEX('Cable Types'!$F$2:$F$45,MATCH(I181,'Cable Types'!$A$2:$A$45,0)))</f>
        <v/>
      </c>
      <c r="AT181" s="35" t="str">
        <f aca="false">IF(INDEX('Cable Types'!$G$2:$G$45,MATCH(I181,'Cable Types'!$A$2:$A$45,0))="","",INDEX('Cable Types'!$G$2:$G$45,MATCH(I181,'Cable Types'!$A$2:$A$45,0)))</f>
        <v/>
      </c>
    </row>
    <row r="182" customFormat="false" ht="15" hidden="false" customHeight="false" outlineLevel="0" collapsed="false">
      <c r="A182" s="26" t="s">
        <v>1079</v>
      </c>
      <c r="B182" s="26" t="s">
        <v>236</v>
      </c>
      <c r="C182" s="26" t="s">
        <v>83</v>
      </c>
      <c r="D182" s="26" t="s">
        <v>1080</v>
      </c>
      <c r="E182" s="26" t="s">
        <v>241</v>
      </c>
      <c r="F182" s="27" t="str">
        <f aca="false">INDEX(Equipment!$B$2:$B$153,MATCH(E182,Equipment!$A$2:$A$153,0))</f>
        <v>ACC instrument junction box</v>
      </c>
      <c r="G182" s="26" t="s">
        <v>229</v>
      </c>
      <c r="H182" s="27" t="str">
        <f aca="false">INDEX(Equipment!$B$2:$B$153,MATCH(G182,Equipment!$A$2:$A$153,0))</f>
        <v>DCS remote I/O cabinet - power block</v>
      </c>
      <c r="I182" s="26" t="s">
        <v>613</v>
      </c>
      <c r="J182" s="27" t="str">
        <f aca="false">INDEX('Cable Types'!$B$2:$B$45,MATCH(I182,'Cable Types'!$A$2:$A$45,0))</f>
        <v>300 V 24 TSP #18 AWG indiv. + overall shield, PLTC/ITC-HL, CCW armor</v>
      </c>
      <c r="K182" s="26" t="n">
        <v>1</v>
      </c>
      <c r="L182" s="26" t="s">
        <v>724</v>
      </c>
      <c r="M182" s="26" t="s">
        <v>703</v>
      </c>
      <c r="N182" s="26"/>
      <c r="O182" s="28" t="n">
        <f aca="false">IF(N182&lt;&gt;"",N182,IF(M182="D",ROUNDUP(SQRT((AL182-AI182)^2+(AM182-AJ182)^2+(AN182-AK182)^2)*(1+'Design Basis'!$C$6),0),ROUNDUP((ABS(AL182-AI182)+ABS(AM182-AJ182)+ABS(AO182-AK182)+ABS(AO182-AN182))*(1+'Design Basis'!$C$4)+2*'Design Basis'!$C$5,0)))</f>
        <v>107</v>
      </c>
      <c r="P182" s="28" t="n">
        <f aca="false">ROUND(O182*'Design Basis'!$C$10,0)</f>
        <v>351</v>
      </c>
      <c r="Q182" s="28" t="n">
        <f aca="false">O182*K182*AQ182</f>
        <v>107</v>
      </c>
      <c r="R182" s="28" t="n">
        <f aca="false">ROUND(Q182*'Design Basis'!$C$10,0)</f>
        <v>351</v>
      </c>
      <c r="S182" s="29"/>
      <c r="T182" s="26"/>
      <c r="U182" s="29"/>
      <c r="V182" s="30"/>
      <c r="W182" s="28" t="str">
        <f aca="false">IF(OR(U182="",S182=""),"",IF(T182=3,U182*1000/(SQRT(3)*S182*V182),U182*1000/(S182*V182)))</f>
        <v/>
      </c>
      <c r="X182" s="30"/>
      <c r="Y182" s="28" t="str">
        <f aca="false">IF(W182="","",W182*IF(X182="",1,X182))</f>
        <v/>
      </c>
      <c r="Z182" s="28" t="str">
        <f aca="false">IF(OR(AS182="",AP182=""),"",AS182*AP182)</f>
        <v/>
      </c>
      <c r="AA182" s="28" t="str">
        <f aca="false">IF(Z182="","",Z182*K182)</f>
        <v/>
      </c>
      <c r="AB182" s="31" t="str">
        <f aca="false">IF(OR(Y182="",AA182=""),"",Y182/AA182)</f>
        <v/>
      </c>
      <c r="AC182" s="31" t="str">
        <f aca="false">IF(OR(W182="",AT182=""),"",AT182*(W182/K182)*O182/1000/S182)</f>
        <v/>
      </c>
      <c r="AD182" s="31" t="str">
        <f aca="false">IF(W182="","",IFERROR(IF(INDEX('Design Basis'!$C$13:$C$21,MATCH(C182,'Design Basis'!$A$13:$A$21,0))="","",INDEX('Design Basis'!$C$13:$C$21,MATCH(C182,'Design Basis'!$A$13:$A$21,0))),""))</f>
        <v/>
      </c>
      <c r="AE182" s="32" t="str">
        <f aca="false">IF(W182="","n/a",IF(AA182="","CHECK",IF(AND(AB182&lt;=1,OR(AC182="",AD182="",AC182&lt;=AD182)),"OK","CHECK")))</f>
        <v>n/a</v>
      </c>
      <c r="AF182" s="28" t="n">
        <f aca="false">IF(AR182="","",K182*AQ182*PI()/4*AR182^2)</f>
        <v>1134.11494794592</v>
      </c>
      <c r="AG182" s="32"/>
      <c r="AI182" s="33" t="n">
        <f aca="false">INDEX(Equipment!$D$2:$D$153,MATCH(E182,Equipment!$A$2:$A$153,0))</f>
        <v>142</v>
      </c>
      <c r="AJ182" s="33" t="n">
        <f aca="false">INDEX(Equipment!$E$2:$E$153,MATCH(E182,Equipment!$A$2:$A$153,0))</f>
        <v>30</v>
      </c>
      <c r="AK182" s="33" t="n">
        <f aca="false">INDEX(Equipment!$F$2:$F$153,MATCH(E182,Equipment!$A$2:$A$153,0))</f>
        <v>0.5</v>
      </c>
      <c r="AL182" s="33" t="n">
        <f aca="false">INDEX(Equipment!$D$2:$D$153,MATCH(G182,Equipment!$A$2:$A$153,0))</f>
        <v>68</v>
      </c>
      <c r="AM182" s="33" t="n">
        <f aca="false">INDEX(Equipment!$E$2:$E$153,MATCH(G182,Equipment!$A$2:$A$153,0))</f>
        <v>22</v>
      </c>
      <c r="AN182" s="33" t="n">
        <f aca="false">INDEX(Equipment!$F$2:$F$153,MATCH(G182,Equipment!$A$2:$A$153,0))</f>
        <v>0.5</v>
      </c>
      <c r="AO182" s="33" t="n">
        <f aca="false">IF(INDEX(Raceways!$D$2:$D$18,MATCH(L182,Raceways!$A$2:$A$18,0))="",0,INDEX(Raceways!$D$2:$D$18,MATCH(L182,Raceways!$A$2:$A$18,0)))</f>
        <v>5</v>
      </c>
      <c r="AP182" s="34" t="n">
        <f aca="false">IF(INDEX(Raceways!$I$2:$I$18,MATCH(L182,Raceways!$A$2:$A$18,0))="","",INDEX(Raceways!$I$2:$I$18,MATCH(L182,Raceways!$A$2:$A$18,0)))</f>
        <v>0.88</v>
      </c>
      <c r="AQ182" s="27" t="n">
        <f aca="false">INDEX('Cable Types'!$D$2:$D$45,MATCH(I182,'Cable Types'!$A$2:$A$45,0))</f>
        <v>1</v>
      </c>
      <c r="AR182" s="27" t="n">
        <f aca="false">IF(INDEX('Cable Types'!$E$2:$E$45,MATCH(I182,'Cable Types'!$A$2:$A$45,0))="","",INDEX('Cable Types'!$E$2:$E$45,MATCH(I182,'Cable Types'!$A$2:$A$45,0)))</f>
        <v>38</v>
      </c>
      <c r="AS182" s="27" t="str">
        <f aca="false">IF(INDEX('Cable Types'!$F$2:$F$45,MATCH(I182,'Cable Types'!$A$2:$A$45,0))="","",INDEX('Cable Types'!$F$2:$F$45,MATCH(I182,'Cable Types'!$A$2:$A$45,0)))</f>
        <v/>
      </c>
      <c r="AT182" s="35" t="str">
        <f aca="false">IF(INDEX('Cable Types'!$G$2:$G$45,MATCH(I182,'Cable Types'!$A$2:$A$45,0))="","",INDEX('Cable Types'!$G$2:$G$45,MATCH(I182,'Cable Types'!$A$2:$A$45,0)))</f>
        <v/>
      </c>
    </row>
    <row r="183" customFormat="false" ht="15" hidden="false" customHeight="false" outlineLevel="0" collapsed="false">
      <c r="A183" s="26" t="s">
        <v>1081</v>
      </c>
      <c r="B183" s="26" t="s">
        <v>336</v>
      </c>
      <c r="C183" s="26" t="s">
        <v>83</v>
      </c>
      <c r="D183" s="26" t="s">
        <v>1082</v>
      </c>
      <c r="E183" s="26" t="s">
        <v>384</v>
      </c>
      <c r="F183" s="27" t="str">
        <f aca="false">INDEX(Equipment!$B$2:$B$153,MATCH(E183,Equipment!$A$2:$A$153,0))</f>
        <v>Absorber instrument junction box (mid-height)</v>
      </c>
      <c r="G183" s="26" t="s">
        <v>343</v>
      </c>
      <c r="H183" s="27" t="str">
        <f aca="false">INDEX(Equipment!$B$2:$B$153,MATCH(G183,Equipment!$A$2:$A$153,0))</f>
        <v>DCS remote I/O cabinet - CCS</v>
      </c>
      <c r="I183" s="26" t="s">
        <v>613</v>
      </c>
      <c r="J183" s="27" t="str">
        <f aca="false">INDEX('Cable Types'!$B$2:$B$45,MATCH(I183,'Cable Types'!$A$2:$A$45,0))</f>
        <v>300 V 24 TSP #18 AWG indiv. + overall shield, PLTC/ITC-HL, CCW armor</v>
      </c>
      <c r="K183" s="26" t="n">
        <v>2</v>
      </c>
      <c r="L183" s="26" t="s">
        <v>759</v>
      </c>
      <c r="M183" s="26" t="s">
        <v>703</v>
      </c>
      <c r="N183" s="26"/>
      <c r="O183" s="28" t="n">
        <f aca="false">IF(N183&lt;&gt;"",N183,IF(M183="D",ROUNDUP(SQRT((AL183-AI183)^2+(AM183-AJ183)^2+(AN183-AK183)^2)*(1+'Design Basis'!$C$6),0),ROUNDUP((ABS(AL183-AI183)+ABS(AM183-AJ183)+ABS(AO183-AK183)+ABS(AO183-AN183))*(1+'Design Basis'!$C$4)+2*'Design Basis'!$C$5,0)))</f>
        <v>110</v>
      </c>
      <c r="P183" s="28" t="n">
        <f aca="false">ROUND(O183*'Design Basis'!$C$10,0)</f>
        <v>361</v>
      </c>
      <c r="Q183" s="28" t="n">
        <f aca="false">O183*K183*AQ183</f>
        <v>220</v>
      </c>
      <c r="R183" s="28" t="n">
        <f aca="false">ROUND(Q183*'Design Basis'!$C$10,0)</f>
        <v>722</v>
      </c>
      <c r="S183" s="29"/>
      <c r="T183" s="26"/>
      <c r="U183" s="29"/>
      <c r="V183" s="30"/>
      <c r="W183" s="28" t="str">
        <f aca="false">IF(OR(U183="",S183=""),"",IF(T183=3,U183*1000/(SQRT(3)*S183*V183),U183*1000/(S183*V183)))</f>
        <v/>
      </c>
      <c r="X183" s="30"/>
      <c r="Y183" s="28" t="str">
        <f aca="false">IF(W183="","",W183*IF(X183="",1,X183))</f>
        <v/>
      </c>
      <c r="Z183" s="28" t="str">
        <f aca="false">IF(OR(AS183="",AP183=""),"",AS183*AP183)</f>
        <v/>
      </c>
      <c r="AA183" s="28" t="str">
        <f aca="false">IF(Z183="","",Z183*K183)</f>
        <v/>
      </c>
      <c r="AB183" s="31" t="str">
        <f aca="false">IF(OR(Y183="",AA183=""),"",Y183/AA183)</f>
        <v/>
      </c>
      <c r="AC183" s="31" t="str">
        <f aca="false">IF(OR(W183="",AT183=""),"",AT183*(W183/K183)*O183/1000/S183)</f>
        <v/>
      </c>
      <c r="AD183" s="31" t="str">
        <f aca="false">IF(W183="","",IFERROR(IF(INDEX('Design Basis'!$C$13:$C$21,MATCH(C183,'Design Basis'!$A$13:$A$21,0))="","",INDEX('Design Basis'!$C$13:$C$21,MATCH(C183,'Design Basis'!$A$13:$A$21,0))),""))</f>
        <v/>
      </c>
      <c r="AE183" s="32" t="str">
        <f aca="false">IF(W183="","n/a",IF(AA183="","CHECK",IF(AND(AB183&lt;=1,OR(AC183="",AD183="",AC183&lt;=AD183)),"OK","CHECK")))</f>
        <v>n/a</v>
      </c>
      <c r="AF183" s="28" t="n">
        <f aca="false">IF(AR183="","",K183*AQ183*PI()/4*AR183^2)</f>
        <v>2268.22989589183</v>
      </c>
      <c r="AG183" s="32"/>
      <c r="AI183" s="33" t="n">
        <f aca="false">INDEX(Equipment!$D$2:$D$153,MATCH(E183,Equipment!$A$2:$A$153,0))</f>
        <v>170</v>
      </c>
      <c r="AJ183" s="33" t="n">
        <f aca="false">INDEX(Equipment!$E$2:$E$153,MATCH(E183,Equipment!$A$2:$A$153,0))</f>
        <v>-2.5</v>
      </c>
      <c r="AK183" s="33" t="n">
        <f aca="false">INDEX(Equipment!$F$2:$F$153,MATCH(E183,Equipment!$A$2:$A$153,0))</f>
        <v>30</v>
      </c>
      <c r="AL183" s="33" t="n">
        <f aca="false">INDEX(Equipment!$D$2:$D$153,MATCH(G183,Equipment!$A$2:$A$153,0))</f>
        <v>174</v>
      </c>
      <c r="AM183" s="33" t="n">
        <f aca="false">INDEX(Equipment!$E$2:$E$153,MATCH(G183,Equipment!$A$2:$A$153,0))</f>
        <v>58</v>
      </c>
      <c r="AN183" s="33" t="n">
        <f aca="false">INDEX(Equipment!$F$2:$F$153,MATCH(G183,Equipment!$A$2:$A$153,0))</f>
        <v>0.5</v>
      </c>
      <c r="AO183" s="33" t="n">
        <f aca="false">IF(INDEX(Raceways!$D$2:$D$18,MATCH(L183,Raceways!$A$2:$A$18,0))="",0,INDEX(Raceways!$D$2:$D$18,MATCH(L183,Raceways!$A$2:$A$18,0)))</f>
        <v>6</v>
      </c>
      <c r="AP183" s="34" t="n">
        <f aca="false">IF(INDEX(Raceways!$I$2:$I$18,MATCH(L183,Raceways!$A$2:$A$18,0))="","",INDEX(Raceways!$I$2:$I$18,MATCH(L183,Raceways!$A$2:$A$18,0)))</f>
        <v>0.88</v>
      </c>
      <c r="AQ183" s="27" t="n">
        <f aca="false">INDEX('Cable Types'!$D$2:$D$45,MATCH(I183,'Cable Types'!$A$2:$A$45,0))</f>
        <v>1</v>
      </c>
      <c r="AR183" s="27" t="n">
        <f aca="false">IF(INDEX('Cable Types'!$E$2:$E$45,MATCH(I183,'Cable Types'!$A$2:$A$45,0))="","",INDEX('Cable Types'!$E$2:$E$45,MATCH(I183,'Cable Types'!$A$2:$A$45,0)))</f>
        <v>38</v>
      </c>
      <c r="AS183" s="27" t="str">
        <f aca="false">IF(INDEX('Cable Types'!$F$2:$F$45,MATCH(I183,'Cable Types'!$A$2:$A$45,0))="","",INDEX('Cable Types'!$F$2:$F$45,MATCH(I183,'Cable Types'!$A$2:$A$45,0)))</f>
        <v/>
      </c>
      <c r="AT183" s="35" t="str">
        <f aca="false">IF(INDEX('Cable Types'!$G$2:$G$45,MATCH(I183,'Cable Types'!$A$2:$A$45,0))="","",INDEX('Cable Types'!$G$2:$G$45,MATCH(I183,'Cable Types'!$A$2:$A$45,0)))</f>
        <v/>
      </c>
    </row>
    <row r="184" customFormat="false" ht="15" hidden="false" customHeight="false" outlineLevel="0" collapsed="false">
      <c r="A184" s="26" t="s">
        <v>1083</v>
      </c>
      <c r="B184" s="26" t="s">
        <v>336</v>
      </c>
      <c r="C184" s="26" t="s">
        <v>83</v>
      </c>
      <c r="D184" s="26" t="s">
        <v>1084</v>
      </c>
      <c r="E184" s="26" t="s">
        <v>386</v>
      </c>
      <c r="F184" s="27" t="str">
        <f aca="false">INDEX(Equipment!$B$2:$B$153,MATCH(E184,Equipment!$A$2:$A$153,0))</f>
        <v>Stripper instrument junction box</v>
      </c>
      <c r="G184" s="26" t="s">
        <v>343</v>
      </c>
      <c r="H184" s="27" t="str">
        <f aca="false">INDEX(Equipment!$B$2:$B$153,MATCH(G184,Equipment!$A$2:$A$153,0))</f>
        <v>DCS remote I/O cabinet - CCS</v>
      </c>
      <c r="I184" s="26" t="s">
        <v>613</v>
      </c>
      <c r="J184" s="27" t="str">
        <f aca="false">INDEX('Cable Types'!$B$2:$B$45,MATCH(I184,'Cable Types'!$A$2:$A$45,0))</f>
        <v>300 V 24 TSP #18 AWG indiv. + overall shield, PLTC/ITC-HL, CCW armor</v>
      </c>
      <c r="K184" s="26" t="n">
        <v>1</v>
      </c>
      <c r="L184" s="26" t="s">
        <v>759</v>
      </c>
      <c r="M184" s="26" t="s">
        <v>703</v>
      </c>
      <c r="N184" s="26"/>
      <c r="O184" s="28" t="n">
        <f aca="false">IF(N184&lt;&gt;"",N184,IF(M184="D",ROUNDUP(SQRT((AL184-AI184)^2+(AM184-AJ184)^2+(AN184-AK184)^2)*(1+'Design Basis'!$C$6),0),ROUNDUP((ABS(AL184-AI184)+ABS(AM184-AJ184)+ABS(AO184-AK184)+ABS(AO184-AN184))*(1+'Design Basis'!$C$4)+2*'Design Basis'!$C$5,0)))</f>
        <v>92</v>
      </c>
      <c r="P184" s="28" t="n">
        <f aca="false">ROUND(O184*'Design Basis'!$C$10,0)</f>
        <v>302</v>
      </c>
      <c r="Q184" s="28" t="n">
        <f aca="false">O184*K184*AQ184</f>
        <v>92</v>
      </c>
      <c r="R184" s="28" t="n">
        <f aca="false">ROUND(Q184*'Design Basis'!$C$10,0)</f>
        <v>302</v>
      </c>
      <c r="S184" s="29"/>
      <c r="T184" s="26"/>
      <c r="U184" s="29"/>
      <c r="V184" s="30"/>
      <c r="W184" s="28" t="str">
        <f aca="false">IF(OR(U184="",S184=""),"",IF(T184=3,U184*1000/(SQRT(3)*S184*V184),U184*1000/(S184*V184)))</f>
        <v/>
      </c>
      <c r="X184" s="30"/>
      <c r="Y184" s="28" t="str">
        <f aca="false">IF(W184="","",W184*IF(X184="",1,X184))</f>
        <v/>
      </c>
      <c r="Z184" s="28" t="str">
        <f aca="false">IF(OR(AS184="",AP184=""),"",AS184*AP184)</f>
        <v/>
      </c>
      <c r="AA184" s="28" t="str">
        <f aca="false">IF(Z184="","",Z184*K184)</f>
        <v/>
      </c>
      <c r="AB184" s="31" t="str">
        <f aca="false">IF(OR(Y184="",AA184=""),"",Y184/AA184)</f>
        <v/>
      </c>
      <c r="AC184" s="31" t="str">
        <f aca="false">IF(OR(W184="",AT184=""),"",AT184*(W184/K184)*O184/1000/S184)</f>
        <v/>
      </c>
      <c r="AD184" s="31" t="str">
        <f aca="false">IF(W184="","",IFERROR(IF(INDEX('Design Basis'!$C$13:$C$21,MATCH(C184,'Design Basis'!$A$13:$A$21,0))="","",INDEX('Design Basis'!$C$13:$C$21,MATCH(C184,'Design Basis'!$A$13:$A$21,0))),""))</f>
        <v/>
      </c>
      <c r="AE184" s="32" t="str">
        <f aca="false">IF(W184="","n/a",IF(AA184="","CHECK",IF(AND(AB184&lt;=1,OR(AC184="",AD184="",AC184&lt;=AD184)),"OK","CHECK")))</f>
        <v>n/a</v>
      </c>
      <c r="AF184" s="28" t="n">
        <f aca="false">IF(AR184="","",K184*AQ184*PI()/4*AR184^2)</f>
        <v>1134.11494794592</v>
      </c>
      <c r="AG184" s="32"/>
      <c r="AI184" s="33" t="n">
        <f aca="false">INDEX(Equipment!$D$2:$D$153,MATCH(E184,Equipment!$A$2:$A$153,0))</f>
        <v>190</v>
      </c>
      <c r="AJ184" s="33" t="n">
        <f aca="false">INDEX(Equipment!$E$2:$E$153,MATCH(E184,Equipment!$A$2:$A$153,0))</f>
        <v>15.5</v>
      </c>
      <c r="AK184" s="33" t="n">
        <f aca="false">INDEX(Equipment!$F$2:$F$153,MATCH(E184,Equipment!$A$2:$A$153,0))</f>
        <v>20</v>
      </c>
      <c r="AL184" s="33" t="n">
        <f aca="false">INDEX(Equipment!$D$2:$D$153,MATCH(G184,Equipment!$A$2:$A$153,0))</f>
        <v>174</v>
      </c>
      <c r="AM184" s="33" t="n">
        <f aca="false">INDEX(Equipment!$E$2:$E$153,MATCH(G184,Equipment!$A$2:$A$153,0))</f>
        <v>58</v>
      </c>
      <c r="AN184" s="33" t="n">
        <f aca="false">INDEX(Equipment!$F$2:$F$153,MATCH(G184,Equipment!$A$2:$A$153,0))</f>
        <v>0.5</v>
      </c>
      <c r="AO184" s="33" t="n">
        <f aca="false">IF(INDEX(Raceways!$D$2:$D$18,MATCH(L184,Raceways!$A$2:$A$18,0))="",0,INDEX(Raceways!$D$2:$D$18,MATCH(L184,Raceways!$A$2:$A$18,0)))</f>
        <v>6</v>
      </c>
      <c r="AP184" s="34" t="n">
        <f aca="false">IF(INDEX(Raceways!$I$2:$I$18,MATCH(L184,Raceways!$A$2:$A$18,0))="","",INDEX(Raceways!$I$2:$I$18,MATCH(L184,Raceways!$A$2:$A$18,0)))</f>
        <v>0.88</v>
      </c>
      <c r="AQ184" s="27" t="n">
        <f aca="false">INDEX('Cable Types'!$D$2:$D$45,MATCH(I184,'Cable Types'!$A$2:$A$45,0))</f>
        <v>1</v>
      </c>
      <c r="AR184" s="27" t="n">
        <f aca="false">IF(INDEX('Cable Types'!$E$2:$E$45,MATCH(I184,'Cable Types'!$A$2:$A$45,0))="","",INDEX('Cable Types'!$E$2:$E$45,MATCH(I184,'Cable Types'!$A$2:$A$45,0)))</f>
        <v>38</v>
      </c>
      <c r="AS184" s="27" t="str">
        <f aca="false">IF(INDEX('Cable Types'!$F$2:$F$45,MATCH(I184,'Cable Types'!$A$2:$A$45,0))="","",INDEX('Cable Types'!$F$2:$F$45,MATCH(I184,'Cable Types'!$A$2:$A$45,0)))</f>
        <v/>
      </c>
      <c r="AT184" s="35" t="str">
        <f aca="false">IF(INDEX('Cable Types'!$G$2:$G$45,MATCH(I184,'Cable Types'!$A$2:$A$45,0))="","",INDEX('Cable Types'!$G$2:$G$45,MATCH(I184,'Cable Types'!$A$2:$A$45,0)))</f>
        <v/>
      </c>
    </row>
    <row r="185" customFormat="false" ht="15" hidden="false" customHeight="false" outlineLevel="0" collapsed="false">
      <c r="A185" s="26" t="s">
        <v>1085</v>
      </c>
      <c r="B185" s="26" t="s">
        <v>336</v>
      </c>
      <c r="C185" s="26" t="s">
        <v>83</v>
      </c>
      <c r="D185" s="26" t="s">
        <v>1086</v>
      </c>
      <c r="E185" s="26" t="s">
        <v>381</v>
      </c>
      <c r="F185" s="27" t="str">
        <f aca="false">INDEX(Equipment!$B$2:$B$153,MATCH(E185,Equipment!$A$2:$A$153,0))</f>
        <v>CO2 export fiscal meter skid / flow computer</v>
      </c>
      <c r="G185" s="26" t="s">
        <v>343</v>
      </c>
      <c r="H185" s="27" t="str">
        <f aca="false">INDEX(Equipment!$B$2:$B$153,MATCH(G185,Equipment!$A$2:$A$153,0))</f>
        <v>DCS remote I/O cabinet - CCS</v>
      </c>
      <c r="I185" s="26" t="s">
        <v>617</v>
      </c>
      <c r="J185" s="27" t="str">
        <f aca="false">INDEX('Cable Types'!$B$2:$B$45,MATCH(I185,'Cable Types'!$A$2:$A$45,0))</f>
        <v>300 V 1 TSP #22 AWG 120 ohm RS-485, ITC-HL, CCW armor</v>
      </c>
      <c r="K185" s="26" t="n">
        <v>1</v>
      </c>
      <c r="L185" s="26" t="s">
        <v>759</v>
      </c>
      <c r="M185" s="26" t="s">
        <v>703</v>
      </c>
      <c r="N185" s="26"/>
      <c r="O185" s="28" t="n">
        <f aca="false">IF(N185&lt;&gt;"",N185,IF(M185="D",ROUNDUP(SQRT((AL185-AI185)^2+(AM185-AJ185)^2+(AN185-AK185)^2)*(1+'Design Basis'!$C$6),0),ROUNDUP((ABS(AL185-AI185)+ABS(AM185-AJ185)+ABS(AO185-AK185)+ABS(AO185-AN185))*(1+'Design Basis'!$C$4)+2*'Design Basis'!$C$5,0)))</f>
        <v>114</v>
      </c>
      <c r="P185" s="28" t="n">
        <f aca="false">ROUND(O185*'Design Basis'!$C$10,0)</f>
        <v>374</v>
      </c>
      <c r="Q185" s="28" t="n">
        <f aca="false">O185*K185*AQ185</f>
        <v>114</v>
      </c>
      <c r="R185" s="28" t="n">
        <f aca="false">ROUND(Q185*'Design Basis'!$C$10,0)</f>
        <v>374</v>
      </c>
      <c r="S185" s="29"/>
      <c r="T185" s="26"/>
      <c r="U185" s="29"/>
      <c r="V185" s="30"/>
      <c r="W185" s="28" t="str">
        <f aca="false">IF(OR(U185="",S185=""),"",IF(T185=3,U185*1000/(SQRT(3)*S185*V185),U185*1000/(S185*V185)))</f>
        <v/>
      </c>
      <c r="X185" s="30"/>
      <c r="Y185" s="28" t="str">
        <f aca="false">IF(W185="","",W185*IF(X185="",1,X185))</f>
        <v/>
      </c>
      <c r="Z185" s="28" t="str">
        <f aca="false">IF(OR(AS185="",AP185=""),"",AS185*AP185)</f>
        <v/>
      </c>
      <c r="AA185" s="28" t="str">
        <f aca="false">IF(Z185="","",Z185*K185)</f>
        <v/>
      </c>
      <c r="AB185" s="31" t="str">
        <f aca="false">IF(OR(Y185="",AA185=""),"",Y185/AA185)</f>
        <v/>
      </c>
      <c r="AC185" s="31" t="str">
        <f aca="false">IF(OR(W185="",AT185=""),"",AT185*(W185/K185)*O185/1000/S185)</f>
        <v/>
      </c>
      <c r="AD185" s="31" t="str">
        <f aca="false">IF(W185="","",IFERROR(IF(INDEX('Design Basis'!$C$13:$C$21,MATCH(C185,'Design Basis'!$A$13:$A$21,0))="","",INDEX('Design Basis'!$C$13:$C$21,MATCH(C185,'Design Basis'!$A$13:$A$21,0))),""))</f>
        <v/>
      </c>
      <c r="AE185" s="32" t="str">
        <f aca="false">IF(W185="","n/a",IF(AA185="","CHECK",IF(AND(AB185&lt;=1,OR(AC185="",AD185="",AC185&lt;=AD185)),"OK","CHECK")))</f>
        <v>n/a</v>
      </c>
      <c r="AF185" s="28" t="n">
        <f aca="false">IF(AR185="","",K185*AQ185*PI()/4*AR185^2)</f>
        <v>113.097335529233</v>
      </c>
      <c r="AG185" s="32"/>
      <c r="AI185" s="33" t="n">
        <f aca="false">INDEX(Equipment!$D$2:$D$153,MATCH(E185,Equipment!$A$2:$A$153,0))</f>
        <v>242</v>
      </c>
      <c r="AJ185" s="33" t="n">
        <f aca="false">INDEX(Equipment!$E$2:$E$153,MATCH(E185,Equipment!$A$2:$A$153,0))</f>
        <v>39</v>
      </c>
      <c r="AK185" s="33" t="n">
        <f aca="false">INDEX(Equipment!$F$2:$F$153,MATCH(E185,Equipment!$A$2:$A$153,0))</f>
        <v>1</v>
      </c>
      <c r="AL185" s="33" t="n">
        <f aca="false">INDEX(Equipment!$D$2:$D$153,MATCH(G185,Equipment!$A$2:$A$153,0))</f>
        <v>174</v>
      </c>
      <c r="AM185" s="33" t="n">
        <f aca="false">INDEX(Equipment!$E$2:$E$153,MATCH(G185,Equipment!$A$2:$A$153,0))</f>
        <v>58</v>
      </c>
      <c r="AN185" s="33" t="n">
        <f aca="false">INDEX(Equipment!$F$2:$F$153,MATCH(G185,Equipment!$A$2:$A$153,0))</f>
        <v>0.5</v>
      </c>
      <c r="AO185" s="33" t="n">
        <f aca="false">IF(INDEX(Raceways!$D$2:$D$18,MATCH(L185,Raceways!$A$2:$A$18,0))="",0,INDEX(Raceways!$D$2:$D$18,MATCH(L185,Raceways!$A$2:$A$18,0)))</f>
        <v>6</v>
      </c>
      <c r="AP185" s="34" t="n">
        <f aca="false">IF(INDEX(Raceways!$I$2:$I$18,MATCH(L185,Raceways!$A$2:$A$18,0))="","",INDEX(Raceways!$I$2:$I$18,MATCH(L185,Raceways!$A$2:$A$18,0)))</f>
        <v>0.88</v>
      </c>
      <c r="AQ185" s="27" t="n">
        <f aca="false">INDEX('Cable Types'!$D$2:$D$45,MATCH(I185,'Cable Types'!$A$2:$A$45,0))</f>
        <v>1</v>
      </c>
      <c r="AR185" s="27" t="n">
        <f aca="false">IF(INDEX('Cable Types'!$E$2:$E$45,MATCH(I185,'Cable Types'!$A$2:$A$45,0))="","",INDEX('Cable Types'!$E$2:$E$45,MATCH(I185,'Cable Types'!$A$2:$A$45,0)))</f>
        <v>12</v>
      </c>
      <c r="AS185" s="27" t="str">
        <f aca="false">IF(INDEX('Cable Types'!$F$2:$F$45,MATCH(I185,'Cable Types'!$A$2:$A$45,0))="","",INDEX('Cable Types'!$F$2:$F$45,MATCH(I185,'Cable Types'!$A$2:$A$45,0)))</f>
        <v/>
      </c>
      <c r="AT185" s="35" t="str">
        <f aca="false">IF(INDEX('Cable Types'!$G$2:$G$45,MATCH(I185,'Cable Types'!$A$2:$A$45,0))="","",INDEX('Cable Types'!$G$2:$G$45,MATCH(I185,'Cable Types'!$A$2:$A$45,0)))</f>
        <v/>
      </c>
    </row>
    <row r="186" customFormat="false" ht="15" hidden="false" customHeight="false" outlineLevel="0" collapsed="false">
      <c r="A186" s="26" t="s">
        <v>1087</v>
      </c>
      <c r="B186" s="26" t="s">
        <v>449</v>
      </c>
      <c r="C186" s="26" t="s">
        <v>83</v>
      </c>
      <c r="D186" s="26" t="s">
        <v>1088</v>
      </c>
      <c r="E186" s="26" t="s">
        <v>520</v>
      </c>
      <c r="F186" s="27" t="str">
        <f aca="false">INDEX(Equipment!$B$2:$B$153,MATCH(E186,Equipment!$A$2:$A$153,0))</f>
        <v>Fire &amp; gas panel</v>
      </c>
      <c r="G186" s="26" t="s">
        <v>498</v>
      </c>
      <c r="H186" s="27" t="str">
        <f aca="false">INDEX(Equipment!$B$2:$B$153,MATCH(G186,Equipment!$A$2:$A$153,0))</f>
        <v>Gas station instrument junction box</v>
      </c>
      <c r="I186" s="26" t="s">
        <v>611</v>
      </c>
      <c r="J186" s="27" t="str">
        <f aca="false">INDEX('Cable Types'!$B$2:$B$45,MATCH(I186,'Cable Types'!$A$2:$A$45,0))</f>
        <v>300 V 12 TSP #18 AWG indiv. + overall shield, PLTC/ITC-HL, CCW armor</v>
      </c>
      <c r="K186" s="26" t="n">
        <v>1</v>
      </c>
      <c r="L186" s="26" t="s">
        <v>750</v>
      </c>
      <c r="M186" s="26" t="s">
        <v>703</v>
      </c>
      <c r="N186" s="26"/>
      <c r="O186" s="28" t="n">
        <f aca="false">IF(N186&lt;&gt;"",N186,IF(M186="D",ROUNDUP(SQRT((AL186-AI186)^2+(AM186-AJ186)^2+(AN186-AK186)^2)*(1+'Design Basis'!$C$6),0),ROUNDUP((ABS(AL186-AI186)+ABS(AM186-AJ186)+ABS(AO186-AK186)+ABS(AO186-AN186))*(1+'Design Basis'!$C$4)+2*'Design Basis'!$C$5,0)))</f>
        <v>123</v>
      </c>
      <c r="P186" s="28" t="n">
        <f aca="false">ROUND(O186*'Design Basis'!$C$10,0)</f>
        <v>404</v>
      </c>
      <c r="Q186" s="28" t="n">
        <f aca="false">O186*K186*AQ186</f>
        <v>123</v>
      </c>
      <c r="R186" s="28" t="n">
        <f aca="false">ROUND(Q186*'Design Basis'!$C$10,0)</f>
        <v>404</v>
      </c>
      <c r="S186" s="29"/>
      <c r="T186" s="26"/>
      <c r="U186" s="29"/>
      <c r="V186" s="30"/>
      <c r="W186" s="28" t="str">
        <f aca="false">IF(OR(U186="",S186=""),"",IF(T186=3,U186*1000/(SQRT(3)*S186*V186),U186*1000/(S186*V186)))</f>
        <v/>
      </c>
      <c r="X186" s="30"/>
      <c r="Y186" s="28" t="str">
        <f aca="false">IF(W186="","",W186*IF(X186="",1,X186))</f>
        <v/>
      </c>
      <c r="Z186" s="28" t="str">
        <f aca="false">IF(OR(AS186="",AP186=""),"",AS186*AP186)</f>
        <v/>
      </c>
      <c r="AA186" s="28" t="str">
        <f aca="false">IF(Z186="","",Z186*K186)</f>
        <v/>
      </c>
      <c r="AB186" s="31" t="str">
        <f aca="false">IF(OR(Y186="",AA186=""),"",Y186/AA186)</f>
        <v/>
      </c>
      <c r="AC186" s="31" t="str">
        <f aca="false">IF(OR(W186="",AT186=""),"",AT186*(W186/K186)*O186/1000/S186)</f>
        <v/>
      </c>
      <c r="AD186" s="31" t="str">
        <f aca="false">IF(W186="","",IFERROR(IF(INDEX('Design Basis'!$C$13:$C$21,MATCH(C186,'Design Basis'!$A$13:$A$21,0))="","",INDEX('Design Basis'!$C$13:$C$21,MATCH(C186,'Design Basis'!$A$13:$A$21,0))),""))</f>
        <v/>
      </c>
      <c r="AE186" s="32" t="str">
        <f aca="false">IF(W186="","n/a",IF(AA186="","CHECK",IF(AND(AB186&lt;=1,OR(AC186="",AD186="",AC186&lt;=AD186)),"OK","CHECK")))</f>
        <v>n/a</v>
      </c>
      <c r="AF186" s="28" t="n">
        <f aca="false">IF(AR186="","",K186*AQ186*PI()/4*AR186^2)</f>
        <v>706.858347057703</v>
      </c>
      <c r="AG186" s="32" t="s">
        <v>1089</v>
      </c>
      <c r="AI186" s="33" t="n">
        <f aca="false">INDEX(Equipment!$D$2:$D$153,MATCH(E186,Equipment!$A$2:$A$153,0))</f>
        <v>39</v>
      </c>
      <c r="AJ186" s="33" t="n">
        <f aca="false">INDEX(Equipment!$E$2:$E$153,MATCH(E186,Equipment!$A$2:$A$153,0))</f>
        <v>55.5</v>
      </c>
      <c r="AK186" s="33" t="n">
        <f aca="false">INDEX(Equipment!$F$2:$F$153,MATCH(E186,Equipment!$A$2:$A$153,0))</f>
        <v>0.5</v>
      </c>
      <c r="AL186" s="33" t="n">
        <f aca="false">INDEX(Equipment!$D$2:$D$153,MATCH(G186,Equipment!$A$2:$A$153,0))</f>
        <v>-10</v>
      </c>
      <c r="AM186" s="33" t="n">
        <f aca="false">INDEX(Equipment!$E$2:$E$153,MATCH(G186,Equipment!$A$2:$A$153,0))</f>
        <v>8</v>
      </c>
      <c r="AN186" s="33" t="n">
        <f aca="false">INDEX(Equipment!$F$2:$F$153,MATCH(G186,Equipment!$A$2:$A$153,0))</f>
        <v>0.5</v>
      </c>
      <c r="AO186" s="33" t="n">
        <f aca="false">IF(INDEX(Raceways!$D$2:$D$18,MATCH(L186,Raceways!$A$2:$A$18,0))="",0,INDEX(Raceways!$D$2:$D$18,MATCH(L186,Raceways!$A$2:$A$18,0)))</f>
        <v>5</v>
      </c>
      <c r="AP186" s="34" t="n">
        <f aca="false">IF(INDEX(Raceways!$I$2:$I$18,MATCH(L186,Raceways!$A$2:$A$18,0))="","",INDEX(Raceways!$I$2:$I$18,MATCH(L186,Raceways!$A$2:$A$18,0)))</f>
        <v>0.88</v>
      </c>
      <c r="AQ186" s="27" t="n">
        <f aca="false">INDEX('Cable Types'!$D$2:$D$45,MATCH(I186,'Cable Types'!$A$2:$A$45,0))</f>
        <v>1</v>
      </c>
      <c r="AR186" s="27" t="n">
        <f aca="false">IF(INDEX('Cable Types'!$E$2:$E$45,MATCH(I186,'Cable Types'!$A$2:$A$45,0))="","",INDEX('Cable Types'!$E$2:$E$45,MATCH(I186,'Cable Types'!$A$2:$A$45,0)))</f>
        <v>30</v>
      </c>
      <c r="AS186" s="27" t="str">
        <f aca="false">IF(INDEX('Cable Types'!$F$2:$F$45,MATCH(I186,'Cable Types'!$A$2:$A$45,0))="","",INDEX('Cable Types'!$F$2:$F$45,MATCH(I186,'Cable Types'!$A$2:$A$45,0)))</f>
        <v/>
      </c>
      <c r="AT186" s="35" t="str">
        <f aca="false">IF(INDEX('Cable Types'!$G$2:$G$45,MATCH(I186,'Cable Types'!$A$2:$A$45,0))="","",INDEX('Cable Types'!$G$2:$G$45,MATCH(I186,'Cable Types'!$A$2:$A$45,0)))</f>
        <v/>
      </c>
    </row>
    <row r="187" customFormat="false" ht="15" hidden="false" customHeight="false" outlineLevel="0" collapsed="false">
      <c r="A187" s="26" t="s">
        <v>1090</v>
      </c>
      <c r="B187" s="26" t="s">
        <v>139</v>
      </c>
      <c r="C187" s="26" t="s">
        <v>83</v>
      </c>
      <c r="D187" s="26" t="s">
        <v>1091</v>
      </c>
      <c r="E187" s="26" t="s">
        <v>520</v>
      </c>
      <c r="F187" s="27" t="str">
        <f aca="false">INDEX(Equipment!$B$2:$B$153,MATCH(E187,Equipment!$A$2:$A$153,0))</f>
        <v>Fire &amp; gas panel</v>
      </c>
      <c r="G187" s="26" t="s">
        <v>189</v>
      </c>
      <c r="H187" s="27" t="str">
        <f aca="false">INDEX(Equipment!$B$2:$B$153,MATCH(G187,Equipment!$A$2:$A$153,0))</f>
        <v>F&amp;G junction box - GT enclosure</v>
      </c>
      <c r="I187" s="26" t="s">
        <v>611</v>
      </c>
      <c r="J187" s="27" t="str">
        <f aca="false">INDEX('Cable Types'!$B$2:$B$45,MATCH(I187,'Cable Types'!$A$2:$A$45,0))</f>
        <v>300 V 12 TSP #18 AWG indiv. + overall shield, PLTC/ITC-HL, CCW armor</v>
      </c>
      <c r="K187" s="26" t="n">
        <v>1</v>
      </c>
      <c r="L187" s="26" t="s">
        <v>730</v>
      </c>
      <c r="M187" s="26" t="s">
        <v>703</v>
      </c>
      <c r="N187" s="26"/>
      <c r="O187" s="28" t="n">
        <f aca="false">IF(N187&lt;&gt;"",N187,IF(M187="D",ROUNDUP(SQRT((AL187-AI187)^2+(AM187-AJ187)^2+(AN187-AK187)^2)*(1+'Design Basis'!$C$6),0),ROUNDUP((ABS(AL187-AI187)+ABS(AM187-AJ187)+ABS(AO187-AK187)+ABS(AO187-AN187))*(1+'Design Basis'!$C$4)+2*'Design Basis'!$C$5,0)))</f>
        <v>103</v>
      </c>
      <c r="P187" s="28" t="n">
        <f aca="false">ROUND(O187*'Design Basis'!$C$10,0)</f>
        <v>338</v>
      </c>
      <c r="Q187" s="28" t="n">
        <f aca="false">O187*K187*AQ187</f>
        <v>103</v>
      </c>
      <c r="R187" s="28" t="n">
        <f aca="false">ROUND(Q187*'Design Basis'!$C$10,0)</f>
        <v>338</v>
      </c>
      <c r="S187" s="29"/>
      <c r="T187" s="26"/>
      <c r="U187" s="29"/>
      <c r="V187" s="30"/>
      <c r="W187" s="28" t="str">
        <f aca="false">IF(OR(U187="",S187=""),"",IF(T187=3,U187*1000/(SQRT(3)*S187*V187),U187*1000/(S187*V187)))</f>
        <v/>
      </c>
      <c r="X187" s="30"/>
      <c r="Y187" s="28" t="str">
        <f aca="false">IF(W187="","",W187*IF(X187="",1,X187))</f>
        <v/>
      </c>
      <c r="Z187" s="28" t="str">
        <f aca="false">IF(OR(AS187="",AP187=""),"",AS187*AP187)</f>
        <v/>
      </c>
      <c r="AA187" s="28" t="str">
        <f aca="false">IF(Z187="","",Z187*K187)</f>
        <v/>
      </c>
      <c r="AB187" s="31" t="str">
        <f aca="false">IF(OR(Y187="",AA187=""),"",Y187/AA187)</f>
        <v/>
      </c>
      <c r="AC187" s="31" t="str">
        <f aca="false">IF(OR(W187="",AT187=""),"",AT187*(W187/K187)*O187/1000/S187)</f>
        <v/>
      </c>
      <c r="AD187" s="31" t="str">
        <f aca="false">IF(W187="","",IFERROR(IF(INDEX('Design Basis'!$C$13:$C$21,MATCH(C187,'Design Basis'!$A$13:$A$21,0))="","",INDEX('Design Basis'!$C$13:$C$21,MATCH(C187,'Design Basis'!$A$13:$A$21,0))),""))</f>
        <v/>
      </c>
      <c r="AE187" s="32" t="str">
        <f aca="false">IF(W187="","n/a",IF(AA187="","CHECK",IF(AND(AB187&lt;=1,OR(AC187="",AD187="",AC187&lt;=AD187)),"OK","CHECK")))</f>
        <v>n/a</v>
      </c>
      <c r="AF187" s="28" t="n">
        <f aca="false">IF(AR187="","",K187*AQ187*PI()/4*AR187^2)</f>
        <v>706.858347057703</v>
      </c>
      <c r="AG187" s="32" t="s">
        <v>1089</v>
      </c>
      <c r="AI187" s="33" t="n">
        <f aca="false">INDEX(Equipment!$D$2:$D$153,MATCH(E187,Equipment!$A$2:$A$153,0))</f>
        <v>39</v>
      </c>
      <c r="AJ187" s="33" t="n">
        <f aca="false">INDEX(Equipment!$E$2:$E$153,MATCH(E187,Equipment!$A$2:$A$153,0))</f>
        <v>55.5</v>
      </c>
      <c r="AK187" s="33" t="n">
        <f aca="false">INDEX(Equipment!$F$2:$F$153,MATCH(E187,Equipment!$A$2:$A$153,0))</f>
        <v>0.5</v>
      </c>
      <c r="AL187" s="33" t="n">
        <f aca="false">INDEX(Equipment!$D$2:$D$153,MATCH(G187,Equipment!$A$2:$A$153,0))</f>
        <v>60</v>
      </c>
      <c r="AM187" s="33" t="n">
        <f aca="false">INDEX(Equipment!$E$2:$E$153,MATCH(G187,Equipment!$A$2:$A$153,0))</f>
        <v>-3</v>
      </c>
      <c r="AN187" s="33" t="n">
        <f aca="false">INDEX(Equipment!$F$2:$F$153,MATCH(G187,Equipment!$A$2:$A$153,0))</f>
        <v>1</v>
      </c>
      <c r="AO187" s="33" t="n">
        <f aca="false">IF(INDEX(Raceways!$D$2:$D$18,MATCH(L187,Raceways!$A$2:$A$18,0))="",0,INDEX(Raceways!$D$2:$D$18,MATCH(L187,Raceways!$A$2:$A$18,0)))</f>
        <v>5</v>
      </c>
      <c r="AP187" s="34" t="n">
        <f aca="false">IF(INDEX(Raceways!$I$2:$I$18,MATCH(L187,Raceways!$A$2:$A$18,0))="","",INDEX(Raceways!$I$2:$I$18,MATCH(L187,Raceways!$A$2:$A$18,0)))</f>
        <v>0.88</v>
      </c>
      <c r="AQ187" s="27" t="n">
        <f aca="false">INDEX('Cable Types'!$D$2:$D$45,MATCH(I187,'Cable Types'!$A$2:$A$45,0))</f>
        <v>1</v>
      </c>
      <c r="AR187" s="27" t="n">
        <f aca="false">IF(INDEX('Cable Types'!$E$2:$E$45,MATCH(I187,'Cable Types'!$A$2:$A$45,0))="","",INDEX('Cable Types'!$E$2:$E$45,MATCH(I187,'Cable Types'!$A$2:$A$45,0)))</f>
        <v>30</v>
      </c>
      <c r="AS187" s="27" t="str">
        <f aca="false">IF(INDEX('Cable Types'!$F$2:$F$45,MATCH(I187,'Cable Types'!$A$2:$A$45,0))="","",INDEX('Cable Types'!$F$2:$F$45,MATCH(I187,'Cable Types'!$A$2:$A$45,0)))</f>
        <v/>
      </c>
      <c r="AT187" s="35" t="str">
        <f aca="false">IF(INDEX('Cable Types'!$G$2:$G$45,MATCH(I187,'Cable Types'!$A$2:$A$45,0))="","",INDEX('Cable Types'!$G$2:$G$45,MATCH(I187,'Cable Types'!$A$2:$A$45,0)))</f>
        <v/>
      </c>
    </row>
    <row r="188" customFormat="false" ht="15" hidden="false" customHeight="false" outlineLevel="0" collapsed="false">
      <c r="A188" s="26" t="s">
        <v>1092</v>
      </c>
      <c r="B188" s="26" t="s">
        <v>336</v>
      </c>
      <c r="C188" s="26" t="s">
        <v>83</v>
      </c>
      <c r="D188" s="26" t="s">
        <v>1093</v>
      </c>
      <c r="E188" s="26" t="s">
        <v>520</v>
      </c>
      <c r="F188" s="27" t="str">
        <f aca="false">INDEX(Equipment!$B$2:$B$153,MATCH(E188,Equipment!$A$2:$A$153,0))</f>
        <v>Fire &amp; gas panel</v>
      </c>
      <c r="G188" s="26" t="s">
        <v>388</v>
      </c>
      <c r="H188" s="27" t="str">
        <f aca="false">INDEX(Equipment!$B$2:$B$153,MATCH(G188,Equipment!$A$2:$A$153,0))</f>
        <v>F&amp;G junction box - CCS area</v>
      </c>
      <c r="I188" s="26" t="s">
        <v>611</v>
      </c>
      <c r="J188" s="27" t="str">
        <f aca="false">INDEX('Cable Types'!$B$2:$B$45,MATCH(I188,'Cable Types'!$A$2:$A$45,0))</f>
        <v>300 V 12 TSP #18 AWG indiv. + overall shield, PLTC/ITC-HL, CCW armor</v>
      </c>
      <c r="K188" s="26" t="n">
        <v>1</v>
      </c>
      <c r="L188" s="26" t="s">
        <v>724</v>
      </c>
      <c r="M188" s="26" t="s">
        <v>703</v>
      </c>
      <c r="N188" s="26"/>
      <c r="O188" s="28" t="n">
        <f aca="false">IF(N188&lt;&gt;"",N188,IF(M188="D",ROUNDUP(SQRT((AL188-AI188)^2+(AM188-AJ188)^2+(AN188-AK188)^2)*(1+'Design Basis'!$C$6),0),ROUNDUP((ABS(AL188-AI188)+ABS(AM188-AJ188)+ABS(AO188-AK188)+ABS(AO188-AN188))*(1+'Design Basis'!$C$4)+2*'Design Basis'!$C$5,0)))</f>
        <v>226</v>
      </c>
      <c r="P188" s="28" t="n">
        <f aca="false">ROUND(O188*'Design Basis'!$C$10,0)</f>
        <v>741</v>
      </c>
      <c r="Q188" s="28" t="n">
        <f aca="false">O188*K188*AQ188</f>
        <v>226</v>
      </c>
      <c r="R188" s="28" t="n">
        <f aca="false">ROUND(Q188*'Design Basis'!$C$10,0)</f>
        <v>741</v>
      </c>
      <c r="S188" s="29"/>
      <c r="T188" s="26"/>
      <c r="U188" s="29"/>
      <c r="V188" s="30"/>
      <c r="W188" s="28" t="str">
        <f aca="false">IF(OR(U188="",S188=""),"",IF(T188=3,U188*1000/(SQRT(3)*S188*V188),U188*1000/(S188*V188)))</f>
        <v/>
      </c>
      <c r="X188" s="30"/>
      <c r="Y188" s="28" t="str">
        <f aca="false">IF(W188="","",W188*IF(X188="",1,X188))</f>
        <v/>
      </c>
      <c r="Z188" s="28" t="str">
        <f aca="false">IF(OR(AS188="",AP188=""),"",AS188*AP188)</f>
        <v/>
      </c>
      <c r="AA188" s="28" t="str">
        <f aca="false">IF(Z188="","",Z188*K188)</f>
        <v/>
      </c>
      <c r="AB188" s="31" t="str">
        <f aca="false">IF(OR(Y188="",AA188=""),"",Y188/AA188)</f>
        <v/>
      </c>
      <c r="AC188" s="31" t="str">
        <f aca="false">IF(OR(W188="",AT188=""),"",AT188*(W188/K188)*O188/1000/S188)</f>
        <v/>
      </c>
      <c r="AD188" s="31" t="str">
        <f aca="false">IF(W188="","",IFERROR(IF(INDEX('Design Basis'!$C$13:$C$21,MATCH(C188,'Design Basis'!$A$13:$A$21,0))="","",INDEX('Design Basis'!$C$13:$C$21,MATCH(C188,'Design Basis'!$A$13:$A$21,0))),""))</f>
        <v/>
      </c>
      <c r="AE188" s="32" t="str">
        <f aca="false">IF(W188="","n/a",IF(AA188="","CHECK",IF(AND(AB188&lt;=1,OR(AC188="",AD188="",AC188&lt;=AD188)),"OK","CHECK")))</f>
        <v>n/a</v>
      </c>
      <c r="AF188" s="28" t="n">
        <f aca="false">IF(AR188="","",K188*AQ188*PI()/4*AR188^2)</f>
        <v>706.858347057703</v>
      </c>
      <c r="AG188" s="32" t="s">
        <v>1089</v>
      </c>
      <c r="AI188" s="33" t="n">
        <f aca="false">INDEX(Equipment!$D$2:$D$153,MATCH(E188,Equipment!$A$2:$A$153,0))</f>
        <v>39</v>
      </c>
      <c r="AJ188" s="33" t="n">
        <f aca="false">INDEX(Equipment!$E$2:$E$153,MATCH(E188,Equipment!$A$2:$A$153,0))</f>
        <v>55.5</v>
      </c>
      <c r="AK188" s="33" t="n">
        <f aca="false">INDEX(Equipment!$F$2:$F$153,MATCH(E188,Equipment!$A$2:$A$153,0))</f>
        <v>0.5</v>
      </c>
      <c r="AL188" s="33" t="n">
        <f aca="false">INDEX(Equipment!$D$2:$D$153,MATCH(G188,Equipment!$A$2:$A$153,0))</f>
        <v>172</v>
      </c>
      <c r="AM188" s="33" t="n">
        <f aca="false">INDEX(Equipment!$E$2:$E$153,MATCH(G188,Equipment!$A$2:$A$153,0))</f>
        <v>-3</v>
      </c>
      <c r="AN188" s="33" t="n">
        <f aca="false">INDEX(Equipment!$F$2:$F$153,MATCH(G188,Equipment!$A$2:$A$153,0))</f>
        <v>1</v>
      </c>
      <c r="AO188" s="33" t="n">
        <f aca="false">IF(INDEX(Raceways!$D$2:$D$18,MATCH(L188,Raceways!$A$2:$A$18,0))="",0,INDEX(Raceways!$D$2:$D$18,MATCH(L188,Raceways!$A$2:$A$18,0)))</f>
        <v>5</v>
      </c>
      <c r="AP188" s="34" t="n">
        <f aca="false">IF(INDEX(Raceways!$I$2:$I$18,MATCH(L188,Raceways!$A$2:$A$18,0))="","",INDEX(Raceways!$I$2:$I$18,MATCH(L188,Raceways!$A$2:$A$18,0)))</f>
        <v>0.88</v>
      </c>
      <c r="AQ188" s="27" t="n">
        <f aca="false">INDEX('Cable Types'!$D$2:$D$45,MATCH(I188,'Cable Types'!$A$2:$A$45,0))</f>
        <v>1</v>
      </c>
      <c r="AR188" s="27" t="n">
        <f aca="false">IF(INDEX('Cable Types'!$E$2:$E$45,MATCH(I188,'Cable Types'!$A$2:$A$45,0))="","",INDEX('Cable Types'!$E$2:$E$45,MATCH(I188,'Cable Types'!$A$2:$A$45,0)))</f>
        <v>30</v>
      </c>
      <c r="AS188" s="27" t="str">
        <f aca="false">IF(INDEX('Cable Types'!$F$2:$F$45,MATCH(I188,'Cable Types'!$A$2:$A$45,0))="","",INDEX('Cable Types'!$F$2:$F$45,MATCH(I188,'Cable Types'!$A$2:$A$45,0)))</f>
        <v/>
      </c>
      <c r="AT188" s="35" t="str">
        <f aca="false">IF(INDEX('Cable Types'!$G$2:$G$45,MATCH(I188,'Cable Types'!$A$2:$A$45,0))="","",INDEX('Cable Types'!$G$2:$G$45,MATCH(I188,'Cable Types'!$A$2:$A$45,0)))</f>
        <v/>
      </c>
    </row>
    <row r="189" customFormat="false" ht="15" hidden="false" customHeight="false" outlineLevel="0" collapsed="false">
      <c r="A189" s="26" t="s">
        <v>1094</v>
      </c>
      <c r="B189" s="26" t="s">
        <v>139</v>
      </c>
      <c r="C189" s="26" t="s">
        <v>88</v>
      </c>
      <c r="D189" s="26" t="s">
        <v>1095</v>
      </c>
      <c r="E189" s="26" t="s">
        <v>231</v>
      </c>
      <c r="F189" s="27" t="str">
        <f aca="false">INDEX(Equipment!$B$2:$B$153,MATCH(E189,Equipment!$A$2:$A$153,0))</f>
        <v>Power block main earth grid (nearest riser)</v>
      </c>
      <c r="G189" s="26" t="s">
        <v>231</v>
      </c>
      <c r="H189" s="27" t="str">
        <f aca="false">INDEX(Equipment!$B$2:$B$153,MATCH(G189,Equipment!$A$2:$A$153,0))</f>
        <v>Power block main earth grid (nearest riser)</v>
      </c>
      <c r="I189" s="26" t="s">
        <v>623</v>
      </c>
      <c r="J189" s="27" t="str">
        <f aca="false">INDEX('Cable Types'!$B$2:$B$45,MATCH(I189,'Cable Types'!$A$2:$A$45,0))</f>
        <v>Bare stranded Cu 4/0 AWG ground grid conductor (buried)</v>
      </c>
      <c r="K189" s="26" t="n">
        <v>1</v>
      </c>
      <c r="L189" s="26" t="s">
        <v>1096</v>
      </c>
      <c r="M189" s="26" t="s">
        <v>703</v>
      </c>
      <c r="N189" s="26" t="n">
        <v>1800</v>
      </c>
      <c r="O189" s="28" t="n">
        <f aca="false">IF(N189&lt;&gt;"",N189,IF(M189="D",ROUNDUP(SQRT((AL189-AI189)^2+(AM189-AJ189)^2+(AN189-AK189)^2)*(1+'Design Basis'!$C$6),0),ROUNDUP((ABS(AL189-AI189)+ABS(AM189-AJ189)+ABS(AO189-AK189)+ABS(AO189-AN189))*(1+'Design Basis'!$C$4)+2*'Design Basis'!$C$5,0)))</f>
        <v>1800</v>
      </c>
      <c r="P189" s="28" t="n">
        <f aca="false">ROUND(O189*'Design Basis'!$C$10,0)</f>
        <v>5906</v>
      </c>
      <c r="Q189" s="28" t="n">
        <f aca="false">O189*K189*AQ189</f>
        <v>1800</v>
      </c>
      <c r="R189" s="28" t="n">
        <f aca="false">ROUND(Q189*'Design Basis'!$C$10,0)</f>
        <v>5906</v>
      </c>
      <c r="S189" s="29"/>
      <c r="T189" s="26"/>
      <c r="U189" s="29"/>
      <c r="V189" s="30"/>
      <c r="W189" s="28" t="str">
        <f aca="false">IF(OR(U189="",S189=""),"",IF(T189=3,U189*1000/(SQRT(3)*S189*V189),U189*1000/(S189*V189)))</f>
        <v/>
      </c>
      <c r="X189" s="30"/>
      <c r="Y189" s="28" t="str">
        <f aca="false">IF(W189="","",W189*IF(X189="",1,X189))</f>
        <v/>
      </c>
      <c r="Z189" s="28" t="str">
        <f aca="false">IF(OR(AS189="",AP189=""),"",AS189*AP189)</f>
        <v/>
      </c>
      <c r="AA189" s="28" t="str">
        <f aca="false">IF(Z189="","",Z189*K189)</f>
        <v/>
      </c>
      <c r="AB189" s="31" t="str">
        <f aca="false">IF(OR(Y189="",AA189=""),"",Y189/AA189)</f>
        <v/>
      </c>
      <c r="AC189" s="31" t="str">
        <f aca="false">IF(OR(W189="",AT189=""),"",AT189*(W189/K189)*O189/1000/S189)</f>
        <v/>
      </c>
      <c r="AD189" s="31" t="str">
        <f aca="false">IF(W189="","",IFERROR(IF(INDEX('Design Basis'!$C$13:$C$21,MATCH(C189,'Design Basis'!$A$13:$A$21,0))="","",INDEX('Design Basis'!$C$13:$C$21,MATCH(C189,'Design Basis'!$A$13:$A$21,0))),""))</f>
        <v/>
      </c>
      <c r="AE189" s="32" t="str">
        <f aca="false">IF(W189="","n/a",IF(AA189="","CHECK",IF(AND(AB189&lt;=1,OR(AC189="",AD189="",AC189&lt;=AD189)),"OK","CHECK")))</f>
        <v>n/a</v>
      </c>
      <c r="AF189" s="28" t="n">
        <f aca="false">IF(AR189="","",K189*AQ189*PI()/4*AR189^2)</f>
        <v>138.929081123375</v>
      </c>
      <c r="AG189" s="32" t="s">
        <v>1097</v>
      </c>
      <c r="AI189" s="33" t="n">
        <f aca="false">INDEX(Equipment!$D$2:$D$153,MATCH(E189,Equipment!$A$2:$A$153,0))</f>
        <v>75</v>
      </c>
      <c r="AJ189" s="33" t="n">
        <f aca="false">INDEX(Equipment!$E$2:$E$153,MATCH(E189,Equipment!$A$2:$A$153,0))</f>
        <v>20</v>
      </c>
      <c r="AK189" s="33" t="n">
        <f aca="false">INDEX(Equipment!$F$2:$F$153,MATCH(E189,Equipment!$A$2:$A$153,0))</f>
        <v>-0.8</v>
      </c>
      <c r="AL189" s="33" t="n">
        <f aca="false">INDEX(Equipment!$D$2:$D$153,MATCH(G189,Equipment!$A$2:$A$153,0))</f>
        <v>75</v>
      </c>
      <c r="AM189" s="33" t="n">
        <f aca="false">INDEX(Equipment!$E$2:$E$153,MATCH(G189,Equipment!$A$2:$A$153,0))</f>
        <v>20</v>
      </c>
      <c r="AN189" s="33" t="n">
        <f aca="false">INDEX(Equipment!$F$2:$F$153,MATCH(G189,Equipment!$A$2:$A$153,0))</f>
        <v>-0.8</v>
      </c>
      <c r="AO189" s="33" t="n">
        <f aca="false">IF(INDEX(Raceways!$D$2:$D$18,MATCH(L189,Raceways!$A$2:$A$18,0))="",0,INDEX(Raceways!$D$2:$D$18,MATCH(L189,Raceways!$A$2:$A$18,0)))</f>
        <v>-0.8</v>
      </c>
      <c r="AP189" s="34" t="str">
        <f aca="false">IF(INDEX(Raceways!$I$2:$I$18,MATCH(L189,Raceways!$A$2:$A$18,0))="","",INDEX(Raceways!$I$2:$I$18,MATCH(L189,Raceways!$A$2:$A$18,0)))</f>
        <v/>
      </c>
      <c r="AQ189" s="27" t="n">
        <f aca="false">INDEX('Cable Types'!$D$2:$D$45,MATCH(I189,'Cable Types'!$A$2:$A$45,0))</f>
        <v>1</v>
      </c>
      <c r="AR189" s="27" t="n">
        <f aca="false">IF(INDEX('Cable Types'!$E$2:$E$45,MATCH(I189,'Cable Types'!$A$2:$A$45,0))="","",INDEX('Cable Types'!$E$2:$E$45,MATCH(I189,'Cable Types'!$A$2:$A$45,0)))</f>
        <v>13.3</v>
      </c>
      <c r="AS189" s="27" t="str">
        <f aca="false">IF(INDEX('Cable Types'!$F$2:$F$45,MATCH(I189,'Cable Types'!$A$2:$A$45,0))="","",INDEX('Cable Types'!$F$2:$F$45,MATCH(I189,'Cable Types'!$A$2:$A$45,0)))</f>
        <v/>
      </c>
      <c r="AT189" s="35" t="str">
        <f aca="false">IF(INDEX('Cable Types'!$G$2:$G$45,MATCH(I189,'Cable Types'!$A$2:$A$45,0))="","",INDEX('Cable Types'!$G$2:$G$45,MATCH(I189,'Cable Types'!$A$2:$A$45,0)))</f>
        <v/>
      </c>
    </row>
    <row r="190" customFormat="false" ht="15" hidden="false" customHeight="false" outlineLevel="0" collapsed="false">
      <c r="A190" s="26" t="s">
        <v>1098</v>
      </c>
      <c r="B190" s="26" t="s">
        <v>108</v>
      </c>
      <c r="C190" s="26" t="s">
        <v>88</v>
      </c>
      <c r="D190" s="26" t="s">
        <v>1099</v>
      </c>
      <c r="E190" s="26" t="s">
        <v>522</v>
      </c>
      <c r="F190" s="27" t="str">
        <f aca="false">INDEX(Equipment!$B$2:$B$153,MATCH(E190,Equipment!$A$2:$A$153,0))</f>
        <v>Switchyard earth grid (nearest riser)</v>
      </c>
      <c r="G190" s="26" t="s">
        <v>522</v>
      </c>
      <c r="H190" s="27" t="str">
        <f aca="false">INDEX(Equipment!$B$2:$B$153,MATCH(G190,Equipment!$A$2:$A$153,0))</f>
        <v>Switchyard earth grid (nearest riser)</v>
      </c>
      <c r="I190" s="26" t="s">
        <v>623</v>
      </c>
      <c r="J190" s="27" t="str">
        <f aca="false">INDEX('Cable Types'!$B$2:$B$45,MATCH(I190,'Cable Types'!$A$2:$A$45,0))</f>
        <v>Bare stranded Cu 4/0 AWG ground grid conductor (buried)</v>
      </c>
      <c r="K190" s="26" t="n">
        <v>1</v>
      </c>
      <c r="L190" s="26" t="s">
        <v>1096</v>
      </c>
      <c r="M190" s="26" t="s">
        <v>703</v>
      </c>
      <c r="N190" s="26" t="n">
        <v>2400</v>
      </c>
      <c r="O190" s="28" t="n">
        <f aca="false">IF(N190&lt;&gt;"",N190,IF(M190="D",ROUNDUP(SQRT((AL190-AI190)^2+(AM190-AJ190)^2+(AN190-AK190)^2)*(1+'Design Basis'!$C$6),0),ROUNDUP((ABS(AL190-AI190)+ABS(AM190-AJ190)+ABS(AO190-AK190)+ABS(AO190-AN190))*(1+'Design Basis'!$C$4)+2*'Design Basis'!$C$5,0)))</f>
        <v>2400</v>
      </c>
      <c r="P190" s="28" t="n">
        <f aca="false">ROUND(O190*'Design Basis'!$C$10,0)</f>
        <v>7874</v>
      </c>
      <c r="Q190" s="28" t="n">
        <f aca="false">O190*K190*AQ190</f>
        <v>2400</v>
      </c>
      <c r="R190" s="28" t="n">
        <f aca="false">ROUND(Q190*'Design Basis'!$C$10,0)</f>
        <v>7874</v>
      </c>
      <c r="S190" s="29"/>
      <c r="T190" s="26"/>
      <c r="U190" s="29"/>
      <c r="V190" s="30"/>
      <c r="W190" s="28" t="str">
        <f aca="false">IF(OR(U190="",S190=""),"",IF(T190=3,U190*1000/(SQRT(3)*S190*V190),U190*1000/(S190*V190)))</f>
        <v/>
      </c>
      <c r="X190" s="30"/>
      <c r="Y190" s="28" t="str">
        <f aca="false">IF(W190="","",W190*IF(X190="",1,X190))</f>
        <v/>
      </c>
      <c r="Z190" s="28" t="str">
        <f aca="false">IF(OR(AS190="",AP190=""),"",AS190*AP190)</f>
        <v/>
      </c>
      <c r="AA190" s="28" t="str">
        <f aca="false">IF(Z190="","",Z190*K190)</f>
        <v/>
      </c>
      <c r="AB190" s="31" t="str">
        <f aca="false">IF(OR(Y190="",AA190=""),"",Y190/AA190)</f>
        <v/>
      </c>
      <c r="AC190" s="31" t="str">
        <f aca="false">IF(OR(W190="",AT190=""),"",AT190*(W190/K190)*O190/1000/S190)</f>
        <v/>
      </c>
      <c r="AD190" s="31" t="str">
        <f aca="false">IF(W190="","",IFERROR(IF(INDEX('Design Basis'!$C$13:$C$21,MATCH(C190,'Design Basis'!$A$13:$A$21,0))="","",INDEX('Design Basis'!$C$13:$C$21,MATCH(C190,'Design Basis'!$A$13:$A$21,0))),""))</f>
        <v/>
      </c>
      <c r="AE190" s="32" t="str">
        <f aca="false">IF(W190="","n/a",IF(AA190="","CHECK",IF(AND(AB190&lt;=1,OR(AC190="",AD190="",AC190&lt;=AD190)),"OK","CHECK")))</f>
        <v>n/a</v>
      </c>
      <c r="AF190" s="28" t="n">
        <f aca="false">IF(AR190="","",K190*AQ190*PI()/4*AR190^2)</f>
        <v>138.929081123375</v>
      </c>
      <c r="AG190" s="32" t="s">
        <v>1097</v>
      </c>
      <c r="AI190" s="33" t="n">
        <f aca="false">INDEX(Equipment!$D$2:$D$153,MATCH(E190,Equipment!$A$2:$A$153,0))</f>
        <v>50</v>
      </c>
      <c r="AJ190" s="33" t="n">
        <f aca="false">INDEX(Equipment!$E$2:$E$153,MATCH(E190,Equipment!$A$2:$A$153,0))</f>
        <v>137.5</v>
      </c>
      <c r="AK190" s="33" t="n">
        <f aca="false">INDEX(Equipment!$F$2:$F$153,MATCH(E190,Equipment!$A$2:$A$153,0))</f>
        <v>-0.8</v>
      </c>
      <c r="AL190" s="33" t="n">
        <f aca="false">INDEX(Equipment!$D$2:$D$153,MATCH(G190,Equipment!$A$2:$A$153,0))</f>
        <v>50</v>
      </c>
      <c r="AM190" s="33" t="n">
        <f aca="false">INDEX(Equipment!$E$2:$E$153,MATCH(G190,Equipment!$A$2:$A$153,0))</f>
        <v>137.5</v>
      </c>
      <c r="AN190" s="33" t="n">
        <f aca="false">INDEX(Equipment!$F$2:$F$153,MATCH(G190,Equipment!$A$2:$A$153,0))</f>
        <v>-0.8</v>
      </c>
      <c r="AO190" s="33" t="n">
        <f aca="false">IF(INDEX(Raceways!$D$2:$D$18,MATCH(L190,Raceways!$A$2:$A$18,0))="",0,INDEX(Raceways!$D$2:$D$18,MATCH(L190,Raceways!$A$2:$A$18,0)))</f>
        <v>-0.8</v>
      </c>
      <c r="AP190" s="34" t="str">
        <f aca="false">IF(INDEX(Raceways!$I$2:$I$18,MATCH(L190,Raceways!$A$2:$A$18,0))="","",INDEX(Raceways!$I$2:$I$18,MATCH(L190,Raceways!$A$2:$A$18,0)))</f>
        <v/>
      </c>
      <c r="AQ190" s="27" t="n">
        <f aca="false">INDEX('Cable Types'!$D$2:$D$45,MATCH(I190,'Cable Types'!$A$2:$A$45,0))</f>
        <v>1</v>
      </c>
      <c r="AR190" s="27" t="n">
        <f aca="false">IF(INDEX('Cable Types'!$E$2:$E$45,MATCH(I190,'Cable Types'!$A$2:$A$45,0))="","",INDEX('Cable Types'!$E$2:$E$45,MATCH(I190,'Cable Types'!$A$2:$A$45,0)))</f>
        <v>13.3</v>
      </c>
      <c r="AS190" s="27" t="str">
        <f aca="false">IF(INDEX('Cable Types'!$F$2:$F$45,MATCH(I190,'Cable Types'!$A$2:$A$45,0))="","",INDEX('Cable Types'!$F$2:$F$45,MATCH(I190,'Cable Types'!$A$2:$A$45,0)))</f>
        <v/>
      </c>
      <c r="AT190" s="35" t="str">
        <f aca="false">IF(INDEX('Cable Types'!$G$2:$G$45,MATCH(I190,'Cable Types'!$A$2:$A$45,0))="","",INDEX('Cable Types'!$G$2:$G$45,MATCH(I190,'Cable Types'!$A$2:$A$45,0)))</f>
        <v/>
      </c>
    </row>
    <row r="191" customFormat="false" ht="15" hidden="false" customHeight="false" outlineLevel="0" collapsed="false">
      <c r="A191" s="26" t="s">
        <v>1100</v>
      </c>
      <c r="B191" s="26" t="s">
        <v>336</v>
      </c>
      <c r="C191" s="26" t="s">
        <v>88</v>
      </c>
      <c r="D191" s="26" t="s">
        <v>1101</v>
      </c>
      <c r="E191" s="26" t="s">
        <v>393</v>
      </c>
      <c r="F191" s="27" t="str">
        <f aca="false">INDEX(Equipment!$B$2:$B$153,MATCH(E191,Equipment!$A$2:$A$153,0))</f>
        <v>CCS area earth grid (nearest riser)</v>
      </c>
      <c r="G191" s="26" t="s">
        <v>393</v>
      </c>
      <c r="H191" s="27" t="str">
        <f aca="false">INDEX(Equipment!$B$2:$B$153,MATCH(G191,Equipment!$A$2:$A$153,0))</f>
        <v>CCS area earth grid (nearest riser)</v>
      </c>
      <c r="I191" s="26" t="s">
        <v>623</v>
      </c>
      <c r="J191" s="27" t="str">
        <f aca="false">INDEX('Cable Types'!$B$2:$B$45,MATCH(I191,'Cable Types'!$A$2:$A$45,0))</f>
        <v>Bare stranded Cu 4/0 AWG ground grid conductor (buried)</v>
      </c>
      <c r="K191" s="26" t="n">
        <v>1</v>
      </c>
      <c r="L191" s="26" t="s">
        <v>1096</v>
      </c>
      <c r="M191" s="26" t="s">
        <v>703</v>
      </c>
      <c r="N191" s="26" t="n">
        <v>1200</v>
      </c>
      <c r="O191" s="28" t="n">
        <f aca="false">IF(N191&lt;&gt;"",N191,IF(M191="D",ROUNDUP(SQRT((AL191-AI191)^2+(AM191-AJ191)^2+(AN191-AK191)^2)*(1+'Design Basis'!$C$6),0),ROUNDUP((ABS(AL191-AI191)+ABS(AM191-AJ191)+ABS(AO191-AK191)+ABS(AO191-AN191))*(1+'Design Basis'!$C$4)+2*'Design Basis'!$C$5,0)))</f>
        <v>1200</v>
      </c>
      <c r="P191" s="28" t="n">
        <f aca="false">ROUND(O191*'Design Basis'!$C$10,0)</f>
        <v>3937</v>
      </c>
      <c r="Q191" s="28" t="n">
        <f aca="false">O191*K191*AQ191</f>
        <v>1200</v>
      </c>
      <c r="R191" s="28" t="n">
        <f aca="false">ROUND(Q191*'Design Basis'!$C$10,0)</f>
        <v>3937</v>
      </c>
      <c r="S191" s="29"/>
      <c r="T191" s="26"/>
      <c r="U191" s="29"/>
      <c r="V191" s="30"/>
      <c r="W191" s="28" t="str">
        <f aca="false">IF(OR(U191="",S191=""),"",IF(T191=3,U191*1000/(SQRT(3)*S191*V191),U191*1000/(S191*V191)))</f>
        <v/>
      </c>
      <c r="X191" s="30"/>
      <c r="Y191" s="28" t="str">
        <f aca="false">IF(W191="","",W191*IF(X191="",1,X191))</f>
        <v/>
      </c>
      <c r="Z191" s="28" t="str">
        <f aca="false">IF(OR(AS191="",AP191=""),"",AS191*AP191)</f>
        <v/>
      </c>
      <c r="AA191" s="28" t="str">
        <f aca="false">IF(Z191="","",Z191*K191)</f>
        <v/>
      </c>
      <c r="AB191" s="31" t="str">
        <f aca="false">IF(OR(Y191="",AA191=""),"",Y191/AA191)</f>
        <v/>
      </c>
      <c r="AC191" s="31" t="str">
        <f aca="false">IF(OR(W191="",AT191=""),"",AT191*(W191/K191)*O191/1000/S191)</f>
        <v/>
      </c>
      <c r="AD191" s="31" t="str">
        <f aca="false">IF(W191="","",IFERROR(IF(INDEX('Design Basis'!$C$13:$C$21,MATCH(C191,'Design Basis'!$A$13:$A$21,0))="","",INDEX('Design Basis'!$C$13:$C$21,MATCH(C191,'Design Basis'!$A$13:$A$21,0))),""))</f>
        <v/>
      </c>
      <c r="AE191" s="32" t="str">
        <f aca="false">IF(W191="","n/a",IF(AA191="","CHECK",IF(AND(AB191&lt;=1,OR(AC191="",AD191="",AC191&lt;=AD191)),"OK","CHECK")))</f>
        <v>n/a</v>
      </c>
      <c r="AF191" s="28" t="n">
        <f aca="false">IF(AR191="","",K191*AQ191*PI()/4*AR191^2)</f>
        <v>138.929081123375</v>
      </c>
      <c r="AG191" s="32" t="s">
        <v>1102</v>
      </c>
      <c r="AI191" s="33" t="n">
        <f aca="false">INDEX(Equipment!$D$2:$D$153,MATCH(E191,Equipment!$A$2:$A$153,0))</f>
        <v>190</v>
      </c>
      <c r="AJ191" s="33" t="n">
        <f aca="false">INDEX(Equipment!$E$2:$E$153,MATCH(E191,Equipment!$A$2:$A$153,0))</f>
        <v>25</v>
      </c>
      <c r="AK191" s="33" t="n">
        <f aca="false">INDEX(Equipment!$F$2:$F$153,MATCH(E191,Equipment!$A$2:$A$153,0))</f>
        <v>-0.8</v>
      </c>
      <c r="AL191" s="33" t="n">
        <f aca="false">INDEX(Equipment!$D$2:$D$153,MATCH(G191,Equipment!$A$2:$A$153,0))</f>
        <v>190</v>
      </c>
      <c r="AM191" s="33" t="n">
        <f aca="false">INDEX(Equipment!$E$2:$E$153,MATCH(G191,Equipment!$A$2:$A$153,0))</f>
        <v>25</v>
      </c>
      <c r="AN191" s="33" t="n">
        <f aca="false">INDEX(Equipment!$F$2:$F$153,MATCH(G191,Equipment!$A$2:$A$153,0))</f>
        <v>-0.8</v>
      </c>
      <c r="AO191" s="33" t="n">
        <f aca="false">IF(INDEX(Raceways!$D$2:$D$18,MATCH(L191,Raceways!$A$2:$A$18,0))="",0,INDEX(Raceways!$D$2:$D$18,MATCH(L191,Raceways!$A$2:$A$18,0)))</f>
        <v>-0.8</v>
      </c>
      <c r="AP191" s="34" t="str">
        <f aca="false">IF(INDEX(Raceways!$I$2:$I$18,MATCH(L191,Raceways!$A$2:$A$18,0))="","",INDEX(Raceways!$I$2:$I$18,MATCH(L191,Raceways!$A$2:$A$18,0)))</f>
        <v/>
      </c>
      <c r="AQ191" s="27" t="n">
        <f aca="false">INDEX('Cable Types'!$D$2:$D$45,MATCH(I191,'Cable Types'!$A$2:$A$45,0))</f>
        <v>1</v>
      </c>
      <c r="AR191" s="27" t="n">
        <f aca="false">IF(INDEX('Cable Types'!$E$2:$E$45,MATCH(I191,'Cable Types'!$A$2:$A$45,0))="","",INDEX('Cable Types'!$E$2:$E$45,MATCH(I191,'Cable Types'!$A$2:$A$45,0)))</f>
        <v>13.3</v>
      </c>
      <c r="AS191" s="27" t="str">
        <f aca="false">IF(INDEX('Cable Types'!$F$2:$F$45,MATCH(I191,'Cable Types'!$A$2:$A$45,0))="","",INDEX('Cable Types'!$F$2:$F$45,MATCH(I191,'Cable Types'!$A$2:$A$45,0)))</f>
        <v/>
      </c>
      <c r="AT191" s="35" t="str">
        <f aca="false">IF(INDEX('Cable Types'!$G$2:$G$45,MATCH(I191,'Cable Types'!$A$2:$A$45,0))="","",INDEX('Cable Types'!$G$2:$G$45,MATCH(I191,'Cable Types'!$A$2:$A$45,0)))</f>
        <v/>
      </c>
    </row>
    <row r="192" customFormat="false" ht="15" hidden="false" customHeight="false" outlineLevel="0" collapsed="false">
      <c r="A192" s="26" t="s">
        <v>1103</v>
      </c>
      <c r="B192" s="26" t="s">
        <v>449</v>
      </c>
      <c r="C192" s="26" t="s">
        <v>88</v>
      </c>
      <c r="D192" s="26" t="s">
        <v>1104</v>
      </c>
      <c r="E192" s="26" t="s">
        <v>501</v>
      </c>
      <c r="F192" s="27" t="str">
        <f aca="false">INDEX(Equipment!$B$2:$B$153,MATCH(E192,Equipment!$A$2:$A$153,0))</f>
        <v>Gas / LNG area earth grid (nearest riser)</v>
      </c>
      <c r="G192" s="26" t="s">
        <v>501</v>
      </c>
      <c r="H192" s="27" t="str">
        <f aca="false">INDEX(Equipment!$B$2:$B$153,MATCH(G192,Equipment!$A$2:$A$153,0))</f>
        <v>Gas / LNG area earth grid (nearest riser)</v>
      </c>
      <c r="I192" s="26" t="s">
        <v>623</v>
      </c>
      <c r="J192" s="27" t="str">
        <f aca="false">INDEX('Cable Types'!$B$2:$B$45,MATCH(I192,'Cable Types'!$A$2:$A$45,0))</f>
        <v>Bare stranded Cu 4/0 AWG ground grid conductor (buried)</v>
      </c>
      <c r="K192" s="26" t="n">
        <v>1</v>
      </c>
      <c r="L192" s="26" t="s">
        <v>1096</v>
      </c>
      <c r="M192" s="26" t="s">
        <v>703</v>
      </c>
      <c r="N192" s="26" t="n">
        <v>900</v>
      </c>
      <c r="O192" s="28" t="n">
        <f aca="false">IF(N192&lt;&gt;"",N192,IF(M192="D",ROUNDUP(SQRT((AL192-AI192)^2+(AM192-AJ192)^2+(AN192-AK192)^2)*(1+'Design Basis'!$C$6),0),ROUNDUP((ABS(AL192-AI192)+ABS(AM192-AJ192)+ABS(AO192-AK192)+ABS(AO192-AN192))*(1+'Design Basis'!$C$4)+2*'Design Basis'!$C$5,0)))</f>
        <v>900</v>
      </c>
      <c r="P192" s="28" t="n">
        <f aca="false">ROUND(O192*'Design Basis'!$C$10,0)</f>
        <v>2953</v>
      </c>
      <c r="Q192" s="28" t="n">
        <f aca="false">O192*K192*AQ192</f>
        <v>900</v>
      </c>
      <c r="R192" s="28" t="n">
        <f aca="false">ROUND(Q192*'Design Basis'!$C$10,0)</f>
        <v>2953</v>
      </c>
      <c r="S192" s="29"/>
      <c r="T192" s="26"/>
      <c r="U192" s="29"/>
      <c r="V192" s="30"/>
      <c r="W192" s="28" t="str">
        <f aca="false">IF(OR(U192="",S192=""),"",IF(T192=3,U192*1000/(SQRT(3)*S192*V192),U192*1000/(S192*V192)))</f>
        <v/>
      </c>
      <c r="X192" s="30"/>
      <c r="Y192" s="28" t="str">
        <f aca="false">IF(W192="","",W192*IF(X192="",1,X192))</f>
        <v/>
      </c>
      <c r="Z192" s="28" t="str">
        <f aca="false">IF(OR(AS192="",AP192=""),"",AS192*AP192)</f>
        <v/>
      </c>
      <c r="AA192" s="28" t="str">
        <f aca="false">IF(Z192="","",Z192*K192)</f>
        <v/>
      </c>
      <c r="AB192" s="31" t="str">
        <f aca="false">IF(OR(Y192="",AA192=""),"",Y192/AA192)</f>
        <v/>
      </c>
      <c r="AC192" s="31" t="str">
        <f aca="false">IF(OR(W192="",AT192=""),"",AT192*(W192/K192)*O192/1000/S192)</f>
        <v/>
      </c>
      <c r="AD192" s="31" t="str">
        <f aca="false">IF(W192="","",IFERROR(IF(INDEX('Design Basis'!$C$13:$C$21,MATCH(C192,'Design Basis'!$A$13:$A$21,0))="","",INDEX('Design Basis'!$C$13:$C$21,MATCH(C192,'Design Basis'!$A$13:$A$21,0))),""))</f>
        <v/>
      </c>
      <c r="AE192" s="32" t="str">
        <f aca="false">IF(W192="","n/a",IF(AA192="","CHECK",IF(AND(AB192&lt;=1,OR(AC192="",AD192="",AC192&lt;=AD192)),"OK","CHECK")))</f>
        <v>n/a</v>
      </c>
      <c r="AF192" s="28" t="n">
        <f aca="false">IF(AR192="","",K192*AQ192*PI()/4*AR192^2)</f>
        <v>138.929081123375</v>
      </c>
      <c r="AG192" s="32" t="s">
        <v>1102</v>
      </c>
      <c r="AI192" s="33" t="n">
        <f aca="false">INDEX(Equipment!$D$2:$D$153,MATCH(E192,Equipment!$A$2:$A$153,0))</f>
        <v>-30</v>
      </c>
      <c r="AJ192" s="33" t="n">
        <f aca="false">INDEX(Equipment!$E$2:$E$153,MATCH(E192,Equipment!$A$2:$A$153,0))</f>
        <v>5</v>
      </c>
      <c r="AK192" s="33" t="n">
        <f aca="false">INDEX(Equipment!$F$2:$F$153,MATCH(E192,Equipment!$A$2:$A$153,0))</f>
        <v>-0.8</v>
      </c>
      <c r="AL192" s="33" t="n">
        <f aca="false">INDEX(Equipment!$D$2:$D$153,MATCH(G192,Equipment!$A$2:$A$153,0))</f>
        <v>-30</v>
      </c>
      <c r="AM192" s="33" t="n">
        <f aca="false">INDEX(Equipment!$E$2:$E$153,MATCH(G192,Equipment!$A$2:$A$153,0))</f>
        <v>5</v>
      </c>
      <c r="AN192" s="33" t="n">
        <f aca="false">INDEX(Equipment!$F$2:$F$153,MATCH(G192,Equipment!$A$2:$A$153,0))</f>
        <v>-0.8</v>
      </c>
      <c r="AO192" s="33" t="n">
        <f aca="false">IF(INDEX(Raceways!$D$2:$D$18,MATCH(L192,Raceways!$A$2:$A$18,0))="",0,INDEX(Raceways!$D$2:$D$18,MATCH(L192,Raceways!$A$2:$A$18,0)))</f>
        <v>-0.8</v>
      </c>
      <c r="AP192" s="34" t="str">
        <f aca="false">IF(INDEX(Raceways!$I$2:$I$18,MATCH(L192,Raceways!$A$2:$A$18,0))="","",INDEX(Raceways!$I$2:$I$18,MATCH(L192,Raceways!$A$2:$A$18,0)))</f>
        <v/>
      </c>
      <c r="AQ192" s="27" t="n">
        <f aca="false">INDEX('Cable Types'!$D$2:$D$45,MATCH(I192,'Cable Types'!$A$2:$A$45,0))</f>
        <v>1</v>
      </c>
      <c r="AR192" s="27" t="n">
        <f aca="false">IF(INDEX('Cable Types'!$E$2:$E$45,MATCH(I192,'Cable Types'!$A$2:$A$45,0))="","",INDEX('Cable Types'!$E$2:$E$45,MATCH(I192,'Cable Types'!$A$2:$A$45,0)))</f>
        <v>13.3</v>
      </c>
      <c r="AS192" s="27" t="str">
        <f aca="false">IF(INDEX('Cable Types'!$F$2:$F$45,MATCH(I192,'Cable Types'!$A$2:$A$45,0))="","",INDEX('Cable Types'!$F$2:$F$45,MATCH(I192,'Cable Types'!$A$2:$A$45,0)))</f>
        <v/>
      </c>
      <c r="AT192" s="35" t="str">
        <f aca="false">IF(INDEX('Cable Types'!$G$2:$G$45,MATCH(I192,'Cable Types'!$A$2:$A$45,0))="","",INDEX('Cable Types'!$G$2:$G$45,MATCH(I192,'Cable Types'!$A$2:$A$45,0)))</f>
        <v/>
      </c>
    </row>
    <row r="193" customFormat="false" ht="15" hidden="false" customHeight="false" outlineLevel="0" collapsed="false">
      <c r="A193" s="26" t="s">
        <v>1105</v>
      </c>
      <c r="B193" s="26" t="s">
        <v>133</v>
      </c>
      <c r="C193" s="26" t="s">
        <v>88</v>
      </c>
      <c r="D193" s="26" t="s">
        <v>1106</v>
      </c>
      <c r="E193" s="26" t="s">
        <v>405</v>
      </c>
      <c r="F193" s="27" t="str">
        <f aca="false">INDEX(Equipment!$B$2:$B$153,MATCH(E193,Equipment!$A$2:$A$153,0))</f>
        <v>RICE area earth grid (nearest riser)</v>
      </c>
      <c r="G193" s="26" t="s">
        <v>405</v>
      </c>
      <c r="H193" s="27" t="str">
        <f aca="false">INDEX(Equipment!$B$2:$B$153,MATCH(G193,Equipment!$A$2:$A$153,0))</f>
        <v>RICE area earth grid (nearest riser)</v>
      </c>
      <c r="I193" s="26" t="s">
        <v>623</v>
      </c>
      <c r="J193" s="27" t="str">
        <f aca="false">INDEX('Cable Types'!$B$2:$B$45,MATCH(I193,'Cable Types'!$A$2:$A$45,0))</f>
        <v>Bare stranded Cu 4/0 AWG ground grid conductor (buried)</v>
      </c>
      <c r="K193" s="26" t="n">
        <v>1</v>
      </c>
      <c r="L193" s="26" t="s">
        <v>1096</v>
      </c>
      <c r="M193" s="26" t="s">
        <v>703</v>
      </c>
      <c r="N193" s="26" t="n">
        <v>600</v>
      </c>
      <c r="O193" s="28" t="n">
        <f aca="false">IF(N193&lt;&gt;"",N193,IF(M193="D",ROUNDUP(SQRT((AL193-AI193)^2+(AM193-AJ193)^2+(AN193-AK193)^2)*(1+'Design Basis'!$C$6),0),ROUNDUP((ABS(AL193-AI193)+ABS(AM193-AJ193)+ABS(AO193-AK193)+ABS(AO193-AN193))*(1+'Design Basis'!$C$4)+2*'Design Basis'!$C$5,0)))</f>
        <v>600</v>
      </c>
      <c r="P193" s="28" t="n">
        <f aca="false">ROUND(O193*'Design Basis'!$C$10,0)</f>
        <v>1969</v>
      </c>
      <c r="Q193" s="28" t="n">
        <f aca="false">O193*K193*AQ193</f>
        <v>600</v>
      </c>
      <c r="R193" s="28" t="n">
        <f aca="false">ROUND(Q193*'Design Basis'!$C$10,0)</f>
        <v>1969</v>
      </c>
      <c r="S193" s="29"/>
      <c r="T193" s="26"/>
      <c r="U193" s="29"/>
      <c r="V193" s="30"/>
      <c r="W193" s="28" t="str">
        <f aca="false">IF(OR(U193="",S193=""),"",IF(T193=3,U193*1000/(SQRT(3)*S193*V193),U193*1000/(S193*V193)))</f>
        <v/>
      </c>
      <c r="X193" s="30"/>
      <c r="Y193" s="28" t="str">
        <f aca="false">IF(W193="","",W193*IF(X193="",1,X193))</f>
        <v/>
      </c>
      <c r="Z193" s="28" t="str">
        <f aca="false">IF(OR(AS193="",AP193=""),"",AS193*AP193)</f>
        <v/>
      </c>
      <c r="AA193" s="28" t="str">
        <f aca="false">IF(Z193="","",Z193*K193)</f>
        <v/>
      </c>
      <c r="AB193" s="31" t="str">
        <f aca="false">IF(OR(Y193="",AA193=""),"",Y193/AA193)</f>
        <v/>
      </c>
      <c r="AC193" s="31" t="str">
        <f aca="false">IF(OR(W193="",AT193=""),"",AT193*(W193/K193)*O193/1000/S193)</f>
        <v/>
      </c>
      <c r="AD193" s="31" t="str">
        <f aca="false">IF(W193="","",IFERROR(IF(INDEX('Design Basis'!$C$13:$C$21,MATCH(C193,'Design Basis'!$A$13:$A$21,0))="","",INDEX('Design Basis'!$C$13:$C$21,MATCH(C193,'Design Basis'!$A$13:$A$21,0))),""))</f>
        <v/>
      </c>
      <c r="AE193" s="32" t="str">
        <f aca="false">IF(W193="","n/a",IF(AA193="","CHECK",IF(AND(AB193&lt;=1,OR(AC193="",AD193="",AC193&lt;=AD193)),"OK","CHECK")))</f>
        <v>n/a</v>
      </c>
      <c r="AF193" s="28" t="n">
        <f aca="false">IF(AR193="","",K193*AQ193*PI()/4*AR193^2)</f>
        <v>138.929081123375</v>
      </c>
      <c r="AG193" s="32" t="s">
        <v>1102</v>
      </c>
      <c r="AI193" s="33" t="n">
        <f aca="false">INDEX(Equipment!$D$2:$D$153,MATCH(E193,Equipment!$A$2:$A$153,0))</f>
        <v>-4</v>
      </c>
      <c r="AJ193" s="33" t="n">
        <f aca="false">INDEX(Equipment!$E$2:$E$153,MATCH(E193,Equipment!$A$2:$A$153,0))</f>
        <v>85</v>
      </c>
      <c r="AK193" s="33" t="n">
        <f aca="false">INDEX(Equipment!$F$2:$F$153,MATCH(E193,Equipment!$A$2:$A$153,0))</f>
        <v>-0.8</v>
      </c>
      <c r="AL193" s="33" t="n">
        <f aca="false">INDEX(Equipment!$D$2:$D$153,MATCH(G193,Equipment!$A$2:$A$153,0))</f>
        <v>-4</v>
      </c>
      <c r="AM193" s="33" t="n">
        <f aca="false">INDEX(Equipment!$E$2:$E$153,MATCH(G193,Equipment!$A$2:$A$153,0))</f>
        <v>85</v>
      </c>
      <c r="AN193" s="33" t="n">
        <f aca="false">INDEX(Equipment!$F$2:$F$153,MATCH(G193,Equipment!$A$2:$A$153,0))</f>
        <v>-0.8</v>
      </c>
      <c r="AO193" s="33" t="n">
        <f aca="false">IF(INDEX(Raceways!$D$2:$D$18,MATCH(L193,Raceways!$A$2:$A$18,0))="",0,INDEX(Raceways!$D$2:$D$18,MATCH(L193,Raceways!$A$2:$A$18,0)))</f>
        <v>-0.8</v>
      </c>
      <c r="AP193" s="34" t="str">
        <f aca="false">IF(INDEX(Raceways!$I$2:$I$18,MATCH(L193,Raceways!$A$2:$A$18,0))="","",INDEX(Raceways!$I$2:$I$18,MATCH(L193,Raceways!$A$2:$A$18,0)))</f>
        <v/>
      </c>
      <c r="AQ193" s="27" t="n">
        <f aca="false">INDEX('Cable Types'!$D$2:$D$45,MATCH(I193,'Cable Types'!$A$2:$A$45,0))</f>
        <v>1</v>
      </c>
      <c r="AR193" s="27" t="n">
        <f aca="false">IF(INDEX('Cable Types'!$E$2:$E$45,MATCH(I193,'Cable Types'!$A$2:$A$45,0))="","",INDEX('Cable Types'!$E$2:$E$45,MATCH(I193,'Cable Types'!$A$2:$A$45,0)))</f>
        <v>13.3</v>
      </c>
      <c r="AS193" s="27" t="str">
        <f aca="false">IF(INDEX('Cable Types'!$F$2:$F$45,MATCH(I193,'Cable Types'!$A$2:$A$45,0))="","",INDEX('Cable Types'!$F$2:$F$45,MATCH(I193,'Cable Types'!$A$2:$A$45,0)))</f>
        <v/>
      </c>
      <c r="AT193" s="35" t="str">
        <f aca="false">IF(INDEX('Cable Types'!$G$2:$G$45,MATCH(I193,'Cable Types'!$A$2:$A$45,0))="","",INDEX('Cable Types'!$G$2:$G$45,MATCH(I193,'Cable Types'!$A$2:$A$45,0)))</f>
        <v/>
      </c>
    </row>
    <row r="194" customFormat="false" ht="15" hidden="false" customHeight="false" outlineLevel="0" collapsed="false">
      <c r="A194" s="26" t="s">
        <v>1107</v>
      </c>
      <c r="B194" s="26" t="s">
        <v>108</v>
      </c>
      <c r="C194" s="26" t="s">
        <v>88</v>
      </c>
      <c r="D194" s="26" t="s">
        <v>1108</v>
      </c>
      <c r="E194" s="26" t="s">
        <v>231</v>
      </c>
      <c r="F194" s="27" t="str">
        <f aca="false">INDEX(Equipment!$B$2:$B$153,MATCH(E194,Equipment!$A$2:$A$153,0))</f>
        <v>Power block main earth grid (nearest riser)</v>
      </c>
      <c r="G194" s="26" t="s">
        <v>522</v>
      </c>
      <c r="H194" s="27" t="str">
        <f aca="false">INDEX(Equipment!$B$2:$B$153,MATCH(G194,Equipment!$A$2:$A$153,0))</f>
        <v>Switchyard earth grid (nearest riser)</v>
      </c>
      <c r="I194" s="26" t="s">
        <v>623</v>
      </c>
      <c r="J194" s="27" t="str">
        <f aca="false">INDEX('Cable Types'!$B$2:$B$45,MATCH(I194,'Cable Types'!$A$2:$A$45,0))</f>
        <v>Bare stranded Cu 4/0 AWG ground grid conductor (buried)</v>
      </c>
      <c r="K194" s="26" t="n">
        <v>2</v>
      </c>
      <c r="L194" s="26" t="s">
        <v>1096</v>
      </c>
      <c r="M194" s="26" t="s">
        <v>703</v>
      </c>
      <c r="N194" s="26"/>
      <c r="O194" s="28" t="n">
        <f aca="false">IF(N194&lt;&gt;"",N194,IF(M194="D",ROUNDUP(SQRT((AL194-AI194)^2+(AM194-AJ194)^2+(AN194-AK194)^2)*(1+'Design Basis'!$C$6),0),ROUNDUP((ABS(AL194-AI194)+ABS(AM194-AJ194)+ABS(AO194-AK194)+ABS(AO194-AN194))*(1+'Design Basis'!$C$4)+2*'Design Basis'!$C$5,0)))</f>
        <v>163</v>
      </c>
      <c r="P194" s="28" t="n">
        <f aca="false">ROUND(O194*'Design Basis'!$C$10,0)</f>
        <v>535</v>
      </c>
      <c r="Q194" s="28" t="n">
        <f aca="false">O194*K194*AQ194</f>
        <v>326</v>
      </c>
      <c r="R194" s="28" t="n">
        <f aca="false">ROUND(Q194*'Design Basis'!$C$10,0)</f>
        <v>1070</v>
      </c>
      <c r="S194" s="29"/>
      <c r="T194" s="26"/>
      <c r="U194" s="29"/>
      <c r="V194" s="30"/>
      <c r="W194" s="28" t="str">
        <f aca="false">IF(OR(U194="",S194=""),"",IF(T194=3,U194*1000/(SQRT(3)*S194*V194),U194*1000/(S194*V194)))</f>
        <v/>
      </c>
      <c r="X194" s="30"/>
      <c r="Y194" s="28" t="str">
        <f aca="false">IF(W194="","",W194*IF(X194="",1,X194))</f>
        <v/>
      </c>
      <c r="Z194" s="28" t="str">
        <f aca="false">IF(OR(AS194="",AP194=""),"",AS194*AP194)</f>
        <v/>
      </c>
      <c r="AA194" s="28" t="str">
        <f aca="false">IF(Z194="","",Z194*K194)</f>
        <v/>
      </c>
      <c r="AB194" s="31" t="str">
        <f aca="false">IF(OR(Y194="",AA194=""),"",Y194/AA194)</f>
        <v/>
      </c>
      <c r="AC194" s="31" t="str">
        <f aca="false">IF(OR(W194="",AT194=""),"",AT194*(W194/K194)*O194/1000/S194)</f>
        <v/>
      </c>
      <c r="AD194" s="31" t="str">
        <f aca="false">IF(W194="","",IFERROR(IF(INDEX('Design Basis'!$C$13:$C$21,MATCH(C194,'Design Basis'!$A$13:$A$21,0))="","",INDEX('Design Basis'!$C$13:$C$21,MATCH(C194,'Design Basis'!$A$13:$A$21,0))),""))</f>
        <v/>
      </c>
      <c r="AE194" s="32" t="str">
        <f aca="false">IF(W194="","n/a",IF(AA194="","CHECK",IF(AND(AB194&lt;=1,OR(AC194="",AD194="",AC194&lt;=AD194)),"OK","CHECK")))</f>
        <v>n/a</v>
      </c>
      <c r="AF194" s="28" t="n">
        <f aca="false">IF(AR194="","",K194*AQ194*PI()/4*AR194^2)</f>
        <v>277.858162246749</v>
      </c>
      <c r="AG194" s="32" t="s">
        <v>1109</v>
      </c>
      <c r="AI194" s="33" t="n">
        <f aca="false">INDEX(Equipment!$D$2:$D$153,MATCH(E194,Equipment!$A$2:$A$153,0))</f>
        <v>75</v>
      </c>
      <c r="AJ194" s="33" t="n">
        <f aca="false">INDEX(Equipment!$E$2:$E$153,MATCH(E194,Equipment!$A$2:$A$153,0))</f>
        <v>20</v>
      </c>
      <c r="AK194" s="33" t="n">
        <f aca="false">INDEX(Equipment!$F$2:$F$153,MATCH(E194,Equipment!$A$2:$A$153,0))</f>
        <v>-0.8</v>
      </c>
      <c r="AL194" s="33" t="n">
        <f aca="false">INDEX(Equipment!$D$2:$D$153,MATCH(G194,Equipment!$A$2:$A$153,0))</f>
        <v>50</v>
      </c>
      <c r="AM194" s="33" t="n">
        <f aca="false">INDEX(Equipment!$E$2:$E$153,MATCH(G194,Equipment!$A$2:$A$153,0))</f>
        <v>137.5</v>
      </c>
      <c r="AN194" s="33" t="n">
        <f aca="false">INDEX(Equipment!$F$2:$F$153,MATCH(G194,Equipment!$A$2:$A$153,0))</f>
        <v>-0.8</v>
      </c>
      <c r="AO194" s="33" t="n">
        <f aca="false">IF(INDEX(Raceways!$D$2:$D$18,MATCH(L194,Raceways!$A$2:$A$18,0))="",0,INDEX(Raceways!$D$2:$D$18,MATCH(L194,Raceways!$A$2:$A$18,0)))</f>
        <v>-0.8</v>
      </c>
      <c r="AP194" s="34" t="str">
        <f aca="false">IF(INDEX(Raceways!$I$2:$I$18,MATCH(L194,Raceways!$A$2:$A$18,0))="","",INDEX(Raceways!$I$2:$I$18,MATCH(L194,Raceways!$A$2:$A$18,0)))</f>
        <v/>
      </c>
      <c r="AQ194" s="27" t="n">
        <f aca="false">INDEX('Cable Types'!$D$2:$D$45,MATCH(I194,'Cable Types'!$A$2:$A$45,0))</f>
        <v>1</v>
      </c>
      <c r="AR194" s="27" t="n">
        <f aca="false">IF(INDEX('Cable Types'!$E$2:$E$45,MATCH(I194,'Cable Types'!$A$2:$A$45,0))="","",INDEX('Cable Types'!$E$2:$E$45,MATCH(I194,'Cable Types'!$A$2:$A$45,0)))</f>
        <v>13.3</v>
      </c>
      <c r="AS194" s="27" t="str">
        <f aca="false">IF(INDEX('Cable Types'!$F$2:$F$45,MATCH(I194,'Cable Types'!$A$2:$A$45,0))="","",INDEX('Cable Types'!$F$2:$F$45,MATCH(I194,'Cable Types'!$A$2:$A$45,0)))</f>
        <v/>
      </c>
      <c r="AT194" s="35" t="str">
        <f aca="false">IF(INDEX('Cable Types'!$G$2:$G$45,MATCH(I194,'Cable Types'!$A$2:$A$45,0))="","",INDEX('Cable Types'!$G$2:$G$45,MATCH(I194,'Cable Types'!$A$2:$A$45,0)))</f>
        <v/>
      </c>
    </row>
    <row r="195" customFormat="false" ht="15" hidden="false" customHeight="false" outlineLevel="0" collapsed="false">
      <c r="A195" s="26" t="s">
        <v>1110</v>
      </c>
      <c r="B195" s="26" t="s">
        <v>133</v>
      </c>
      <c r="C195" s="26" t="s">
        <v>88</v>
      </c>
      <c r="D195" s="26" t="s">
        <v>1111</v>
      </c>
      <c r="E195" s="26" t="s">
        <v>231</v>
      </c>
      <c r="F195" s="27" t="str">
        <f aca="false">INDEX(Equipment!$B$2:$B$153,MATCH(E195,Equipment!$A$2:$A$153,0))</f>
        <v>Power block main earth grid (nearest riser)</v>
      </c>
      <c r="G195" s="26" t="s">
        <v>405</v>
      </c>
      <c r="H195" s="27" t="str">
        <f aca="false">INDEX(Equipment!$B$2:$B$153,MATCH(G195,Equipment!$A$2:$A$153,0))</f>
        <v>RICE area earth grid (nearest riser)</v>
      </c>
      <c r="I195" s="26" t="s">
        <v>623</v>
      </c>
      <c r="J195" s="27" t="str">
        <f aca="false">INDEX('Cable Types'!$B$2:$B$45,MATCH(I195,'Cable Types'!$A$2:$A$45,0))</f>
        <v>Bare stranded Cu 4/0 AWG ground grid conductor (buried)</v>
      </c>
      <c r="K195" s="26" t="n">
        <v>2</v>
      </c>
      <c r="L195" s="26" t="s">
        <v>1096</v>
      </c>
      <c r="M195" s="26" t="s">
        <v>703</v>
      </c>
      <c r="N195" s="26"/>
      <c r="O195" s="28" t="n">
        <f aca="false">IF(N195&lt;&gt;"",N195,IF(M195="D",ROUNDUP(SQRT((AL195-AI195)^2+(AM195-AJ195)^2+(AN195-AK195)^2)*(1+'Design Basis'!$C$6),0),ROUNDUP((ABS(AL195-AI195)+ABS(AM195-AJ195)+ABS(AO195-AK195)+ABS(AO195-AN195))*(1+'Design Basis'!$C$4)+2*'Design Basis'!$C$5,0)))</f>
        <v>165</v>
      </c>
      <c r="P195" s="28" t="n">
        <f aca="false">ROUND(O195*'Design Basis'!$C$10,0)</f>
        <v>541</v>
      </c>
      <c r="Q195" s="28" t="n">
        <f aca="false">O195*K195*AQ195</f>
        <v>330</v>
      </c>
      <c r="R195" s="28" t="n">
        <f aca="false">ROUND(Q195*'Design Basis'!$C$10,0)</f>
        <v>1083</v>
      </c>
      <c r="S195" s="29"/>
      <c r="T195" s="26"/>
      <c r="U195" s="29"/>
      <c r="V195" s="30"/>
      <c r="W195" s="28" t="str">
        <f aca="false">IF(OR(U195="",S195=""),"",IF(T195=3,U195*1000/(SQRT(3)*S195*V195),U195*1000/(S195*V195)))</f>
        <v/>
      </c>
      <c r="X195" s="30"/>
      <c r="Y195" s="28" t="str">
        <f aca="false">IF(W195="","",W195*IF(X195="",1,X195))</f>
        <v/>
      </c>
      <c r="Z195" s="28" t="str">
        <f aca="false">IF(OR(AS195="",AP195=""),"",AS195*AP195)</f>
        <v/>
      </c>
      <c r="AA195" s="28" t="str">
        <f aca="false">IF(Z195="","",Z195*K195)</f>
        <v/>
      </c>
      <c r="AB195" s="31" t="str">
        <f aca="false">IF(OR(Y195="",AA195=""),"",Y195/AA195)</f>
        <v/>
      </c>
      <c r="AC195" s="31" t="str">
        <f aca="false">IF(OR(W195="",AT195=""),"",AT195*(W195/K195)*O195/1000/S195)</f>
        <v/>
      </c>
      <c r="AD195" s="31" t="str">
        <f aca="false">IF(W195="","",IFERROR(IF(INDEX('Design Basis'!$C$13:$C$21,MATCH(C195,'Design Basis'!$A$13:$A$21,0))="","",INDEX('Design Basis'!$C$13:$C$21,MATCH(C195,'Design Basis'!$A$13:$A$21,0))),""))</f>
        <v/>
      </c>
      <c r="AE195" s="32" t="str">
        <f aca="false">IF(W195="","n/a",IF(AA195="","CHECK",IF(AND(AB195&lt;=1,OR(AC195="",AD195="",AC195&lt;=AD195)),"OK","CHECK")))</f>
        <v>n/a</v>
      </c>
      <c r="AF195" s="28" t="n">
        <f aca="false">IF(AR195="","",K195*AQ195*PI()/4*AR195^2)</f>
        <v>277.858162246749</v>
      </c>
      <c r="AG195" s="32"/>
      <c r="AI195" s="33" t="n">
        <f aca="false">INDEX(Equipment!$D$2:$D$153,MATCH(E195,Equipment!$A$2:$A$153,0))</f>
        <v>75</v>
      </c>
      <c r="AJ195" s="33" t="n">
        <f aca="false">INDEX(Equipment!$E$2:$E$153,MATCH(E195,Equipment!$A$2:$A$153,0))</f>
        <v>20</v>
      </c>
      <c r="AK195" s="33" t="n">
        <f aca="false">INDEX(Equipment!$F$2:$F$153,MATCH(E195,Equipment!$A$2:$A$153,0))</f>
        <v>-0.8</v>
      </c>
      <c r="AL195" s="33" t="n">
        <f aca="false">INDEX(Equipment!$D$2:$D$153,MATCH(G195,Equipment!$A$2:$A$153,0))</f>
        <v>-4</v>
      </c>
      <c r="AM195" s="33" t="n">
        <f aca="false">INDEX(Equipment!$E$2:$E$153,MATCH(G195,Equipment!$A$2:$A$153,0))</f>
        <v>85</v>
      </c>
      <c r="AN195" s="33" t="n">
        <f aca="false">INDEX(Equipment!$F$2:$F$153,MATCH(G195,Equipment!$A$2:$A$153,0))</f>
        <v>-0.8</v>
      </c>
      <c r="AO195" s="33" t="n">
        <f aca="false">IF(INDEX(Raceways!$D$2:$D$18,MATCH(L195,Raceways!$A$2:$A$18,0))="",0,INDEX(Raceways!$D$2:$D$18,MATCH(L195,Raceways!$A$2:$A$18,0)))</f>
        <v>-0.8</v>
      </c>
      <c r="AP195" s="34" t="str">
        <f aca="false">IF(INDEX(Raceways!$I$2:$I$18,MATCH(L195,Raceways!$A$2:$A$18,0))="","",INDEX(Raceways!$I$2:$I$18,MATCH(L195,Raceways!$A$2:$A$18,0)))</f>
        <v/>
      </c>
      <c r="AQ195" s="27" t="n">
        <f aca="false">INDEX('Cable Types'!$D$2:$D$45,MATCH(I195,'Cable Types'!$A$2:$A$45,0))</f>
        <v>1</v>
      </c>
      <c r="AR195" s="27" t="n">
        <f aca="false">IF(INDEX('Cable Types'!$E$2:$E$45,MATCH(I195,'Cable Types'!$A$2:$A$45,0))="","",INDEX('Cable Types'!$E$2:$E$45,MATCH(I195,'Cable Types'!$A$2:$A$45,0)))</f>
        <v>13.3</v>
      </c>
      <c r="AS195" s="27" t="str">
        <f aca="false">IF(INDEX('Cable Types'!$F$2:$F$45,MATCH(I195,'Cable Types'!$A$2:$A$45,0))="","",INDEX('Cable Types'!$F$2:$F$45,MATCH(I195,'Cable Types'!$A$2:$A$45,0)))</f>
        <v/>
      </c>
      <c r="AT195" s="35" t="str">
        <f aca="false">IF(INDEX('Cable Types'!$G$2:$G$45,MATCH(I195,'Cable Types'!$A$2:$A$45,0))="","",INDEX('Cable Types'!$G$2:$G$45,MATCH(I195,'Cable Types'!$A$2:$A$45,0)))</f>
        <v/>
      </c>
    </row>
    <row r="196" customFormat="false" ht="15" hidden="false" customHeight="false" outlineLevel="0" collapsed="false">
      <c r="A196" s="26" t="s">
        <v>1112</v>
      </c>
      <c r="B196" s="26" t="s">
        <v>336</v>
      </c>
      <c r="C196" s="26" t="s">
        <v>88</v>
      </c>
      <c r="D196" s="26" t="s">
        <v>1113</v>
      </c>
      <c r="E196" s="26" t="s">
        <v>231</v>
      </c>
      <c r="F196" s="27" t="str">
        <f aca="false">INDEX(Equipment!$B$2:$B$153,MATCH(E196,Equipment!$A$2:$A$153,0))</f>
        <v>Power block main earth grid (nearest riser)</v>
      </c>
      <c r="G196" s="26" t="s">
        <v>393</v>
      </c>
      <c r="H196" s="27" t="str">
        <f aca="false">INDEX(Equipment!$B$2:$B$153,MATCH(G196,Equipment!$A$2:$A$153,0))</f>
        <v>CCS area earth grid (nearest riser)</v>
      </c>
      <c r="I196" s="26" t="s">
        <v>623</v>
      </c>
      <c r="J196" s="27" t="str">
        <f aca="false">INDEX('Cable Types'!$B$2:$B$45,MATCH(I196,'Cable Types'!$A$2:$A$45,0))</f>
        <v>Bare stranded Cu 4/0 AWG ground grid conductor (buried)</v>
      </c>
      <c r="K196" s="26" t="n">
        <v>2</v>
      </c>
      <c r="L196" s="26" t="s">
        <v>1096</v>
      </c>
      <c r="M196" s="26" t="s">
        <v>703</v>
      </c>
      <c r="N196" s="26"/>
      <c r="O196" s="28" t="n">
        <f aca="false">IF(N196&lt;&gt;"",N196,IF(M196="D",ROUNDUP(SQRT((AL196-AI196)^2+(AM196-AJ196)^2+(AN196-AK196)^2)*(1+'Design Basis'!$C$6),0),ROUNDUP((ABS(AL196-AI196)+ABS(AM196-AJ196)+ABS(AO196-AK196)+ABS(AO196-AN196))*(1+'Design Basis'!$C$4)+2*'Design Basis'!$C$5,0)))</f>
        <v>138</v>
      </c>
      <c r="P196" s="28" t="n">
        <f aca="false">ROUND(O196*'Design Basis'!$C$10,0)</f>
        <v>453</v>
      </c>
      <c r="Q196" s="28" t="n">
        <f aca="false">O196*K196*AQ196</f>
        <v>276</v>
      </c>
      <c r="R196" s="28" t="n">
        <f aca="false">ROUND(Q196*'Design Basis'!$C$10,0)</f>
        <v>906</v>
      </c>
      <c r="S196" s="29"/>
      <c r="T196" s="26"/>
      <c r="U196" s="29"/>
      <c r="V196" s="30"/>
      <c r="W196" s="28" t="str">
        <f aca="false">IF(OR(U196="",S196=""),"",IF(T196=3,U196*1000/(SQRT(3)*S196*V196),U196*1000/(S196*V196)))</f>
        <v/>
      </c>
      <c r="X196" s="30"/>
      <c r="Y196" s="28" t="str">
        <f aca="false">IF(W196="","",W196*IF(X196="",1,X196))</f>
        <v/>
      </c>
      <c r="Z196" s="28" t="str">
        <f aca="false">IF(OR(AS196="",AP196=""),"",AS196*AP196)</f>
        <v/>
      </c>
      <c r="AA196" s="28" t="str">
        <f aca="false">IF(Z196="","",Z196*K196)</f>
        <v/>
      </c>
      <c r="AB196" s="31" t="str">
        <f aca="false">IF(OR(Y196="",AA196=""),"",Y196/AA196)</f>
        <v/>
      </c>
      <c r="AC196" s="31" t="str">
        <f aca="false">IF(OR(W196="",AT196=""),"",AT196*(W196/K196)*O196/1000/S196)</f>
        <v/>
      </c>
      <c r="AD196" s="31" t="str">
        <f aca="false">IF(W196="","",IFERROR(IF(INDEX('Design Basis'!$C$13:$C$21,MATCH(C196,'Design Basis'!$A$13:$A$21,0))="","",INDEX('Design Basis'!$C$13:$C$21,MATCH(C196,'Design Basis'!$A$13:$A$21,0))),""))</f>
        <v/>
      </c>
      <c r="AE196" s="32" t="str">
        <f aca="false">IF(W196="","n/a",IF(AA196="","CHECK",IF(AND(AB196&lt;=1,OR(AC196="",AD196="",AC196&lt;=AD196)),"OK","CHECK")))</f>
        <v>n/a</v>
      </c>
      <c r="AF196" s="28" t="n">
        <f aca="false">IF(AR196="","",K196*AQ196*PI()/4*AR196^2)</f>
        <v>277.858162246749</v>
      </c>
      <c r="AG196" s="32"/>
      <c r="AI196" s="33" t="n">
        <f aca="false">INDEX(Equipment!$D$2:$D$153,MATCH(E196,Equipment!$A$2:$A$153,0))</f>
        <v>75</v>
      </c>
      <c r="AJ196" s="33" t="n">
        <f aca="false">INDEX(Equipment!$E$2:$E$153,MATCH(E196,Equipment!$A$2:$A$153,0))</f>
        <v>20</v>
      </c>
      <c r="AK196" s="33" t="n">
        <f aca="false">INDEX(Equipment!$F$2:$F$153,MATCH(E196,Equipment!$A$2:$A$153,0))</f>
        <v>-0.8</v>
      </c>
      <c r="AL196" s="33" t="n">
        <f aca="false">INDEX(Equipment!$D$2:$D$153,MATCH(G196,Equipment!$A$2:$A$153,0))</f>
        <v>190</v>
      </c>
      <c r="AM196" s="33" t="n">
        <f aca="false">INDEX(Equipment!$E$2:$E$153,MATCH(G196,Equipment!$A$2:$A$153,0))</f>
        <v>25</v>
      </c>
      <c r="AN196" s="33" t="n">
        <f aca="false">INDEX(Equipment!$F$2:$F$153,MATCH(G196,Equipment!$A$2:$A$153,0))</f>
        <v>-0.8</v>
      </c>
      <c r="AO196" s="33" t="n">
        <f aca="false">IF(INDEX(Raceways!$D$2:$D$18,MATCH(L196,Raceways!$A$2:$A$18,0))="",0,INDEX(Raceways!$D$2:$D$18,MATCH(L196,Raceways!$A$2:$A$18,0)))</f>
        <v>-0.8</v>
      </c>
      <c r="AP196" s="34" t="str">
        <f aca="false">IF(INDEX(Raceways!$I$2:$I$18,MATCH(L196,Raceways!$A$2:$A$18,0))="","",INDEX(Raceways!$I$2:$I$18,MATCH(L196,Raceways!$A$2:$A$18,0)))</f>
        <v/>
      </c>
      <c r="AQ196" s="27" t="n">
        <f aca="false">INDEX('Cable Types'!$D$2:$D$45,MATCH(I196,'Cable Types'!$A$2:$A$45,0))</f>
        <v>1</v>
      </c>
      <c r="AR196" s="27" t="n">
        <f aca="false">IF(INDEX('Cable Types'!$E$2:$E$45,MATCH(I196,'Cable Types'!$A$2:$A$45,0))="","",INDEX('Cable Types'!$E$2:$E$45,MATCH(I196,'Cable Types'!$A$2:$A$45,0)))</f>
        <v>13.3</v>
      </c>
      <c r="AS196" s="27" t="str">
        <f aca="false">IF(INDEX('Cable Types'!$F$2:$F$45,MATCH(I196,'Cable Types'!$A$2:$A$45,0))="","",INDEX('Cable Types'!$F$2:$F$45,MATCH(I196,'Cable Types'!$A$2:$A$45,0)))</f>
        <v/>
      </c>
      <c r="AT196" s="35" t="str">
        <f aca="false">IF(INDEX('Cable Types'!$G$2:$G$45,MATCH(I196,'Cable Types'!$A$2:$A$45,0))="","",INDEX('Cable Types'!$G$2:$G$45,MATCH(I196,'Cable Types'!$A$2:$A$45,0)))</f>
        <v/>
      </c>
    </row>
    <row r="197" customFormat="false" ht="15" hidden="false" customHeight="false" outlineLevel="0" collapsed="false">
      <c r="A197" s="26" t="s">
        <v>1114</v>
      </c>
      <c r="B197" s="26" t="s">
        <v>449</v>
      </c>
      <c r="C197" s="26" t="s">
        <v>88</v>
      </c>
      <c r="D197" s="26" t="s">
        <v>1115</v>
      </c>
      <c r="E197" s="26" t="s">
        <v>231</v>
      </c>
      <c r="F197" s="27" t="str">
        <f aca="false">INDEX(Equipment!$B$2:$B$153,MATCH(E197,Equipment!$A$2:$A$153,0))</f>
        <v>Power block main earth grid (nearest riser)</v>
      </c>
      <c r="G197" s="26" t="s">
        <v>501</v>
      </c>
      <c r="H197" s="27" t="str">
        <f aca="false">INDEX(Equipment!$B$2:$B$153,MATCH(G197,Equipment!$A$2:$A$153,0))</f>
        <v>Gas / LNG area earth grid (nearest riser)</v>
      </c>
      <c r="I197" s="26" t="s">
        <v>623</v>
      </c>
      <c r="J197" s="27" t="str">
        <f aca="false">INDEX('Cable Types'!$B$2:$B$45,MATCH(I197,'Cable Types'!$A$2:$A$45,0))</f>
        <v>Bare stranded Cu 4/0 AWG ground grid conductor (buried)</v>
      </c>
      <c r="K197" s="26" t="n">
        <v>2</v>
      </c>
      <c r="L197" s="26" t="s">
        <v>1096</v>
      </c>
      <c r="M197" s="26" t="s">
        <v>703</v>
      </c>
      <c r="N197" s="26"/>
      <c r="O197" s="28" t="n">
        <f aca="false">IF(N197&lt;&gt;"",N197,IF(M197="D",ROUNDUP(SQRT((AL197-AI197)^2+(AM197-AJ197)^2+(AN197-AK197)^2)*(1+'Design Basis'!$C$6),0),ROUNDUP((ABS(AL197-AI197)+ABS(AM197-AJ197)+ABS(AO197-AK197)+ABS(AO197-AN197))*(1+'Design Basis'!$C$4)+2*'Design Basis'!$C$5,0)))</f>
        <v>138</v>
      </c>
      <c r="P197" s="28" t="n">
        <f aca="false">ROUND(O197*'Design Basis'!$C$10,0)</f>
        <v>453</v>
      </c>
      <c r="Q197" s="28" t="n">
        <f aca="false">O197*K197*AQ197</f>
        <v>276</v>
      </c>
      <c r="R197" s="28" t="n">
        <f aca="false">ROUND(Q197*'Design Basis'!$C$10,0)</f>
        <v>906</v>
      </c>
      <c r="S197" s="29"/>
      <c r="T197" s="26"/>
      <c r="U197" s="29"/>
      <c r="V197" s="30"/>
      <c r="W197" s="28" t="str">
        <f aca="false">IF(OR(U197="",S197=""),"",IF(T197=3,U197*1000/(SQRT(3)*S197*V197),U197*1000/(S197*V197)))</f>
        <v/>
      </c>
      <c r="X197" s="30"/>
      <c r="Y197" s="28" t="str">
        <f aca="false">IF(W197="","",W197*IF(X197="",1,X197))</f>
        <v/>
      </c>
      <c r="Z197" s="28" t="str">
        <f aca="false">IF(OR(AS197="",AP197=""),"",AS197*AP197)</f>
        <v/>
      </c>
      <c r="AA197" s="28" t="str">
        <f aca="false">IF(Z197="","",Z197*K197)</f>
        <v/>
      </c>
      <c r="AB197" s="31" t="str">
        <f aca="false">IF(OR(Y197="",AA197=""),"",Y197/AA197)</f>
        <v/>
      </c>
      <c r="AC197" s="31" t="str">
        <f aca="false">IF(OR(W197="",AT197=""),"",AT197*(W197/K197)*O197/1000/S197)</f>
        <v/>
      </c>
      <c r="AD197" s="31" t="str">
        <f aca="false">IF(W197="","",IFERROR(IF(INDEX('Design Basis'!$C$13:$C$21,MATCH(C197,'Design Basis'!$A$13:$A$21,0))="","",INDEX('Design Basis'!$C$13:$C$21,MATCH(C197,'Design Basis'!$A$13:$A$21,0))),""))</f>
        <v/>
      </c>
      <c r="AE197" s="32" t="str">
        <f aca="false">IF(W197="","n/a",IF(AA197="","CHECK",IF(AND(AB197&lt;=1,OR(AC197="",AD197="",AC197&lt;=AD197)),"OK","CHECK")))</f>
        <v>n/a</v>
      </c>
      <c r="AF197" s="28" t="n">
        <f aca="false">IF(AR197="","",K197*AQ197*PI()/4*AR197^2)</f>
        <v>277.858162246749</v>
      </c>
      <c r="AG197" s="32" t="s">
        <v>1116</v>
      </c>
      <c r="AI197" s="33" t="n">
        <f aca="false">INDEX(Equipment!$D$2:$D$153,MATCH(E197,Equipment!$A$2:$A$153,0))</f>
        <v>75</v>
      </c>
      <c r="AJ197" s="33" t="n">
        <f aca="false">INDEX(Equipment!$E$2:$E$153,MATCH(E197,Equipment!$A$2:$A$153,0))</f>
        <v>20</v>
      </c>
      <c r="AK197" s="33" t="n">
        <f aca="false">INDEX(Equipment!$F$2:$F$153,MATCH(E197,Equipment!$A$2:$A$153,0))</f>
        <v>-0.8</v>
      </c>
      <c r="AL197" s="33" t="n">
        <f aca="false">INDEX(Equipment!$D$2:$D$153,MATCH(G197,Equipment!$A$2:$A$153,0))</f>
        <v>-30</v>
      </c>
      <c r="AM197" s="33" t="n">
        <f aca="false">INDEX(Equipment!$E$2:$E$153,MATCH(G197,Equipment!$A$2:$A$153,0))</f>
        <v>5</v>
      </c>
      <c r="AN197" s="33" t="n">
        <f aca="false">INDEX(Equipment!$F$2:$F$153,MATCH(G197,Equipment!$A$2:$A$153,0))</f>
        <v>-0.8</v>
      </c>
      <c r="AO197" s="33" t="n">
        <f aca="false">IF(INDEX(Raceways!$D$2:$D$18,MATCH(L197,Raceways!$A$2:$A$18,0))="",0,INDEX(Raceways!$D$2:$D$18,MATCH(L197,Raceways!$A$2:$A$18,0)))</f>
        <v>-0.8</v>
      </c>
      <c r="AP197" s="34" t="str">
        <f aca="false">IF(INDEX(Raceways!$I$2:$I$18,MATCH(L197,Raceways!$A$2:$A$18,0))="","",INDEX(Raceways!$I$2:$I$18,MATCH(L197,Raceways!$A$2:$A$18,0)))</f>
        <v/>
      </c>
      <c r="AQ197" s="27" t="n">
        <f aca="false">INDEX('Cable Types'!$D$2:$D$45,MATCH(I197,'Cable Types'!$A$2:$A$45,0))</f>
        <v>1</v>
      </c>
      <c r="AR197" s="27" t="n">
        <f aca="false">IF(INDEX('Cable Types'!$E$2:$E$45,MATCH(I197,'Cable Types'!$A$2:$A$45,0))="","",INDEX('Cable Types'!$E$2:$E$45,MATCH(I197,'Cable Types'!$A$2:$A$45,0)))</f>
        <v>13.3</v>
      </c>
      <c r="AS197" s="27" t="str">
        <f aca="false">IF(INDEX('Cable Types'!$F$2:$F$45,MATCH(I197,'Cable Types'!$A$2:$A$45,0))="","",INDEX('Cable Types'!$F$2:$F$45,MATCH(I197,'Cable Types'!$A$2:$A$45,0)))</f>
        <v/>
      </c>
      <c r="AT197" s="35" t="str">
        <f aca="false">IF(INDEX('Cable Types'!$G$2:$G$45,MATCH(I197,'Cable Types'!$A$2:$A$45,0))="","",INDEX('Cable Types'!$G$2:$G$45,MATCH(I197,'Cable Types'!$A$2:$A$45,0)))</f>
        <v/>
      </c>
    </row>
    <row r="198" customFormat="false" ht="15" hidden="false" customHeight="false" outlineLevel="0" collapsed="false">
      <c r="A198" s="26" t="s">
        <v>1117</v>
      </c>
      <c r="B198" s="26" t="s">
        <v>139</v>
      </c>
      <c r="C198" s="26" t="s">
        <v>88</v>
      </c>
      <c r="D198" s="26" t="s">
        <v>1118</v>
      </c>
      <c r="E198" s="26" t="s">
        <v>147</v>
      </c>
      <c r="F198" s="27" t="str">
        <f aca="false">INDEX(Equipment!$B$2:$B$153,MATCH(E198,Equipment!$A$2:$A$153,0))</f>
        <v>GT step-up transformer - LV bushings / marshalling box</v>
      </c>
      <c r="G198" s="26" t="s">
        <v>231</v>
      </c>
      <c r="H198" s="27" t="str">
        <f aca="false">INDEX(Equipment!$B$2:$B$153,MATCH(G198,Equipment!$A$2:$A$153,0))</f>
        <v>Power block main earth grid (nearest riser)</v>
      </c>
      <c r="I198" s="26" t="s">
        <v>626</v>
      </c>
      <c r="J198" s="27" t="str">
        <f aca="false">INDEX('Cable Types'!$B$2:$B$45,MATCH(I198,'Cable Types'!$A$2:$A$45,0))</f>
        <v>Green insulated Cu 2/0 AWG bonding jumper</v>
      </c>
      <c r="K198" s="26" t="n">
        <v>4</v>
      </c>
      <c r="L198" s="26" t="s">
        <v>1096</v>
      </c>
      <c r="M198" s="26" t="s">
        <v>703</v>
      </c>
      <c r="N198" s="26" t="n">
        <v>15</v>
      </c>
      <c r="O198" s="28" t="n">
        <f aca="false">IF(N198&lt;&gt;"",N198,IF(M198="D",ROUNDUP(SQRT((AL198-AI198)^2+(AM198-AJ198)^2+(AN198-AK198)^2)*(1+'Design Basis'!$C$6),0),ROUNDUP((ABS(AL198-AI198)+ABS(AM198-AJ198)+ABS(AO198-AK198)+ABS(AO198-AN198))*(1+'Design Basis'!$C$4)+2*'Design Basis'!$C$5,0)))</f>
        <v>15</v>
      </c>
      <c r="P198" s="28" t="n">
        <f aca="false">ROUND(O198*'Design Basis'!$C$10,0)</f>
        <v>49</v>
      </c>
      <c r="Q198" s="28" t="n">
        <f aca="false">O198*K198*AQ198</f>
        <v>60</v>
      </c>
      <c r="R198" s="28" t="n">
        <f aca="false">ROUND(Q198*'Design Basis'!$C$10,0)</f>
        <v>197</v>
      </c>
      <c r="S198" s="29"/>
      <c r="T198" s="26"/>
      <c r="U198" s="29"/>
      <c r="V198" s="30"/>
      <c r="W198" s="28" t="str">
        <f aca="false">IF(OR(U198="",S198=""),"",IF(T198=3,U198*1000/(SQRT(3)*S198*V198),U198*1000/(S198*V198)))</f>
        <v/>
      </c>
      <c r="X198" s="30"/>
      <c r="Y198" s="28" t="str">
        <f aca="false">IF(W198="","",W198*IF(X198="",1,X198))</f>
        <v/>
      </c>
      <c r="Z198" s="28" t="str">
        <f aca="false">IF(OR(AS198="",AP198=""),"",AS198*AP198)</f>
        <v/>
      </c>
      <c r="AA198" s="28" t="str">
        <f aca="false">IF(Z198="","",Z198*K198)</f>
        <v/>
      </c>
      <c r="AB198" s="31" t="str">
        <f aca="false">IF(OR(Y198="",AA198=""),"",Y198/AA198)</f>
        <v/>
      </c>
      <c r="AC198" s="31" t="str">
        <f aca="false">IF(OR(W198="",AT198=""),"",AT198*(W198/K198)*O198/1000/S198)</f>
        <v/>
      </c>
      <c r="AD198" s="31" t="str">
        <f aca="false">IF(W198="","",IFERROR(IF(INDEX('Design Basis'!$C$13:$C$21,MATCH(C198,'Design Basis'!$A$13:$A$21,0))="","",INDEX('Design Basis'!$C$13:$C$21,MATCH(C198,'Design Basis'!$A$13:$A$21,0))),""))</f>
        <v/>
      </c>
      <c r="AE198" s="32" t="str">
        <f aca="false">IF(W198="","n/a",IF(AA198="","CHECK",IF(AND(AB198&lt;=1,OR(AC198="",AD198="",AC198&lt;=AD198)),"OK","CHECK")))</f>
        <v>n/a</v>
      </c>
      <c r="AF198" s="28" t="n">
        <f aca="false">IF(AR198="","",K198*AQ198*PI()/4*AR198^2)</f>
        <v>706.858347057703</v>
      </c>
      <c r="AG198" s="32"/>
      <c r="AI198" s="33" t="n">
        <f aca="false">INDEX(Equipment!$D$2:$D$153,MATCH(E198,Equipment!$A$2:$A$153,0))</f>
        <v>54</v>
      </c>
      <c r="AJ198" s="33" t="n">
        <f aca="false">INDEX(Equipment!$E$2:$E$153,MATCH(E198,Equipment!$A$2:$A$153,0))</f>
        <v>60</v>
      </c>
      <c r="AK198" s="33" t="n">
        <f aca="false">INDEX(Equipment!$F$2:$F$153,MATCH(E198,Equipment!$A$2:$A$153,0))</f>
        <v>4.5</v>
      </c>
      <c r="AL198" s="33" t="n">
        <f aca="false">INDEX(Equipment!$D$2:$D$153,MATCH(G198,Equipment!$A$2:$A$153,0))</f>
        <v>75</v>
      </c>
      <c r="AM198" s="33" t="n">
        <f aca="false">INDEX(Equipment!$E$2:$E$153,MATCH(G198,Equipment!$A$2:$A$153,0))</f>
        <v>20</v>
      </c>
      <c r="AN198" s="33" t="n">
        <f aca="false">INDEX(Equipment!$F$2:$F$153,MATCH(G198,Equipment!$A$2:$A$153,0))</f>
        <v>-0.8</v>
      </c>
      <c r="AO198" s="33" t="n">
        <f aca="false">IF(INDEX(Raceways!$D$2:$D$18,MATCH(L198,Raceways!$A$2:$A$18,0))="",0,INDEX(Raceways!$D$2:$D$18,MATCH(L198,Raceways!$A$2:$A$18,0)))</f>
        <v>-0.8</v>
      </c>
      <c r="AP198" s="34" t="str">
        <f aca="false">IF(INDEX(Raceways!$I$2:$I$18,MATCH(L198,Raceways!$A$2:$A$18,0))="","",INDEX(Raceways!$I$2:$I$18,MATCH(L198,Raceways!$A$2:$A$18,0)))</f>
        <v/>
      </c>
      <c r="AQ198" s="27" t="n">
        <f aca="false">INDEX('Cable Types'!$D$2:$D$45,MATCH(I198,'Cable Types'!$A$2:$A$45,0))</f>
        <v>1</v>
      </c>
      <c r="AR198" s="27" t="n">
        <f aca="false">IF(INDEX('Cable Types'!$E$2:$E$45,MATCH(I198,'Cable Types'!$A$2:$A$45,0))="","",INDEX('Cable Types'!$E$2:$E$45,MATCH(I198,'Cable Types'!$A$2:$A$45,0)))</f>
        <v>15</v>
      </c>
      <c r="AS198" s="27" t="str">
        <f aca="false">IF(INDEX('Cable Types'!$F$2:$F$45,MATCH(I198,'Cable Types'!$A$2:$A$45,0))="","",INDEX('Cable Types'!$F$2:$F$45,MATCH(I198,'Cable Types'!$A$2:$A$45,0)))</f>
        <v/>
      </c>
      <c r="AT198" s="35" t="str">
        <f aca="false">IF(INDEX('Cable Types'!$G$2:$G$45,MATCH(I198,'Cable Types'!$A$2:$A$45,0))="","",INDEX('Cable Types'!$G$2:$G$45,MATCH(I198,'Cable Types'!$A$2:$A$45,0)))</f>
        <v/>
      </c>
    </row>
    <row r="199" customFormat="false" ht="15" hidden="false" customHeight="false" outlineLevel="0" collapsed="false">
      <c r="A199" s="26" t="s">
        <v>1119</v>
      </c>
      <c r="B199" s="26" t="s">
        <v>139</v>
      </c>
      <c r="C199" s="26" t="s">
        <v>88</v>
      </c>
      <c r="D199" s="26" t="s">
        <v>1120</v>
      </c>
      <c r="E199" s="26" t="s">
        <v>152</v>
      </c>
      <c r="F199" s="27" t="str">
        <f aca="false">INDEX(Equipment!$B$2:$B$153,MATCH(E199,Equipment!$A$2:$A$153,0))</f>
        <v>ST step-up transformer - LV bushings / marshalling box</v>
      </c>
      <c r="G199" s="26" t="s">
        <v>231</v>
      </c>
      <c r="H199" s="27" t="str">
        <f aca="false">INDEX(Equipment!$B$2:$B$153,MATCH(G199,Equipment!$A$2:$A$153,0))</f>
        <v>Power block main earth grid (nearest riser)</v>
      </c>
      <c r="I199" s="26" t="s">
        <v>626</v>
      </c>
      <c r="J199" s="27" t="str">
        <f aca="false">INDEX('Cable Types'!$B$2:$B$45,MATCH(I199,'Cable Types'!$A$2:$A$45,0))</f>
        <v>Green insulated Cu 2/0 AWG bonding jumper</v>
      </c>
      <c r="K199" s="26" t="n">
        <v>4</v>
      </c>
      <c r="L199" s="26" t="s">
        <v>1096</v>
      </c>
      <c r="M199" s="26" t="s">
        <v>703</v>
      </c>
      <c r="N199" s="26" t="n">
        <v>15</v>
      </c>
      <c r="O199" s="28" t="n">
        <f aca="false">IF(N199&lt;&gt;"",N199,IF(M199="D",ROUNDUP(SQRT((AL199-AI199)^2+(AM199-AJ199)^2+(AN199-AK199)^2)*(1+'Design Basis'!$C$6),0),ROUNDUP((ABS(AL199-AI199)+ABS(AM199-AJ199)+ABS(AO199-AK199)+ABS(AO199-AN199))*(1+'Design Basis'!$C$4)+2*'Design Basis'!$C$5,0)))</f>
        <v>15</v>
      </c>
      <c r="P199" s="28" t="n">
        <f aca="false">ROUND(O199*'Design Basis'!$C$10,0)</f>
        <v>49</v>
      </c>
      <c r="Q199" s="28" t="n">
        <f aca="false">O199*K199*AQ199</f>
        <v>60</v>
      </c>
      <c r="R199" s="28" t="n">
        <f aca="false">ROUND(Q199*'Design Basis'!$C$10,0)</f>
        <v>197</v>
      </c>
      <c r="S199" s="29"/>
      <c r="T199" s="26"/>
      <c r="U199" s="29"/>
      <c r="V199" s="30"/>
      <c r="W199" s="28" t="str">
        <f aca="false">IF(OR(U199="",S199=""),"",IF(T199=3,U199*1000/(SQRT(3)*S199*V199),U199*1000/(S199*V199)))</f>
        <v/>
      </c>
      <c r="X199" s="30"/>
      <c r="Y199" s="28" t="str">
        <f aca="false">IF(W199="","",W199*IF(X199="",1,X199))</f>
        <v/>
      </c>
      <c r="Z199" s="28" t="str">
        <f aca="false">IF(OR(AS199="",AP199=""),"",AS199*AP199)</f>
        <v/>
      </c>
      <c r="AA199" s="28" t="str">
        <f aca="false">IF(Z199="","",Z199*K199)</f>
        <v/>
      </c>
      <c r="AB199" s="31" t="str">
        <f aca="false">IF(OR(Y199="",AA199=""),"",Y199/AA199)</f>
        <v/>
      </c>
      <c r="AC199" s="31" t="str">
        <f aca="false">IF(OR(W199="",AT199=""),"",AT199*(W199/K199)*O199/1000/S199)</f>
        <v/>
      </c>
      <c r="AD199" s="31" t="str">
        <f aca="false">IF(W199="","",IFERROR(IF(INDEX('Design Basis'!$C$13:$C$21,MATCH(C199,'Design Basis'!$A$13:$A$21,0))="","",INDEX('Design Basis'!$C$13:$C$21,MATCH(C199,'Design Basis'!$A$13:$A$21,0))),""))</f>
        <v/>
      </c>
      <c r="AE199" s="32" t="str">
        <f aca="false">IF(W199="","n/a",IF(AA199="","CHECK",IF(AND(AB199&lt;=1,OR(AC199="",AD199="",AC199&lt;=AD199)),"OK","CHECK")))</f>
        <v>n/a</v>
      </c>
      <c r="AF199" s="28" t="n">
        <f aca="false">IF(AR199="","",K199*AQ199*PI()/4*AR199^2)</f>
        <v>706.858347057703</v>
      </c>
      <c r="AG199" s="32"/>
      <c r="AI199" s="33" t="n">
        <f aca="false">INDEX(Equipment!$D$2:$D$153,MATCH(E199,Equipment!$A$2:$A$153,0))</f>
        <v>74</v>
      </c>
      <c r="AJ199" s="33" t="n">
        <f aca="false">INDEX(Equipment!$E$2:$E$153,MATCH(E199,Equipment!$A$2:$A$153,0))</f>
        <v>60</v>
      </c>
      <c r="AK199" s="33" t="n">
        <f aca="false">INDEX(Equipment!$F$2:$F$153,MATCH(E199,Equipment!$A$2:$A$153,0))</f>
        <v>4.5</v>
      </c>
      <c r="AL199" s="33" t="n">
        <f aca="false">INDEX(Equipment!$D$2:$D$153,MATCH(G199,Equipment!$A$2:$A$153,0))</f>
        <v>75</v>
      </c>
      <c r="AM199" s="33" t="n">
        <f aca="false">INDEX(Equipment!$E$2:$E$153,MATCH(G199,Equipment!$A$2:$A$153,0))</f>
        <v>20</v>
      </c>
      <c r="AN199" s="33" t="n">
        <f aca="false">INDEX(Equipment!$F$2:$F$153,MATCH(G199,Equipment!$A$2:$A$153,0))</f>
        <v>-0.8</v>
      </c>
      <c r="AO199" s="33" t="n">
        <f aca="false">IF(INDEX(Raceways!$D$2:$D$18,MATCH(L199,Raceways!$A$2:$A$18,0))="",0,INDEX(Raceways!$D$2:$D$18,MATCH(L199,Raceways!$A$2:$A$18,0)))</f>
        <v>-0.8</v>
      </c>
      <c r="AP199" s="34" t="str">
        <f aca="false">IF(INDEX(Raceways!$I$2:$I$18,MATCH(L199,Raceways!$A$2:$A$18,0))="","",INDEX(Raceways!$I$2:$I$18,MATCH(L199,Raceways!$A$2:$A$18,0)))</f>
        <v/>
      </c>
      <c r="AQ199" s="27" t="n">
        <f aca="false">INDEX('Cable Types'!$D$2:$D$45,MATCH(I199,'Cable Types'!$A$2:$A$45,0))</f>
        <v>1</v>
      </c>
      <c r="AR199" s="27" t="n">
        <f aca="false">IF(INDEX('Cable Types'!$E$2:$E$45,MATCH(I199,'Cable Types'!$A$2:$A$45,0))="","",INDEX('Cable Types'!$E$2:$E$45,MATCH(I199,'Cable Types'!$A$2:$A$45,0)))</f>
        <v>15</v>
      </c>
      <c r="AS199" s="27" t="str">
        <f aca="false">IF(INDEX('Cable Types'!$F$2:$F$45,MATCH(I199,'Cable Types'!$A$2:$A$45,0))="","",INDEX('Cable Types'!$F$2:$F$45,MATCH(I199,'Cable Types'!$A$2:$A$45,0)))</f>
        <v/>
      </c>
      <c r="AT199" s="35" t="str">
        <f aca="false">IF(INDEX('Cable Types'!$G$2:$G$45,MATCH(I199,'Cable Types'!$A$2:$A$45,0))="","",INDEX('Cable Types'!$G$2:$G$45,MATCH(I199,'Cable Types'!$A$2:$A$45,0)))</f>
        <v/>
      </c>
    </row>
    <row r="200" customFormat="false" ht="15" hidden="false" customHeight="false" outlineLevel="0" collapsed="false">
      <c r="A200" s="26" t="s">
        <v>1121</v>
      </c>
      <c r="B200" s="26" t="s">
        <v>139</v>
      </c>
      <c r="C200" s="26" t="s">
        <v>88</v>
      </c>
      <c r="D200" s="26" t="s">
        <v>1122</v>
      </c>
      <c r="E200" s="26" t="s">
        <v>204</v>
      </c>
      <c r="F200" s="27" t="str">
        <f aca="false">INDEX(Equipment!$B$2:$B$153,MATCH(E200,Equipment!$A$2:$A$153,0))</f>
        <v>HRSG stack (lightning down conductor)</v>
      </c>
      <c r="G200" s="26" t="s">
        <v>231</v>
      </c>
      <c r="H200" s="27" t="str">
        <f aca="false">INDEX(Equipment!$B$2:$B$153,MATCH(G200,Equipment!$A$2:$A$153,0))</f>
        <v>Power block main earth grid (nearest riser)</v>
      </c>
      <c r="I200" s="26" t="s">
        <v>623</v>
      </c>
      <c r="J200" s="27" t="str">
        <f aca="false">INDEX('Cable Types'!$B$2:$B$45,MATCH(I200,'Cable Types'!$A$2:$A$45,0))</f>
        <v>Bare stranded Cu 4/0 AWG ground grid conductor (buried)</v>
      </c>
      <c r="K200" s="26" t="n">
        <v>2</v>
      </c>
      <c r="L200" s="26" t="s">
        <v>1096</v>
      </c>
      <c r="M200" s="26" t="s">
        <v>703</v>
      </c>
      <c r="N200" s="26" t="n">
        <v>70</v>
      </c>
      <c r="O200" s="28" t="n">
        <f aca="false">IF(N200&lt;&gt;"",N200,IF(M200="D",ROUNDUP(SQRT((AL200-AI200)^2+(AM200-AJ200)^2+(AN200-AK200)^2)*(1+'Design Basis'!$C$6),0),ROUNDUP((ABS(AL200-AI200)+ABS(AM200-AJ200)+ABS(AO200-AK200)+ABS(AO200-AN200))*(1+'Design Basis'!$C$4)+2*'Design Basis'!$C$5,0)))</f>
        <v>70</v>
      </c>
      <c r="P200" s="28" t="n">
        <f aca="false">ROUND(O200*'Design Basis'!$C$10,0)</f>
        <v>230</v>
      </c>
      <c r="Q200" s="28" t="n">
        <f aca="false">O200*K200*AQ200</f>
        <v>140</v>
      </c>
      <c r="R200" s="28" t="n">
        <f aca="false">ROUND(Q200*'Design Basis'!$C$10,0)</f>
        <v>459</v>
      </c>
      <c r="S200" s="29"/>
      <c r="T200" s="26"/>
      <c r="U200" s="29"/>
      <c r="V200" s="30"/>
      <c r="W200" s="28" t="str">
        <f aca="false">IF(OR(U200="",S200=""),"",IF(T200=3,U200*1000/(SQRT(3)*S200*V200),U200*1000/(S200*V200)))</f>
        <v/>
      </c>
      <c r="X200" s="30"/>
      <c r="Y200" s="28" t="str">
        <f aca="false">IF(W200="","",W200*IF(X200="",1,X200))</f>
        <v/>
      </c>
      <c r="Z200" s="28" t="str">
        <f aca="false">IF(OR(AS200="",AP200=""),"",AS200*AP200)</f>
        <v/>
      </c>
      <c r="AA200" s="28" t="str">
        <f aca="false">IF(Z200="","",Z200*K200)</f>
        <v/>
      </c>
      <c r="AB200" s="31" t="str">
        <f aca="false">IF(OR(Y200="",AA200=""),"",Y200/AA200)</f>
        <v/>
      </c>
      <c r="AC200" s="31" t="str">
        <f aca="false">IF(OR(W200="",AT200=""),"",AT200*(W200/K200)*O200/1000/S200)</f>
        <v/>
      </c>
      <c r="AD200" s="31" t="str">
        <f aca="false">IF(W200="","",IFERROR(IF(INDEX('Design Basis'!$C$13:$C$21,MATCH(C200,'Design Basis'!$A$13:$A$21,0))="","",INDEX('Design Basis'!$C$13:$C$21,MATCH(C200,'Design Basis'!$A$13:$A$21,0))),""))</f>
        <v/>
      </c>
      <c r="AE200" s="32" t="str">
        <f aca="false">IF(W200="","n/a",IF(AA200="","CHECK",IF(AND(AB200&lt;=1,OR(AC200="",AD200="",AC200&lt;=AD200)),"OK","CHECK")))</f>
        <v>n/a</v>
      </c>
      <c r="AF200" s="28" t="n">
        <f aca="false">IF(AR200="","",K200*AQ200*PI()/4*AR200^2)</f>
        <v>277.858162246749</v>
      </c>
      <c r="AG200" s="32"/>
      <c r="AI200" s="33" t="n">
        <f aca="false">INDEX(Equipment!$D$2:$D$153,MATCH(E200,Equipment!$A$2:$A$153,0))</f>
        <v>117</v>
      </c>
      <c r="AJ200" s="33" t="n">
        <f aca="false">INDEX(Equipment!$E$2:$E$153,MATCH(E200,Equipment!$A$2:$A$153,0))</f>
        <v>3</v>
      </c>
      <c r="AK200" s="33" t="n">
        <f aca="false">INDEX(Equipment!$F$2:$F$153,MATCH(E200,Equipment!$A$2:$A$153,0))</f>
        <v>55</v>
      </c>
      <c r="AL200" s="33" t="n">
        <f aca="false">INDEX(Equipment!$D$2:$D$153,MATCH(G200,Equipment!$A$2:$A$153,0))</f>
        <v>75</v>
      </c>
      <c r="AM200" s="33" t="n">
        <f aca="false">INDEX(Equipment!$E$2:$E$153,MATCH(G200,Equipment!$A$2:$A$153,0))</f>
        <v>20</v>
      </c>
      <c r="AN200" s="33" t="n">
        <f aca="false">INDEX(Equipment!$F$2:$F$153,MATCH(G200,Equipment!$A$2:$A$153,0))</f>
        <v>-0.8</v>
      </c>
      <c r="AO200" s="33" t="n">
        <f aca="false">IF(INDEX(Raceways!$D$2:$D$18,MATCH(L200,Raceways!$A$2:$A$18,0))="",0,INDEX(Raceways!$D$2:$D$18,MATCH(L200,Raceways!$A$2:$A$18,0)))</f>
        <v>-0.8</v>
      </c>
      <c r="AP200" s="34" t="str">
        <f aca="false">IF(INDEX(Raceways!$I$2:$I$18,MATCH(L200,Raceways!$A$2:$A$18,0))="","",INDEX(Raceways!$I$2:$I$18,MATCH(L200,Raceways!$A$2:$A$18,0)))</f>
        <v/>
      </c>
      <c r="AQ200" s="27" t="n">
        <f aca="false">INDEX('Cable Types'!$D$2:$D$45,MATCH(I200,'Cable Types'!$A$2:$A$45,0))</f>
        <v>1</v>
      </c>
      <c r="AR200" s="27" t="n">
        <f aca="false">IF(INDEX('Cable Types'!$E$2:$E$45,MATCH(I200,'Cable Types'!$A$2:$A$45,0))="","",INDEX('Cable Types'!$E$2:$E$45,MATCH(I200,'Cable Types'!$A$2:$A$45,0)))</f>
        <v>13.3</v>
      </c>
      <c r="AS200" s="27" t="str">
        <f aca="false">IF(INDEX('Cable Types'!$F$2:$F$45,MATCH(I200,'Cable Types'!$A$2:$A$45,0))="","",INDEX('Cable Types'!$F$2:$F$45,MATCH(I200,'Cable Types'!$A$2:$A$45,0)))</f>
        <v/>
      </c>
      <c r="AT200" s="35" t="str">
        <f aca="false">IF(INDEX('Cable Types'!$G$2:$G$45,MATCH(I200,'Cable Types'!$A$2:$A$45,0))="","",INDEX('Cable Types'!$G$2:$G$45,MATCH(I200,'Cable Types'!$A$2:$A$45,0)))</f>
        <v/>
      </c>
    </row>
    <row r="201" customFormat="false" ht="15" hidden="false" customHeight="false" outlineLevel="0" collapsed="false">
      <c r="A201" s="26" t="s">
        <v>1123</v>
      </c>
      <c r="B201" s="26" t="s">
        <v>336</v>
      </c>
      <c r="C201" s="26" t="s">
        <v>88</v>
      </c>
      <c r="D201" s="26" t="s">
        <v>1124</v>
      </c>
      <c r="E201" s="26" t="s">
        <v>391</v>
      </c>
      <c r="F201" s="27" t="str">
        <f aca="false">INDEX(Equipment!$B$2:$B$153,MATCH(E201,Equipment!$A$2:$A$153,0))</f>
        <v>Absorber column shell (lightning / bonding)</v>
      </c>
      <c r="G201" s="26" t="s">
        <v>393</v>
      </c>
      <c r="H201" s="27" t="str">
        <f aca="false">INDEX(Equipment!$B$2:$B$153,MATCH(G201,Equipment!$A$2:$A$153,0))</f>
        <v>CCS area earth grid (nearest riser)</v>
      </c>
      <c r="I201" s="26" t="s">
        <v>626</v>
      </c>
      <c r="J201" s="27" t="str">
        <f aca="false">INDEX('Cable Types'!$B$2:$B$45,MATCH(I201,'Cable Types'!$A$2:$A$45,0))</f>
        <v>Green insulated Cu 2/0 AWG bonding jumper</v>
      </c>
      <c r="K201" s="26" t="n">
        <v>2</v>
      </c>
      <c r="L201" s="26" t="s">
        <v>1096</v>
      </c>
      <c r="M201" s="26" t="s">
        <v>703</v>
      </c>
      <c r="N201" s="26" t="n">
        <v>10</v>
      </c>
      <c r="O201" s="28" t="n">
        <f aca="false">IF(N201&lt;&gt;"",N201,IF(M201="D",ROUNDUP(SQRT((AL201-AI201)^2+(AM201-AJ201)^2+(AN201-AK201)^2)*(1+'Design Basis'!$C$6),0),ROUNDUP((ABS(AL201-AI201)+ABS(AM201-AJ201)+ABS(AO201-AK201)+ABS(AO201-AN201))*(1+'Design Basis'!$C$4)+2*'Design Basis'!$C$5,0)))</f>
        <v>10</v>
      </c>
      <c r="P201" s="28" t="n">
        <f aca="false">ROUND(O201*'Design Basis'!$C$10,0)</f>
        <v>33</v>
      </c>
      <c r="Q201" s="28" t="n">
        <f aca="false">O201*K201*AQ201</f>
        <v>20</v>
      </c>
      <c r="R201" s="28" t="n">
        <f aca="false">ROUND(Q201*'Design Basis'!$C$10,0)</f>
        <v>66</v>
      </c>
      <c r="S201" s="29"/>
      <c r="T201" s="26"/>
      <c r="U201" s="29"/>
      <c r="V201" s="30"/>
      <c r="W201" s="28" t="str">
        <f aca="false">IF(OR(U201="",S201=""),"",IF(T201=3,U201*1000/(SQRT(3)*S201*V201),U201*1000/(S201*V201)))</f>
        <v/>
      </c>
      <c r="X201" s="30"/>
      <c r="Y201" s="28" t="str">
        <f aca="false">IF(W201="","",W201*IF(X201="",1,X201))</f>
        <v/>
      </c>
      <c r="Z201" s="28" t="str">
        <f aca="false">IF(OR(AS201="",AP201=""),"",AS201*AP201)</f>
        <v/>
      </c>
      <c r="AA201" s="28" t="str">
        <f aca="false">IF(Z201="","",Z201*K201)</f>
        <v/>
      </c>
      <c r="AB201" s="31" t="str">
        <f aca="false">IF(OR(Y201="",AA201=""),"",Y201/AA201)</f>
        <v/>
      </c>
      <c r="AC201" s="31" t="str">
        <f aca="false">IF(OR(W201="",AT201=""),"",AT201*(W201/K201)*O201/1000/S201)</f>
        <v/>
      </c>
      <c r="AD201" s="31" t="str">
        <f aca="false">IF(W201="","",IFERROR(IF(INDEX('Design Basis'!$C$13:$C$21,MATCH(C201,'Design Basis'!$A$13:$A$21,0))="","",INDEX('Design Basis'!$C$13:$C$21,MATCH(C201,'Design Basis'!$A$13:$A$21,0))),""))</f>
        <v/>
      </c>
      <c r="AE201" s="32" t="str">
        <f aca="false">IF(W201="","n/a",IF(AA201="","CHECK",IF(AND(AB201&lt;=1,OR(AC201="",AD201="",AC201&lt;=AD201)),"OK","CHECK")))</f>
        <v>n/a</v>
      </c>
      <c r="AF201" s="28" t="n">
        <f aca="false">IF(AR201="","",K201*AQ201*PI()/4*AR201^2)</f>
        <v>353.429173528852</v>
      </c>
      <c r="AG201" s="32"/>
      <c r="AI201" s="33" t="n">
        <f aca="false">INDEX(Equipment!$D$2:$D$153,MATCH(E201,Equipment!$A$2:$A$153,0))</f>
        <v>170</v>
      </c>
      <c r="AJ201" s="33" t="n">
        <f aca="false">INDEX(Equipment!$E$2:$E$153,MATCH(E201,Equipment!$A$2:$A$153,0))</f>
        <v>6</v>
      </c>
      <c r="AK201" s="33" t="n">
        <f aca="false">INDEX(Equipment!$F$2:$F$153,MATCH(E201,Equipment!$A$2:$A$153,0))</f>
        <v>0</v>
      </c>
      <c r="AL201" s="33" t="n">
        <f aca="false">INDEX(Equipment!$D$2:$D$153,MATCH(G201,Equipment!$A$2:$A$153,0))</f>
        <v>190</v>
      </c>
      <c r="AM201" s="33" t="n">
        <f aca="false">INDEX(Equipment!$E$2:$E$153,MATCH(G201,Equipment!$A$2:$A$153,0))</f>
        <v>25</v>
      </c>
      <c r="AN201" s="33" t="n">
        <f aca="false">INDEX(Equipment!$F$2:$F$153,MATCH(G201,Equipment!$A$2:$A$153,0))</f>
        <v>-0.8</v>
      </c>
      <c r="AO201" s="33" t="n">
        <f aca="false">IF(INDEX(Raceways!$D$2:$D$18,MATCH(L201,Raceways!$A$2:$A$18,0))="",0,INDEX(Raceways!$D$2:$D$18,MATCH(L201,Raceways!$A$2:$A$18,0)))</f>
        <v>-0.8</v>
      </c>
      <c r="AP201" s="34" t="str">
        <f aca="false">IF(INDEX(Raceways!$I$2:$I$18,MATCH(L201,Raceways!$A$2:$A$18,0))="","",INDEX(Raceways!$I$2:$I$18,MATCH(L201,Raceways!$A$2:$A$18,0)))</f>
        <v/>
      </c>
      <c r="AQ201" s="27" t="n">
        <f aca="false">INDEX('Cable Types'!$D$2:$D$45,MATCH(I201,'Cable Types'!$A$2:$A$45,0))</f>
        <v>1</v>
      </c>
      <c r="AR201" s="27" t="n">
        <f aca="false">IF(INDEX('Cable Types'!$E$2:$E$45,MATCH(I201,'Cable Types'!$A$2:$A$45,0))="","",INDEX('Cable Types'!$E$2:$E$45,MATCH(I201,'Cable Types'!$A$2:$A$45,0)))</f>
        <v>15</v>
      </c>
      <c r="AS201" s="27" t="str">
        <f aca="false">IF(INDEX('Cable Types'!$F$2:$F$45,MATCH(I201,'Cable Types'!$A$2:$A$45,0))="","",INDEX('Cable Types'!$F$2:$F$45,MATCH(I201,'Cable Types'!$A$2:$A$45,0)))</f>
        <v/>
      </c>
      <c r="AT201" s="35" t="str">
        <f aca="false">IF(INDEX('Cable Types'!$G$2:$G$45,MATCH(I201,'Cable Types'!$A$2:$A$45,0))="","",INDEX('Cable Types'!$G$2:$G$45,MATCH(I201,'Cable Types'!$A$2:$A$45,0)))</f>
        <v/>
      </c>
    </row>
    <row r="202" customFormat="false" ht="15" hidden="false" customHeight="false" outlineLevel="0" collapsed="false">
      <c r="A202" s="26" t="s">
        <v>1125</v>
      </c>
      <c r="B202" s="26" t="s">
        <v>449</v>
      </c>
      <c r="C202" s="26" t="s">
        <v>88</v>
      </c>
      <c r="D202" s="26" t="s">
        <v>1126</v>
      </c>
      <c r="E202" s="26" t="s">
        <v>447</v>
      </c>
      <c r="F202" s="27" t="str">
        <f aca="false">INDEX(Equipment!$B$2:$B$153,MATCH(E202,Equipment!$A$2:$A$153,0))</f>
        <v>LNG full-containment tank (bonding)</v>
      </c>
      <c r="G202" s="26" t="s">
        <v>501</v>
      </c>
      <c r="H202" s="27" t="str">
        <f aca="false">INDEX(Equipment!$B$2:$B$153,MATCH(G202,Equipment!$A$2:$A$153,0))</f>
        <v>Gas / LNG area earth grid (nearest riser)</v>
      </c>
      <c r="I202" s="26" t="s">
        <v>626</v>
      </c>
      <c r="J202" s="27" t="str">
        <f aca="false">INDEX('Cable Types'!$B$2:$B$45,MATCH(I202,'Cable Types'!$A$2:$A$45,0))</f>
        <v>Green insulated Cu 2/0 AWG bonding jumper</v>
      </c>
      <c r="K202" s="26" t="n">
        <v>4</v>
      </c>
      <c r="L202" s="26" t="s">
        <v>1096</v>
      </c>
      <c r="M202" s="26" t="s">
        <v>703</v>
      </c>
      <c r="N202" s="26" t="n">
        <v>20</v>
      </c>
      <c r="O202" s="28" t="n">
        <f aca="false">IF(N202&lt;&gt;"",N202,IF(M202="D",ROUNDUP(SQRT((AL202-AI202)^2+(AM202-AJ202)^2+(AN202-AK202)^2)*(1+'Design Basis'!$C$6),0),ROUNDUP((ABS(AL202-AI202)+ABS(AM202-AJ202)+ABS(AO202-AK202)+ABS(AO202-AN202))*(1+'Design Basis'!$C$4)+2*'Design Basis'!$C$5,0)))</f>
        <v>20</v>
      </c>
      <c r="P202" s="28" t="n">
        <f aca="false">ROUND(O202*'Design Basis'!$C$10,0)</f>
        <v>66</v>
      </c>
      <c r="Q202" s="28" t="n">
        <f aca="false">O202*K202*AQ202</f>
        <v>80</v>
      </c>
      <c r="R202" s="28" t="n">
        <f aca="false">ROUND(Q202*'Design Basis'!$C$10,0)</f>
        <v>262</v>
      </c>
      <c r="S202" s="29"/>
      <c r="T202" s="26"/>
      <c r="U202" s="29"/>
      <c r="V202" s="30"/>
      <c r="W202" s="28" t="str">
        <f aca="false">IF(OR(U202="",S202=""),"",IF(T202=3,U202*1000/(SQRT(3)*S202*V202),U202*1000/(S202*V202)))</f>
        <v/>
      </c>
      <c r="X202" s="30"/>
      <c r="Y202" s="28" t="str">
        <f aca="false">IF(W202="","",W202*IF(X202="",1,X202))</f>
        <v/>
      </c>
      <c r="Z202" s="28" t="str">
        <f aca="false">IF(OR(AS202="",AP202=""),"",AS202*AP202)</f>
        <v/>
      </c>
      <c r="AA202" s="28" t="str">
        <f aca="false">IF(Z202="","",Z202*K202)</f>
        <v/>
      </c>
      <c r="AB202" s="31" t="str">
        <f aca="false">IF(OR(Y202="",AA202=""),"",Y202/AA202)</f>
        <v/>
      </c>
      <c r="AC202" s="31" t="str">
        <f aca="false">IF(OR(W202="",AT202=""),"",AT202*(W202/K202)*O202/1000/S202)</f>
        <v/>
      </c>
      <c r="AD202" s="31" t="str">
        <f aca="false">IF(W202="","",IFERROR(IF(INDEX('Design Basis'!$C$13:$C$21,MATCH(C202,'Design Basis'!$A$13:$A$21,0))="","",INDEX('Design Basis'!$C$13:$C$21,MATCH(C202,'Design Basis'!$A$13:$A$21,0))),""))</f>
        <v/>
      </c>
      <c r="AE202" s="32" t="str">
        <f aca="false">IF(W202="","n/a",IF(AA202="","CHECK",IF(AND(AB202&lt;=1,OR(AC202="",AD202="",AC202&lt;=AD202)),"OK","CHECK")))</f>
        <v>n/a</v>
      </c>
      <c r="AF202" s="28" t="n">
        <f aca="false">IF(AR202="","",K202*AQ202*PI()/4*AR202^2)</f>
        <v>706.858347057703</v>
      </c>
      <c r="AG202" s="32"/>
      <c r="AI202" s="33" t="n">
        <f aca="false">INDEX(Equipment!$D$2:$D$153,MATCH(E202,Equipment!$A$2:$A$153,0))</f>
        <v>-60</v>
      </c>
      <c r="AJ202" s="33" t="n">
        <f aca="false">INDEX(Equipment!$E$2:$E$153,MATCH(E202,Equipment!$A$2:$A$153,0))</f>
        <v>10</v>
      </c>
      <c r="AK202" s="33" t="n">
        <f aca="false">INDEX(Equipment!$F$2:$F$153,MATCH(E202,Equipment!$A$2:$A$153,0))</f>
        <v>0</v>
      </c>
      <c r="AL202" s="33" t="n">
        <f aca="false">INDEX(Equipment!$D$2:$D$153,MATCH(G202,Equipment!$A$2:$A$153,0))</f>
        <v>-30</v>
      </c>
      <c r="AM202" s="33" t="n">
        <f aca="false">INDEX(Equipment!$E$2:$E$153,MATCH(G202,Equipment!$A$2:$A$153,0))</f>
        <v>5</v>
      </c>
      <c r="AN202" s="33" t="n">
        <f aca="false">INDEX(Equipment!$F$2:$F$153,MATCH(G202,Equipment!$A$2:$A$153,0))</f>
        <v>-0.8</v>
      </c>
      <c r="AO202" s="33" t="n">
        <f aca="false">IF(INDEX(Raceways!$D$2:$D$18,MATCH(L202,Raceways!$A$2:$A$18,0))="",0,INDEX(Raceways!$D$2:$D$18,MATCH(L202,Raceways!$A$2:$A$18,0)))</f>
        <v>-0.8</v>
      </c>
      <c r="AP202" s="34" t="str">
        <f aca="false">IF(INDEX(Raceways!$I$2:$I$18,MATCH(L202,Raceways!$A$2:$A$18,0))="","",INDEX(Raceways!$I$2:$I$18,MATCH(L202,Raceways!$A$2:$A$18,0)))</f>
        <v/>
      </c>
      <c r="AQ202" s="27" t="n">
        <f aca="false">INDEX('Cable Types'!$D$2:$D$45,MATCH(I202,'Cable Types'!$A$2:$A$45,0))</f>
        <v>1</v>
      </c>
      <c r="AR202" s="27" t="n">
        <f aca="false">IF(INDEX('Cable Types'!$E$2:$E$45,MATCH(I202,'Cable Types'!$A$2:$A$45,0))="","",INDEX('Cable Types'!$E$2:$E$45,MATCH(I202,'Cable Types'!$A$2:$A$45,0)))</f>
        <v>15</v>
      </c>
      <c r="AS202" s="27" t="str">
        <f aca="false">IF(INDEX('Cable Types'!$F$2:$F$45,MATCH(I202,'Cable Types'!$A$2:$A$45,0))="","",INDEX('Cable Types'!$F$2:$F$45,MATCH(I202,'Cable Types'!$A$2:$A$45,0)))</f>
        <v/>
      </c>
      <c r="AT202" s="35" t="str">
        <f aca="false">IF(INDEX('Cable Types'!$G$2:$G$45,MATCH(I202,'Cable Types'!$A$2:$A$45,0))="","",INDEX('Cable Types'!$G$2:$G$45,MATCH(I202,'Cable Types'!$A$2:$A$45,0)))</f>
        <v/>
      </c>
    </row>
  </sheetData>
  <autoFilter ref="A2:AG202"/>
  <conditionalFormatting sqref="AE3:AE202">
    <cfRule type="cellIs" priority="2" operator="equal" aboveAverage="0" equalAverage="0" bottom="0" percent="0" rank="0" text="" dxfId="7">
      <formula>"CHECK"</formula>
    </cfRule>
    <cfRule type="cellIs" priority="3" operator="equal" aboveAverage="0" equalAverage="0" bottom="0" percent="0" rank="0" text="" dxfId="8">
      <formula>"OK"</formula>
    </cfRule>
  </conditionalFormatting>
  <conditionalFormatting sqref="AB3:AB202">
    <cfRule type="expression" priority="4" aboveAverage="0" equalAverage="0" bottom="0" percent="0" rank="0" text="" dxfId="7">
      <formula>AND(ISNUMBER(AB3),AB3&gt;1)</formula>
    </cfRule>
  </conditionalFormatting>
  <dataValidations count="6">
    <dataValidation allowBlank="false" errorStyle="stop" operator="between" showDropDown="false" showErrorMessage="false" showInputMessage="false" sqref="C3:C402" type="list">
      <formula1>'Design Basis'!$A$13:$A$21</formula1>
      <formula2>0</formula2>
    </dataValidation>
    <dataValidation allowBlank="false" errorStyle="stop" operator="between" showDropDown="false" showErrorMessage="false" showInputMessage="false" sqref="I3:I402" type="list">
      <formula1>'Cable Types'!$A$2:$A$45</formula1>
      <formula2>0</formula2>
    </dataValidation>
    <dataValidation allowBlank="false" errorStyle="stop" operator="between" showDropDown="false" showErrorMessage="false" showInputMessage="false" sqref="L3:L402" type="list">
      <formula1>Raceways!$A$2:$A$18</formula1>
      <formula2>0</formula2>
    </dataValidation>
    <dataValidation allowBlank="false" errorStyle="stop" operator="between" showDropDown="false" showErrorMessage="false" showInputMessage="false" sqref="E3:E402 G3:G402" type="list">
      <formula1>Equipment!$A$2:$A$153</formula1>
      <formula2>0</formula2>
    </dataValidation>
    <dataValidation allowBlank="false" errorStyle="stop" operator="between" showDropDown="false" showErrorMessage="false" showInputMessage="false" sqref="M3:M402" type="list">
      <formula1>"M,D"</formula1>
      <formula2>0</formula2>
    </dataValidation>
    <dataValidation allowBlank="true" errorStyle="stop" operator="between" showDropDown="false" showErrorMessage="false" showInputMessage="false" sqref="T3:T402" type="list">
      <formula1>"3,1,DC"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6" min="3" style="0" width="10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1"/>
  </cols>
  <sheetData>
    <row r="1" customFormat="false" ht="22.35" hidden="false" customHeight="false" outlineLevel="0" collapsed="false">
      <c r="A1" s="18" t="s">
        <v>1127</v>
      </c>
      <c r="B1" s="18" t="s">
        <v>100</v>
      </c>
      <c r="C1" s="18" t="s">
        <v>1128</v>
      </c>
      <c r="D1" s="18" t="s">
        <v>1129</v>
      </c>
      <c r="E1" s="18" t="s">
        <v>1130</v>
      </c>
      <c r="F1" s="18" t="s">
        <v>1131</v>
      </c>
      <c r="G1" s="18" t="s">
        <v>1132</v>
      </c>
      <c r="H1" s="18" t="s">
        <v>1133</v>
      </c>
      <c r="I1" s="18" t="s">
        <v>1134</v>
      </c>
      <c r="J1" s="18" t="s">
        <v>1135</v>
      </c>
      <c r="K1" s="18" t="s">
        <v>1136</v>
      </c>
      <c r="L1" s="18" t="s">
        <v>1137</v>
      </c>
      <c r="M1" s="18" t="s">
        <v>658</v>
      </c>
    </row>
    <row r="2" customFormat="false" ht="15" hidden="false" customHeight="false" outlineLevel="0" collapsed="false">
      <c r="A2" s="19" t="s">
        <v>674</v>
      </c>
      <c r="B2" s="19" t="s">
        <v>1138</v>
      </c>
      <c r="C2" s="19" t="s">
        <v>1139</v>
      </c>
      <c r="D2" s="19"/>
      <c r="E2" s="19"/>
      <c r="F2" s="19"/>
      <c r="G2" s="19"/>
      <c r="H2" s="36"/>
      <c r="I2" s="37" t="n">
        <v>1</v>
      </c>
      <c r="J2" s="38" t="str">
        <f aca="false">IF(E2="","",E2*F2*G2*H2)</f>
        <v/>
      </c>
      <c r="K2" s="38" t="n">
        <f aca="false">SUMIFS('Cable Schedule'!$AF:$AF,'Cable Schedule'!$L:$L,A2)</f>
        <v>28254.596826462</v>
      </c>
      <c r="L2" s="39" t="str">
        <f aca="false">IF(J2="","",K2/J2)</f>
        <v/>
      </c>
      <c r="M2" s="21" t="str">
        <f aca="false">IF(J2="","n/a",IF(L2&lt;=1,"OK","OVERFILL"))</f>
        <v>n/a</v>
      </c>
    </row>
    <row r="3" customFormat="false" ht="15" hidden="false" customHeight="false" outlineLevel="0" collapsed="false">
      <c r="A3" s="19" t="s">
        <v>702</v>
      </c>
      <c r="B3" s="19" t="s">
        <v>1140</v>
      </c>
      <c r="C3" s="19" t="s">
        <v>68</v>
      </c>
      <c r="D3" s="19" t="n">
        <v>4</v>
      </c>
      <c r="E3" s="19"/>
      <c r="F3" s="19"/>
      <c r="G3" s="19"/>
      <c r="H3" s="36"/>
      <c r="I3" s="37" t="n">
        <v>1</v>
      </c>
      <c r="J3" s="38" t="str">
        <f aca="false">IF(E3="","",E3*F3*G3*H3)</f>
        <v/>
      </c>
      <c r="K3" s="38" t="n">
        <f aca="false">SUMIFS('Cable Schedule'!$AF:$AF,'Cable Schedule'!$L:$L,A3)</f>
        <v>0</v>
      </c>
      <c r="L3" s="39" t="str">
        <f aca="false">IF(J3="","",K3/J3)</f>
        <v/>
      </c>
      <c r="M3" s="21" t="str">
        <f aca="false">IF(J3="","n/a",IF(L3&lt;=1,"OK","OVERFILL"))</f>
        <v>n/a</v>
      </c>
    </row>
    <row r="4" customFormat="false" ht="15" hidden="false" customHeight="false" outlineLevel="0" collapsed="false">
      <c r="A4" s="19" t="s">
        <v>709</v>
      </c>
      <c r="B4" s="19" t="s">
        <v>1141</v>
      </c>
      <c r="C4" s="19" t="s">
        <v>68</v>
      </c>
      <c r="D4" s="19" t="n">
        <v>4</v>
      </c>
      <c r="E4" s="19"/>
      <c r="F4" s="19"/>
      <c r="G4" s="19"/>
      <c r="H4" s="36"/>
      <c r="I4" s="37" t="n">
        <v>1</v>
      </c>
      <c r="J4" s="38" t="str">
        <f aca="false">IF(E4="","",E4*F4*G4*H4)</f>
        <v/>
      </c>
      <c r="K4" s="38" t="n">
        <f aca="false">SUMIFS('Cable Schedule'!$AF:$AF,'Cable Schedule'!$L:$L,A4)</f>
        <v>0</v>
      </c>
      <c r="L4" s="39" t="str">
        <f aca="false">IF(J4="","",K4/J4)</f>
        <v/>
      </c>
      <c r="M4" s="21" t="str">
        <f aca="false">IF(J4="","n/a",IF(L4&lt;=1,"OK","OVERFILL"))</f>
        <v>n/a</v>
      </c>
    </row>
    <row r="5" customFormat="false" ht="15" hidden="false" customHeight="false" outlineLevel="0" collapsed="false">
      <c r="A5" s="19" t="s">
        <v>806</v>
      </c>
      <c r="B5" s="19" t="s">
        <v>1142</v>
      </c>
      <c r="C5" s="19" t="s">
        <v>68</v>
      </c>
      <c r="D5" s="19" t="n">
        <v>3</v>
      </c>
      <c r="E5" s="19"/>
      <c r="F5" s="19"/>
      <c r="G5" s="19"/>
      <c r="H5" s="36"/>
      <c r="I5" s="37" t="n">
        <v>1</v>
      </c>
      <c r="J5" s="38" t="str">
        <f aca="false">IF(E5="","",E5*F5*G5*H5)</f>
        <v/>
      </c>
      <c r="K5" s="38" t="n">
        <f aca="false">SUMIFS('Cable Schedule'!$AF:$AF,'Cable Schedule'!$L:$L,A5)</f>
        <v>0</v>
      </c>
      <c r="L5" s="39" t="str">
        <f aca="false">IF(J5="","",K5/J5)</f>
        <v/>
      </c>
      <c r="M5" s="21" t="str">
        <f aca="false">IF(J5="","n/a",IF(L5&lt;=1,"OK","OVERFILL"))</f>
        <v>n/a</v>
      </c>
    </row>
    <row r="6" customFormat="false" ht="15" hidden="false" customHeight="false" outlineLevel="0" collapsed="false">
      <c r="A6" s="19" t="s">
        <v>730</v>
      </c>
      <c r="B6" s="19" t="s">
        <v>1143</v>
      </c>
      <c r="C6" s="19" t="s">
        <v>1144</v>
      </c>
      <c r="D6" s="19" t="n">
        <v>5</v>
      </c>
      <c r="E6" s="19" t="n">
        <v>900</v>
      </c>
      <c r="F6" s="19" t="n">
        <v>100</v>
      </c>
      <c r="G6" s="19" t="n">
        <v>4</v>
      </c>
      <c r="H6" s="36" t="n">
        <v>0.4</v>
      </c>
      <c r="I6" s="40" t="n">
        <v>0.88</v>
      </c>
      <c r="J6" s="38" t="n">
        <f aca="false">IF(E6="","",E6*F6*G6*H6)</f>
        <v>144000</v>
      </c>
      <c r="K6" s="38" t="n">
        <f aca="false">SUMIFS('Cable Schedule'!$AF:$AF,'Cable Schedule'!$L:$L,A6)</f>
        <v>45975.6376889598</v>
      </c>
      <c r="L6" s="39" t="n">
        <f aca="false">IF(J6="","",K6/J6)</f>
        <v>0.319275261728888</v>
      </c>
      <c r="M6" s="21" t="str">
        <f aca="false">IF(J6="","n/a",IF(L6&lt;=1,"OK","OVERFILL"))</f>
        <v>OK</v>
      </c>
    </row>
    <row r="7" customFormat="false" ht="15" hidden="false" customHeight="false" outlineLevel="0" collapsed="false">
      <c r="A7" s="19" t="s">
        <v>724</v>
      </c>
      <c r="B7" s="19" t="s">
        <v>1145</v>
      </c>
      <c r="C7" s="19" t="s">
        <v>1144</v>
      </c>
      <c r="D7" s="19" t="n">
        <v>5</v>
      </c>
      <c r="E7" s="19" t="n">
        <v>900</v>
      </c>
      <c r="F7" s="19" t="n">
        <v>100</v>
      </c>
      <c r="G7" s="19" t="n">
        <v>4</v>
      </c>
      <c r="H7" s="36" t="n">
        <v>0.4</v>
      </c>
      <c r="I7" s="40" t="n">
        <v>0.88</v>
      </c>
      <c r="J7" s="38" t="n">
        <f aca="false">IF(E7="","",E7*F7*G7*H7)</f>
        <v>144000</v>
      </c>
      <c r="K7" s="38" t="n">
        <f aca="false">SUMIFS('Cable Schedule'!$AF:$AF,'Cable Schedule'!$L:$L,A7)</f>
        <v>43339.0560544346</v>
      </c>
      <c r="L7" s="39" t="n">
        <f aca="false">IF(J7="","",K7/J7)</f>
        <v>0.300965667044685</v>
      </c>
      <c r="M7" s="21" t="str">
        <f aca="false">IF(J7="","n/a",IF(L7&lt;=1,"OK","OVERFILL"))</f>
        <v>OK</v>
      </c>
    </row>
    <row r="8" customFormat="false" ht="15" hidden="false" customHeight="false" outlineLevel="0" collapsed="false">
      <c r="A8" s="19" t="s">
        <v>750</v>
      </c>
      <c r="B8" s="19" t="s">
        <v>1146</v>
      </c>
      <c r="C8" s="19" t="s">
        <v>1144</v>
      </c>
      <c r="D8" s="19" t="n">
        <v>5</v>
      </c>
      <c r="E8" s="19" t="n">
        <v>900</v>
      </c>
      <c r="F8" s="19" t="n">
        <v>100</v>
      </c>
      <c r="G8" s="19" t="n">
        <v>3</v>
      </c>
      <c r="H8" s="36" t="n">
        <v>0.4</v>
      </c>
      <c r="I8" s="40" t="n">
        <v>0.88</v>
      </c>
      <c r="J8" s="38" t="n">
        <f aca="false">IF(E8="","",E8*F8*G8*H8)</f>
        <v>108000</v>
      </c>
      <c r="K8" s="38" t="n">
        <f aca="false">SUMIFS('Cable Schedule'!$AF:$AF,'Cable Schedule'!$L:$L,A8)</f>
        <v>7734.60111313807</v>
      </c>
      <c r="L8" s="39" t="n">
        <f aca="false">IF(J8="","",K8/J8)</f>
        <v>0.0716166769735007</v>
      </c>
      <c r="M8" s="21" t="str">
        <f aca="false">IF(J8="","n/a",IF(L8&lt;=1,"OK","OVERFILL"))</f>
        <v>OK</v>
      </c>
    </row>
    <row r="9" customFormat="false" ht="15" hidden="false" customHeight="false" outlineLevel="0" collapsed="false">
      <c r="A9" s="19" t="s">
        <v>783</v>
      </c>
      <c r="B9" s="19" t="s">
        <v>1147</v>
      </c>
      <c r="C9" s="19" t="s">
        <v>1144</v>
      </c>
      <c r="D9" s="19" t="n">
        <v>3</v>
      </c>
      <c r="E9" s="19" t="n">
        <v>1000</v>
      </c>
      <c r="F9" s="19" t="n">
        <v>100</v>
      </c>
      <c r="G9" s="19" t="n">
        <v>3</v>
      </c>
      <c r="H9" s="36" t="n">
        <v>0.4</v>
      </c>
      <c r="I9" s="40" t="n">
        <v>0.88</v>
      </c>
      <c r="J9" s="38" t="n">
        <f aca="false">IF(E9="","",E9*F9*G9*H9)</f>
        <v>120000</v>
      </c>
      <c r="K9" s="38" t="n">
        <f aca="false">SUMIFS('Cable Schedule'!$AF:$AF,'Cable Schedule'!$L:$L,A9)</f>
        <v>36561.855302478</v>
      </c>
      <c r="L9" s="39" t="n">
        <f aca="false">IF(J9="","",K9/J9)</f>
        <v>0.30468212752065</v>
      </c>
      <c r="M9" s="21" t="str">
        <f aca="false">IF(J9="","n/a",IF(L9&lt;=1,"OK","OVERFILL"))</f>
        <v>OK</v>
      </c>
    </row>
    <row r="10" customFormat="false" ht="15" hidden="false" customHeight="false" outlineLevel="0" collapsed="false">
      <c r="A10" s="19" t="s">
        <v>759</v>
      </c>
      <c r="B10" s="19" t="s">
        <v>1148</v>
      </c>
      <c r="C10" s="19" t="s">
        <v>1144</v>
      </c>
      <c r="D10" s="19" t="n">
        <v>6</v>
      </c>
      <c r="E10" s="19" t="n">
        <v>900</v>
      </c>
      <c r="F10" s="19" t="n">
        <v>100</v>
      </c>
      <c r="G10" s="19" t="n">
        <v>4</v>
      </c>
      <c r="H10" s="36" t="n">
        <v>0.4</v>
      </c>
      <c r="I10" s="40" t="n">
        <v>0.88</v>
      </c>
      <c r="J10" s="38" t="n">
        <f aca="false">IF(E10="","",E10*F10*G10*H10)</f>
        <v>144000</v>
      </c>
      <c r="K10" s="38" t="n">
        <f aca="false">SUMIFS('Cable Schedule'!$AF:$AF,'Cable Schedule'!$L:$L,A10)</f>
        <v>44380.4940190996</v>
      </c>
      <c r="L10" s="39" t="n">
        <f aca="false">IF(J10="","",K10/J10)</f>
        <v>0.308197875132636</v>
      </c>
      <c r="M10" s="21" t="str">
        <f aca="false">IF(J10="","n/a",IF(L10&lt;=1,"OK","OVERFILL"))</f>
        <v>OK</v>
      </c>
    </row>
    <row r="11" customFormat="false" ht="15" hidden="false" customHeight="false" outlineLevel="0" collapsed="false">
      <c r="A11" s="19" t="s">
        <v>846</v>
      </c>
      <c r="B11" s="19" t="s">
        <v>1149</v>
      </c>
      <c r="C11" s="19" t="s">
        <v>1144</v>
      </c>
      <c r="D11" s="19" t="n">
        <v>20</v>
      </c>
      <c r="E11" s="19" t="n">
        <v>600</v>
      </c>
      <c r="F11" s="19" t="n">
        <v>100</v>
      </c>
      <c r="G11" s="19" t="n">
        <v>4</v>
      </c>
      <c r="H11" s="36" t="n">
        <v>0.4</v>
      </c>
      <c r="I11" s="40" t="n">
        <v>0.88</v>
      </c>
      <c r="J11" s="38" t="n">
        <f aca="false">IF(E11="","",E11*F11*G11*H11)</f>
        <v>96000</v>
      </c>
      <c r="K11" s="38" t="n">
        <f aca="false">SUMIFS('Cable Schedule'!$AF:$AF,'Cable Schedule'!$L:$L,A11)</f>
        <v>57726.7650097125</v>
      </c>
      <c r="L11" s="39" t="n">
        <f aca="false">IF(J11="","",K11/J11)</f>
        <v>0.601320468851171</v>
      </c>
      <c r="M11" s="21" t="str">
        <f aca="false">IF(J11="","n/a",IF(L11&lt;=1,"OK","OVERFILL"))</f>
        <v>OK</v>
      </c>
    </row>
    <row r="12" customFormat="false" ht="15" hidden="false" customHeight="false" outlineLevel="0" collapsed="false">
      <c r="A12" s="19" t="s">
        <v>931</v>
      </c>
      <c r="B12" s="19" t="s">
        <v>1150</v>
      </c>
      <c r="C12" s="19" t="s">
        <v>1144</v>
      </c>
      <c r="D12" s="19" t="n">
        <v>3</v>
      </c>
      <c r="E12" s="19" t="n">
        <v>600</v>
      </c>
      <c r="F12" s="19" t="n">
        <v>100</v>
      </c>
      <c r="G12" s="19" t="n">
        <v>3</v>
      </c>
      <c r="H12" s="36" t="n">
        <v>0.4</v>
      </c>
      <c r="I12" s="40" t="n">
        <v>0.88</v>
      </c>
      <c r="J12" s="38" t="n">
        <f aca="false">IF(E12="","",E12*F12*G12*H12)</f>
        <v>72000</v>
      </c>
      <c r="K12" s="38" t="n">
        <f aca="false">SUMIFS('Cable Schedule'!$AF:$AF,'Cable Schedule'!$L:$L,A12)</f>
        <v>25723.3606475932</v>
      </c>
      <c r="L12" s="39" t="n">
        <f aca="false">IF(J12="","",K12/J12)</f>
        <v>0.357268897883239</v>
      </c>
      <c r="M12" s="21" t="str">
        <f aca="false">IF(J12="","n/a",IF(L12&lt;=1,"OK","OVERFILL"))</f>
        <v>OK</v>
      </c>
    </row>
    <row r="13" customFormat="false" ht="15" hidden="false" customHeight="false" outlineLevel="0" collapsed="false">
      <c r="A13" s="19" t="s">
        <v>967</v>
      </c>
      <c r="B13" s="19" t="s">
        <v>1151</v>
      </c>
      <c r="C13" s="19" t="s">
        <v>1152</v>
      </c>
      <c r="D13" s="19" t="n">
        <v>-0.8</v>
      </c>
      <c r="E13" s="19" t="n">
        <v>1000</v>
      </c>
      <c r="F13" s="19" t="n">
        <v>600</v>
      </c>
      <c r="G13" s="19" t="n">
        <v>1</v>
      </c>
      <c r="H13" s="36" t="n">
        <v>0.4</v>
      </c>
      <c r="I13" s="40" t="n">
        <v>0.88</v>
      </c>
      <c r="J13" s="38" t="n">
        <f aca="false">IF(E13="","",E13*F13*G13*H13)</f>
        <v>240000</v>
      </c>
      <c r="K13" s="38" t="n">
        <f aca="false">SUMIFS('Cable Schedule'!$AF:$AF,'Cable Schedule'!$L:$L,A13)</f>
        <v>9160.88417786784</v>
      </c>
      <c r="L13" s="39" t="n">
        <f aca="false">IF(J13="","",K13/J13)</f>
        <v>0.038170350741116</v>
      </c>
      <c r="M13" s="21" t="str">
        <f aca="false">IF(J13="","n/a",IF(L13&lt;=1,"OK","OVERFILL"))</f>
        <v>OK</v>
      </c>
    </row>
    <row r="14" customFormat="false" ht="15" hidden="false" customHeight="false" outlineLevel="0" collapsed="false">
      <c r="A14" s="19" t="s">
        <v>828</v>
      </c>
      <c r="B14" s="19" t="s">
        <v>1153</v>
      </c>
      <c r="C14" s="19" t="s">
        <v>1154</v>
      </c>
      <c r="D14" s="19" t="n">
        <v>-1.2</v>
      </c>
      <c r="E14" s="19" t="n">
        <v>1200</v>
      </c>
      <c r="F14" s="19" t="n">
        <v>600</v>
      </c>
      <c r="G14" s="19" t="n">
        <v>1</v>
      </c>
      <c r="H14" s="36" t="n">
        <v>0.3</v>
      </c>
      <c r="I14" s="40" t="n">
        <v>0.7</v>
      </c>
      <c r="J14" s="38" t="n">
        <f aca="false">IF(E14="","",E14*F14*G14*H14)</f>
        <v>216000</v>
      </c>
      <c r="K14" s="38" t="n">
        <f aca="false">SUMIFS('Cable Schedule'!$AF:$AF,'Cable Schedule'!$L:$L,A14)</f>
        <v>2994.72319703447</v>
      </c>
      <c r="L14" s="39" t="n">
        <f aca="false">IF(J14="","",K14/J14)</f>
        <v>0.01386445924553</v>
      </c>
      <c r="M14" s="21" t="str">
        <f aca="false">IF(J14="","n/a",IF(L14&lt;=1,"OK","OVERFILL"))</f>
        <v>OK</v>
      </c>
    </row>
    <row r="15" customFormat="false" ht="15" hidden="false" customHeight="false" outlineLevel="0" collapsed="false">
      <c r="A15" s="19" t="s">
        <v>756</v>
      </c>
      <c r="B15" s="19" t="s">
        <v>1155</v>
      </c>
      <c r="C15" s="19" t="s">
        <v>1154</v>
      </c>
      <c r="D15" s="19" t="n">
        <v>-1.2</v>
      </c>
      <c r="E15" s="19" t="n">
        <v>900</v>
      </c>
      <c r="F15" s="19" t="n">
        <v>600</v>
      </c>
      <c r="G15" s="19" t="n">
        <v>1</v>
      </c>
      <c r="H15" s="36" t="n">
        <v>0.3</v>
      </c>
      <c r="I15" s="40" t="n">
        <v>0.7</v>
      </c>
      <c r="J15" s="38" t="n">
        <f aca="false">IF(E15="","",E15*F15*G15*H15)</f>
        <v>162000</v>
      </c>
      <c r="K15" s="38" t="n">
        <f aca="false">SUMIFS('Cable Schedule'!$AF:$AF,'Cable Schedule'!$L:$L,A15)</f>
        <v>8488.58334999962</v>
      </c>
      <c r="L15" s="39" t="n">
        <f aca="false">IF(J15="","",K15/J15)</f>
        <v>0.0523986626543186</v>
      </c>
      <c r="M15" s="21" t="str">
        <f aca="false">IF(J15="","n/a",IF(L15&lt;=1,"OK","OVERFILL"))</f>
        <v>OK</v>
      </c>
    </row>
    <row r="16" customFormat="false" ht="15" hidden="false" customHeight="false" outlineLevel="0" collapsed="false">
      <c r="A16" s="19" t="s">
        <v>720</v>
      </c>
      <c r="B16" s="19" t="s">
        <v>1156</v>
      </c>
      <c r="C16" s="19" t="s">
        <v>1154</v>
      </c>
      <c r="D16" s="19" t="n">
        <v>-1.2</v>
      </c>
      <c r="E16" s="19" t="n">
        <v>1200</v>
      </c>
      <c r="F16" s="19" t="n">
        <v>600</v>
      </c>
      <c r="G16" s="19" t="n">
        <v>1</v>
      </c>
      <c r="H16" s="36" t="n">
        <v>0.3</v>
      </c>
      <c r="I16" s="40" t="n">
        <v>0.7</v>
      </c>
      <c r="J16" s="38" t="n">
        <f aca="false">IF(E16="","",E16*F16*G16*H16)</f>
        <v>216000</v>
      </c>
      <c r="K16" s="38" t="n">
        <f aca="false">SUMIFS('Cable Schedule'!$AF:$AF,'Cable Schedule'!$L:$L,A16)</f>
        <v>29094.2895648951</v>
      </c>
      <c r="L16" s="39" t="n">
        <f aca="false">IF(J16="","",K16/J16)</f>
        <v>0.134695785022662</v>
      </c>
      <c r="M16" s="21" t="str">
        <f aca="false">IF(J16="","n/a",IF(L16&lt;=1,"OK","OVERFILL"))</f>
        <v>OK</v>
      </c>
    </row>
    <row r="17" customFormat="false" ht="15" hidden="false" customHeight="false" outlineLevel="0" collapsed="false">
      <c r="A17" s="19" t="s">
        <v>714</v>
      </c>
      <c r="B17" s="19" t="s">
        <v>1157</v>
      </c>
      <c r="C17" s="19" t="s">
        <v>1158</v>
      </c>
      <c r="D17" s="19" t="n">
        <v>1</v>
      </c>
      <c r="E17" s="19"/>
      <c r="F17" s="19"/>
      <c r="G17" s="19"/>
      <c r="H17" s="36"/>
      <c r="I17" s="40" t="n">
        <v>0.88</v>
      </c>
      <c r="J17" s="38" t="str">
        <f aca="false">IF(E17="","",E17*F17*G17*H17)</f>
        <v/>
      </c>
      <c r="K17" s="38" t="n">
        <f aca="false">SUMIFS('Cable Schedule'!$AF:$AF,'Cable Schedule'!$L:$L,A17)</f>
        <v>80126.3206298077</v>
      </c>
      <c r="L17" s="39" t="str">
        <f aca="false">IF(J17="","",K17/J17)</f>
        <v/>
      </c>
      <c r="M17" s="21" t="str">
        <f aca="false">IF(J17="","n/a",IF(L17&lt;=1,"OK","OVERFILL"))</f>
        <v>n/a</v>
      </c>
    </row>
    <row r="18" customFormat="false" ht="15" hidden="false" customHeight="false" outlineLevel="0" collapsed="false">
      <c r="A18" s="19" t="s">
        <v>1096</v>
      </c>
      <c r="B18" s="19" t="s">
        <v>1159</v>
      </c>
      <c r="C18" s="19" t="s">
        <v>233</v>
      </c>
      <c r="D18" s="19" t="n">
        <v>-0.8</v>
      </c>
      <c r="E18" s="19"/>
      <c r="F18" s="19"/>
      <c r="G18" s="19"/>
      <c r="H18" s="36"/>
      <c r="I18" s="37"/>
      <c r="J18" s="38" t="str">
        <f aca="false">IF(E18="","",E18*F18*G18*H18)</f>
        <v/>
      </c>
      <c r="K18" s="38" t="n">
        <f aca="false">SUMIFS('Cable Schedule'!$AF:$AF,'Cable Schedule'!$L:$L,A18)</f>
        <v>4557.94043155258</v>
      </c>
      <c r="L18" s="39" t="str">
        <f aca="false">IF(J18="","",K18/J18)</f>
        <v/>
      </c>
      <c r="M18" s="21" t="str">
        <f aca="false">IF(J18="","n/a",IF(L18&lt;=1,"OK","OVERFILL"))</f>
        <v>n/a</v>
      </c>
    </row>
  </sheetData>
  <conditionalFormatting sqref="M2:M18">
    <cfRule type="cellIs" priority="2" operator="equal" aboveAverage="0" equalAverage="0" bottom="0" percent="0" rank="0" text="" dxfId="7">
      <formula>"OVERFILL"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7" min="5" style="0" width="14"/>
    <col collapsed="false" customWidth="true" hidden="false" outlineLevel="0" max="8" min="8" style="0" width="12"/>
    <col collapsed="false" customWidth="true" hidden="false" outlineLevel="0" max="10" min="9" style="0" width="10"/>
  </cols>
  <sheetData>
    <row r="1" customFormat="false" ht="15" hidden="false" customHeight="false" outlineLevel="0" collapsed="false">
      <c r="A1" s="8" t="s">
        <v>1160</v>
      </c>
    </row>
    <row r="3" customFormat="false" ht="22.35" hidden="false" customHeight="false" outlineLevel="0" collapsed="false">
      <c r="A3" s="18" t="s">
        <v>636</v>
      </c>
      <c r="B3" s="18" t="s">
        <v>100</v>
      </c>
      <c r="C3" s="18" t="s">
        <v>525</v>
      </c>
      <c r="D3" s="18" t="s">
        <v>1161</v>
      </c>
      <c r="E3" s="18" t="s">
        <v>1162</v>
      </c>
      <c r="F3" s="18" t="s">
        <v>1163</v>
      </c>
      <c r="G3" s="18" t="s">
        <v>1164</v>
      </c>
      <c r="H3" s="18" t="s">
        <v>1165</v>
      </c>
      <c r="I3" s="18" t="s">
        <v>1166</v>
      </c>
      <c r="J3" s="18" t="s">
        <v>1167</v>
      </c>
    </row>
    <row r="4" customFormat="false" ht="15" hidden="false" customHeight="false" outlineLevel="0" collapsed="false">
      <c r="A4" s="41" t="str">
        <f aca="false">'Cable Types'!A2</f>
        <v>ACSR-DRAKE</v>
      </c>
      <c r="B4" s="41" t="str">
        <f aca="false">'Cable Types'!B2</f>
        <v>ACSR 795 kcmil 'Drake' 26/7, 1 per phase</v>
      </c>
      <c r="C4" s="41" t="str">
        <f aca="false">'Cable Types'!C2</f>
        <v>HV Overhead</v>
      </c>
      <c r="D4" s="38" t="n">
        <f aca="false">COUNTIF('Cable Schedule'!$I$3:$I$202,A4)</f>
        <v>3</v>
      </c>
      <c r="E4" s="38" t="n">
        <f aca="false">SUMIFS('Cable Schedule'!$Q$3:$Q$202,'Cable Schedule'!$I$3:$I$202,A4)</f>
        <v>546</v>
      </c>
      <c r="F4" s="38" t="n">
        <f aca="false">ROUNDUP(E4*(1+'Design Basis'!$C$7),0)</f>
        <v>574</v>
      </c>
      <c r="G4" s="38" t="n">
        <f aca="false">ROUND(F4*'Design Basis'!$C$10,0)</f>
        <v>1883</v>
      </c>
      <c r="H4" s="42" t="n">
        <f aca="false">IF('Cable Types'!I2="","",'Cable Types'!I2)</f>
        <v>2000</v>
      </c>
      <c r="I4" s="38" t="n">
        <f aca="false">IF(OR(H4="",F4=0),"",ROUNDUP(F4/H4,0))</f>
        <v>1</v>
      </c>
      <c r="J4" s="43" t="n">
        <f aca="false">F4*'Cable Types'!H2/1000</f>
        <v>0.934472</v>
      </c>
    </row>
    <row r="5" customFormat="false" ht="15" hidden="false" customHeight="false" outlineLevel="0" collapsed="false">
      <c r="A5" s="41" t="str">
        <f aca="false">'Cable Types'!A3</f>
        <v>ACSR-DRAKE-2B</v>
      </c>
      <c r="B5" s="41" t="str">
        <f aca="false">'Cable Types'!B3</f>
        <v>ACSR 795 kcmil 'Drake' 26/7, twin bundle per phase</v>
      </c>
      <c r="C5" s="41" t="str">
        <f aca="false">'Cable Types'!C3</f>
        <v>HV Overhead</v>
      </c>
      <c r="D5" s="38" t="n">
        <f aca="false">COUNTIF('Cable Schedule'!$I$3:$I$202,A5)</f>
        <v>6</v>
      </c>
      <c r="E5" s="38" t="n">
        <f aca="false">SUMIFS('Cable Schedule'!$Q$3:$Q$202,'Cable Schedule'!$I$3:$I$202,A5)</f>
        <v>1602</v>
      </c>
      <c r="F5" s="38" t="n">
        <f aca="false">ROUNDUP(E5*(1+'Design Basis'!$C$7),0)</f>
        <v>1683</v>
      </c>
      <c r="G5" s="38" t="n">
        <f aca="false">ROUND(F5*'Design Basis'!$C$10,0)</f>
        <v>5522</v>
      </c>
      <c r="H5" s="42" t="n">
        <f aca="false">IF('Cable Types'!I3="","",'Cable Types'!I3)</f>
        <v>2000</v>
      </c>
      <c r="I5" s="38" t="n">
        <f aca="false">IF(OR(H5="",F5=0),"",ROUNDUP(F5/H5,0))</f>
        <v>1</v>
      </c>
      <c r="J5" s="43" t="n">
        <f aca="false">F5*'Cable Types'!H3/1000</f>
        <v>2.739924</v>
      </c>
    </row>
    <row r="6" customFormat="false" ht="15" hidden="false" customHeight="false" outlineLevel="0" collapsed="false">
      <c r="A6" s="41" t="str">
        <f aca="false">'Cable Types'!A4</f>
        <v>SW-7/16-EHS</v>
      </c>
      <c r="B6" s="41" t="str">
        <f aca="false">'Cable Types'!B4</f>
        <v>Shield wire 7/16" EHS galvanized steel</v>
      </c>
      <c r="C6" s="41" t="str">
        <f aca="false">'Cable Types'!C4</f>
        <v>HV Overhead</v>
      </c>
      <c r="D6" s="38" t="n">
        <f aca="false">COUNTIF('Cable Schedule'!$I$3:$I$202,A6)</f>
        <v>1</v>
      </c>
      <c r="E6" s="38" t="n">
        <f aca="false">SUMIFS('Cable Schedule'!$Q$3:$Q$202,'Cable Schedule'!$I$3:$I$202,A6)</f>
        <v>124</v>
      </c>
      <c r="F6" s="38" t="n">
        <f aca="false">ROUNDUP(E6*(1+'Design Basis'!$C$7),0)</f>
        <v>131</v>
      </c>
      <c r="G6" s="38" t="n">
        <f aca="false">ROUND(F6*'Design Basis'!$C$10,0)</f>
        <v>430</v>
      </c>
      <c r="H6" s="42" t="n">
        <f aca="false">IF('Cable Types'!I4="","",'Cable Types'!I4)</f>
        <v>3000</v>
      </c>
      <c r="I6" s="38" t="n">
        <f aca="false">IF(OR(H6="",F6=0),"",ROUNDUP(F6/H6,0))</f>
        <v>1</v>
      </c>
      <c r="J6" s="43" t="n">
        <f aca="false">F6*'Cable Types'!H4/1000</f>
        <v>0.077945</v>
      </c>
    </row>
    <row r="7" customFormat="false" ht="15" hidden="false" customHeight="false" outlineLevel="0" collapsed="false">
      <c r="A7" s="41" t="str">
        <f aca="false">'Cable Types'!A5</f>
        <v>OPGW-24</v>
      </c>
      <c r="B7" s="41" t="str">
        <f aca="false">'Cable Types'!B5</f>
        <v>OPGW 24-fiber shield wire</v>
      </c>
      <c r="C7" s="41" t="str">
        <f aca="false">'Cable Types'!C5</f>
        <v>HV Overhead</v>
      </c>
      <c r="D7" s="38" t="n">
        <f aca="false">COUNTIF('Cable Schedule'!$I$3:$I$202,A7)</f>
        <v>1</v>
      </c>
      <c r="E7" s="38" t="n">
        <f aca="false">SUMIFS('Cable Schedule'!$Q$3:$Q$202,'Cable Schedule'!$I$3:$I$202,A7)</f>
        <v>200</v>
      </c>
      <c r="F7" s="38" t="n">
        <f aca="false">ROUNDUP(E7*(1+'Design Basis'!$C$7),0)</f>
        <v>210</v>
      </c>
      <c r="G7" s="38" t="n">
        <f aca="false">ROUND(F7*'Design Basis'!$C$10,0)</f>
        <v>689</v>
      </c>
      <c r="H7" s="42" t="n">
        <f aca="false">IF('Cable Types'!I5="","",'Cable Types'!I5)</f>
        <v>4000</v>
      </c>
      <c r="I7" s="38" t="n">
        <f aca="false">IF(OR(H7="",F7=0),"",ROUNDUP(F7/H7,0))</f>
        <v>1</v>
      </c>
      <c r="J7" s="43" t="n">
        <f aca="false">F7*'Cable Types'!H5/1000</f>
        <v>0.1302</v>
      </c>
    </row>
    <row r="8" customFormat="false" ht="15" hidden="false" customHeight="false" outlineLevel="0" collapsed="false">
      <c r="A8" s="41" t="str">
        <f aca="false">'Cable Types'!A6</f>
        <v>IPB-10K</v>
      </c>
      <c r="B8" s="41" t="str">
        <f aca="false">'Cable Types'!B6</f>
        <v>Isolated phase bus 24 kV, 10 kA (per phase metre)</v>
      </c>
      <c r="C8" s="41" t="str">
        <f aca="false">'Cable Types'!C6</f>
        <v>Busduct</v>
      </c>
      <c r="D8" s="38" t="n">
        <f aca="false">COUNTIF('Cable Schedule'!$I$3:$I$202,A8)</f>
        <v>1</v>
      </c>
      <c r="E8" s="38" t="n">
        <f aca="false">SUMIFS('Cable Schedule'!$Q$3:$Q$202,'Cable Schedule'!$I$3:$I$202,A8)</f>
        <v>174</v>
      </c>
      <c r="F8" s="38" t="n">
        <f aca="false">ROUNDUP(E8*(1+'Design Basis'!$C$7),0)</f>
        <v>183</v>
      </c>
      <c r="G8" s="38" t="n">
        <f aca="false">ROUND(F8*'Design Basis'!$C$10,0)</f>
        <v>600</v>
      </c>
      <c r="H8" s="42" t="str">
        <f aca="false">IF('Cable Types'!I6="","",'Cable Types'!I6)</f>
        <v/>
      </c>
      <c r="I8" s="38" t="str">
        <f aca="false">IF(OR(H8="",F8=0),"",ROUNDUP(F8/H8,0))</f>
        <v/>
      </c>
      <c r="J8" s="43" t="n">
        <f aca="false">F8*'Cable Types'!H6/1000</f>
        <v>29.28</v>
      </c>
    </row>
    <row r="9" customFormat="false" ht="15" hidden="false" customHeight="false" outlineLevel="0" collapsed="false">
      <c r="A9" s="41" t="str">
        <f aca="false">'Cable Types'!A7</f>
        <v>IPB-7K</v>
      </c>
      <c r="B9" s="41" t="str">
        <f aca="false">'Cable Types'!B7</f>
        <v>Isolated phase bus 24 kV, 7 kA (per phase metre)</v>
      </c>
      <c r="C9" s="41" t="str">
        <f aca="false">'Cable Types'!C7</f>
        <v>Busduct</v>
      </c>
      <c r="D9" s="38" t="n">
        <f aca="false">COUNTIF('Cable Schedule'!$I$3:$I$202,A9)</f>
        <v>1</v>
      </c>
      <c r="E9" s="38" t="n">
        <f aca="false">SUMIFS('Cable Schedule'!$Q$3:$Q$202,'Cable Schedule'!$I$3:$I$202,A9)</f>
        <v>120</v>
      </c>
      <c r="F9" s="38" t="n">
        <f aca="false">ROUNDUP(E9*(1+'Design Basis'!$C$7),0)</f>
        <v>126</v>
      </c>
      <c r="G9" s="38" t="n">
        <f aca="false">ROUND(F9*'Design Basis'!$C$10,0)</f>
        <v>413</v>
      </c>
      <c r="H9" s="42" t="str">
        <f aca="false">IF('Cable Types'!I7="","",'Cable Types'!I7)</f>
        <v/>
      </c>
      <c r="I9" s="38" t="str">
        <f aca="false">IF(OR(H9="",F9=0),"",ROUNDUP(F9/H9,0))</f>
        <v/>
      </c>
      <c r="J9" s="43" t="n">
        <f aca="false">F9*'Cable Types'!H7/1000</f>
        <v>15.12</v>
      </c>
    </row>
    <row r="10" customFormat="false" ht="15" hidden="false" customHeight="false" outlineLevel="0" collapsed="false">
      <c r="A10" s="41" t="str">
        <f aca="false">'Cable Types'!A8</f>
        <v>IPB-3K</v>
      </c>
      <c r="B10" s="41" t="str">
        <f aca="false">'Cable Types'!B8</f>
        <v>Isolated phase tap bus 24 kV, 3 kA (per phase metre)</v>
      </c>
      <c r="C10" s="41" t="str">
        <f aca="false">'Cable Types'!C8</f>
        <v>Busduct</v>
      </c>
      <c r="D10" s="38" t="n">
        <f aca="false">COUNTIF('Cable Schedule'!$I$3:$I$202,A10)</f>
        <v>2</v>
      </c>
      <c r="E10" s="38" t="n">
        <f aca="false">SUMIFS('Cable Schedule'!$Q$3:$Q$202,'Cable Schedule'!$I$3:$I$202,A10)</f>
        <v>396</v>
      </c>
      <c r="F10" s="38" t="n">
        <f aca="false">ROUNDUP(E10*(1+'Design Basis'!$C$7),0)</f>
        <v>416</v>
      </c>
      <c r="G10" s="38" t="n">
        <f aca="false">ROUND(F10*'Design Basis'!$C$10,0)</f>
        <v>1365</v>
      </c>
      <c r="H10" s="42" t="str">
        <f aca="false">IF('Cable Types'!I8="","",'Cable Types'!I8)</f>
        <v/>
      </c>
      <c r="I10" s="38" t="str">
        <f aca="false">IF(OR(H10="",F10=0),"",ROUNDUP(F10/H10,0))</f>
        <v/>
      </c>
      <c r="J10" s="43" t="n">
        <f aca="false">F10*'Cable Types'!H8/1000</f>
        <v>29.12</v>
      </c>
    </row>
    <row r="11" customFormat="false" ht="15" hidden="false" customHeight="false" outlineLevel="0" collapsed="false">
      <c r="A11" s="41" t="str">
        <f aca="false">'Cable Types'!A9</f>
        <v>LVBD-4000</v>
      </c>
      <c r="B11" s="41" t="str">
        <f aca="false">'Cable Types'!B9</f>
        <v>600 V busway 4000 A, Cu, 3-ph + ground, outdoor feeder</v>
      </c>
      <c r="C11" s="41" t="str">
        <f aca="false">'Cable Types'!C9</f>
        <v>Busduct</v>
      </c>
      <c r="D11" s="38" t="n">
        <f aca="false">COUNTIF('Cable Schedule'!$I$3:$I$202,A11)</f>
        <v>3</v>
      </c>
      <c r="E11" s="38" t="n">
        <f aca="false">SUMIFS('Cable Schedule'!$Q$3:$Q$202,'Cable Schedule'!$I$3:$I$202,A11)</f>
        <v>66</v>
      </c>
      <c r="F11" s="38" t="n">
        <f aca="false">ROUNDUP(E11*(1+'Design Basis'!$C$7),0)</f>
        <v>70</v>
      </c>
      <c r="G11" s="38" t="n">
        <f aca="false">ROUND(F11*'Design Basis'!$C$10,0)</f>
        <v>230</v>
      </c>
      <c r="H11" s="42" t="str">
        <f aca="false">IF('Cable Types'!I9="","",'Cable Types'!I9)</f>
        <v/>
      </c>
      <c r="I11" s="38" t="str">
        <f aca="false">IF(OR(H11="",F11=0),"",ROUNDUP(F11/H11,0))</f>
        <v/>
      </c>
      <c r="J11" s="43" t="n">
        <f aca="false">F11*'Cable Types'!H9/1000</f>
        <v>3.15</v>
      </c>
    </row>
    <row r="12" customFormat="false" ht="15" hidden="false" customHeight="false" outlineLevel="0" collapsed="false">
      <c r="A12" s="41" t="str">
        <f aca="false">'Cable Types'!A10</f>
        <v>LVBD-2500</v>
      </c>
      <c r="B12" s="41" t="str">
        <f aca="false">'Cable Types'!B10</f>
        <v>600 V busway 2500 A, Cu, 3-ph + ground, outdoor feeder</v>
      </c>
      <c r="C12" s="41" t="str">
        <f aca="false">'Cable Types'!C10</f>
        <v>Busduct</v>
      </c>
      <c r="D12" s="38" t="n">
        <f aca="false">COUNTIF('Cable Schedule'!$I$3:$I$202,A12)</f>
        <v>2</v>
      </c>
      <c r="E12" s="38" t="n">
        <f aca="false">SUMIFS('Cable Schedule'!$Q$3:$Q$202,'Cable Schedule'!$I$3:$I$202,A12)</f>
        <v>49</v>
      </c>
      <c r="F12" s="38" t="n">
        <f aca="false">ROUNDUP(E12*(1+'Design Basis'!$C$7),0)</f>
        <v>52</v>
      </c>
      <c r="G12" s="38" t="n">
        <f aca="false">ROUND(F12*'Design Basis'!$C$10,0)</f>
        <v>171</v>
      </c>
      <c r="H12" s="42" t="str">
        <f aca="false">IF('Cable Types'!I10="","",'Cable Types'!I10)</f>
        <v/>
      </c>
      <c r="I12" s="38" t="str">
        <f aca="false">IF(OR(H12="",F12=0),"",ROUNDUP(F12/H12,0))</f>
        <v/>
      </c>
      <c r="J12" s="43" t="n">
        <f aca="false">F12*'Cable Types'!H10/1000</f>
        <v>1.56</v>
      </c>
    </row>
    <row r="13" customFormat="false" ht="15" hidden="false" customHeight="false" outlineLevel="0" collapsed="false">
      <c r="A13" s="41" t="str">
        <f aca="false">'Cable Types'!A11</f>
        <v>MV-1C-2-NGR</v>
      </c>
      <c r="B13" s="41" t="str">
        <f aca="false">'Cable Types'!B11</f>
        <v>15 kV MV-105 1/C #2 AWG Cu EPR 133% shielded, Type MC-HL, CCW Al armor (Armor-X type), PVC jkt</v>
      </c>
      <c r="C13" s="41" t="str">
        <f aca="false">'Cable Types'!C11</f>
        <v>MV Power</v>
      </c>
      <c r="D13" s="38" t="n">
        <f aca="false">COUNTIF('Cable Schedule'!$I$3:$I$202,A13)</f>
        <v>2</v>
      </c>
      <c r="E13" s="38" t="n">
        <f aca="false">SUMIFS('Cable Schedule'!$Q$3:$Q$202,'Cable Schedule'!$I$3:$I$202,A13)</f>
        <v>30</v>
      </c>
      <c r="F13" s="38" t="n">
        <f aca="false">ROUNDUP(E13*(1+'Design Basis'!$C$7),0)</f>
        <v>32</v>
      </c>
      <c r="G13" s="38" t="n">
        <f aca="false">ROUND(F13*'Design Basis'!$C$10,0)</f>
        <v>105</v>
      </c>
      <c r="H13" s="42" t="n">
        <f aca="false">IF('Cable Types'!I11="","",'Cable Types'!I11)</f>
        <v>300</v>
      </c>
      <c r="I13" s="38" t="n">
        <f aca="false">IF(OR(H13="",F13=0),"",ROUNDUP(F13/H13,0))</f>
        <v>1</v>
      </c>
      <c r="J13" s="43" t="n">
        <f aca="false">F13*'Cable Types'!H11/1000</f>
        <v>0.0512</v>
      </c>
    </row>
    <row r="14" customFormat="false" ht="15" hidden="false" customHeight="false" outlineLevel="0" collapsed="false">
      <c r="A14" s="41" t="str">
        <f aca="false">'Cable Types'!A12</f>
        <v>MV-3C-2</v>
      </c>
      <c r="B14" s="41" t="str">
        <f aca="false">'Cable Types'!B12</f>
        <v>15 kV MV-105 3/C #2 AWG Cu EPR 133% shielded + GC, Type MC-HL, CCW Al armor (Armor-X type), PVC jkt</v>
      </c>
      <c r="C14" s="41" t="str">
        <f aca="false">'Cable Types'!C12</f>
        <v>MV Power</v>
      </c>
      <c r="D14" s="38" t="n">
        <f aca="false">COUNTIF('Cable Schedule'!$I$3:$I$202,A14)</f>
        <v>19</v>
      </c>
      <c r="E14" s="38" t="n">
        <f aca="false">SUMIFS('Cable Schedule'!$Q$3:$Q$202,'Cable Schedule'!$I$3:$I$202,A14)</f>
        <v>1225</v>
      </c>
      <c r="F14" s="38" t="n">
        <f aca="false">ROUNDUP(E14*(1+'Design Basis'!$C$7),0)</f>
        <v>1287</v>
      </c>
      <c r="G14" s="38" t="n">
        <f aca="false">ROUND(F14*'Design Basis'!$C$10,0)</f>
        <v>4222</v>
      </c>
      <c r="H14" s="42" t="n">
        <f aca="false">IF('Cable Types'!I12="","",'Cable Types'!I12)</f>
        <v>300</v>
      </c>
      <c r="I14" s="38" t="n">
        <f aca="false">IF(OR(H14="",F14=0),"",ROUNDUP(F14/H14,0))</f>
        <v>5</v>
      </c>
      <c r="J14" s="43" t="n">
        <f aca="false">F14*'Cable Types'!H12/1000</f>
        <v>5.148</v>
      </c>
    </row>
    <row r="15" customFormat="false" ht="15" hidden="false" customHeight="false" outlineLevel="0" collapsed="false">
      <c r="A15" s="41" t="str">
        <f aca="false">'Cable Types'!A13</f>
        <v>MV-3C-1/0</v>
      </c>
      <c r="B15" s="41" t="str">
        <f aca="false">'Cable Types'!B13</f>
        <v>15 kV MV-105 3/C 1/0 AWG Cu EPR 133% shielded + GC, Type MC-HL, CCW Al armor (Armor-X type), PVC jkt</v>
      </c>
      <c r="C15" s="41" t="str">
        <f aca="false">'Cable Types'!C13</f>
        <v>MV Power</v>
      </c>
      <c r="D15" s="38" t="n">
        <f aca="false">COUNTIF('Cable Schedule'!$I$3:$I$202,A15)</f>
        <v>3</v>
      </c>
      <c r="E15" s="38" t="n">
        <f aca="false">SUMIFS('Cable Schedule'!$Q$3:$Q$202,'Cable Schedule'!$I$3:$I$202,A15)</f>
        <v>180</v>
      </c>
      <c r="F15" s="38" t="n">
        <f aca="false">ROUNDUP(E15*(1+'Design Basis'!$C$7),0)</f>
        <v>189</v>
      </c>
      <c r="G15" s="38" t="n">
        <f aca="false">ROUND(F15*'Design Basis'!$C$10,0)</f>
        <v>620</v>
      </c>
      <c r="H15" s="42" t="n">
        <f aca="false">IF('Cable Types'!I13="","",'Cable Types'!I13)</f>
        <v>300</v>
      </c>
      <c r="I15" s="38" t="n">
        <f aca="false">IF(OR(H15="",F15=0),"",ROUNDUP(F15/H15,0))</f>
        <v>1</v>
      </c>
      <c r="J15" s="43" t="n">
        <f aca="false">F15*'Cable Types'!H13/1000</f>
        <v>1.0017</v>
      </c>
    </row>
    <row r="16" customFormat="false" ht="15" hidden="false" customHeight="false" outlineLevel="0" collapsed="false">
      <c r="A16" s="41" t="str">
        <f aca="false">'Cable Types'!A14</f>
        <v>MV-3C-4/0</v>
      </c>
      <c r="B16" s="41" t="str">
        <f aca="false">'Cable Types'!B14</f>
        <v>15 kV MV-105 3/C 4/0 AWG Cu EPR 133% shielded + GC, Type MC-HL, CCW Al armor (Armor-X type), PVC jkt</v>
      </c>
      <c r="C16" s="41" t="str">
        <f aca="false">'Cable Types'!C14</f>
        <v>MV Power</v>
      </c>
      <c r="D16" s="38" t="n">
        <f aca="false">COUNTIF('Cable Schedule'!$I$3:$I$202,A16)</f>
        <v>2</v>
      </c>
      <c r="E16" s="38" t="n">
        <f aca="false">SUMIFS('Cable Schedule'!$Q$3:$Q$202,'Cable Schedule'!$I$3:$I$202,A16)</f>
        <v>281</v>
      </c>
      <c r="F16" s="38" t="n">
        <f aca="false">ROUNDUP(E16*(1+'Design Basis'!$C$7),0)</f>
        <v>296</v>
      </c>
      <c r="G16" s="38" t="n">
        <f aca="false">ROUND(F16*'Design Basis'!$C$10,0)</f>
        <v>971</v>
      </c>
      <c r="H16" s="42" t="n">
        <f aca="false">IF('Cable Types'!I14="","",'Cable Types'!I14)</f>
        <v>300</v>
      </c>
      <c r="I16" s="38" t="n">
        <f aca="false">IF(OR(H16="",F16=0),"",ROUNDUP(F16/H16,0))</f>
        <v>1</v>
      </c>
      <c r="J16" s="43" t="n">
        <f aca="false">F16*'Cable Types'!H14/1000</f>
        <v>2.368</v>
      </c>
    </row>
    <row r="17" customFormat="false" ht="15" hidden="false" customHeight="false" outlineLevel="0" collapsed="false">
      <c r="A17" s="41" t="str">
        <f aca="false">'Cable Types'!A15</f>
        <v>MV-3C-500</v>
      </c>
      <c r="B17" s="41" t="str">
        <f aca="false">'Cable Types'!B15</f>
        <v>15 kV MV-105 3/C 500 kcmil Cu EPR 133% shielded + GC, Type MC-HL, CCW Al armor (Armor-X type), PVC jkt</v>
      </c>
      <c r="C17" s="41" t="str">
        <f aca="false">'Cable Types'!C15</f>
        <v>MV Power</v>
      </c>
      <c r="D17" s="38" t="n">
        <f aca="false">COUNTIF('Cable Schedule'!$I$3:$I$202,A17)</f>
        <v>1</v>
      </c>
      <c r="E17" s="38" t="n">
        <f aca="false">SUMIFS('Cable Schedule'!$Q$3:$Q$202,'Cable Schedule'!$I$3:$I$202,A17)</f>
        <v>85</v>
      </c>
      <c r="F17" s="38" t="n">
        <f aca="false">ROUNDUP(E17*(1+'Design Basis'!$C$7),0)</f>
        <v>90</v>
      </c>
      <c r="G17" s="38" t="n">
        <f aca="false">ROUND(F17*'Design Basis'!$C$10,0)</f>
        <v>295</v>
      </c>
      <c r="H17" s="42" t="n">
        <f aca="false">IF('Cable Types'!I15="","",'Cable Types'!I15)</f>
        <v>300</v>
      </c>
      <c r="I17" s="38" t="n">
        <f aca="false">IF(OR(H17="",F17=0),"",ROUNDUP(F17/H17,0))</f>
        <v>1</v>
      </c>
      <c r="J17" s="43" t="n">
        <f aca="false">F17*'Cable Types'!H15/1000</f>
        <v>1.395</v>
      </c>
    </row>
    <row r="18" customFormat="false" ht="15" hidden="false" customHeight="false" outlineLevel="0" collapsed="false">
      <c r="A18" s="41" t="str">
        <f aca="false">'Cable Types'!A16</f>
        <v>MV-1C-500-TPX</v>
      </c>
      <c r="B18" s="41" t="str">
        <f aca="false">'Cable Types'!B16</f>
        <v>15 kV MV-105 1/C 500 kcmil Cu EPR 133% shielded, Type MC-HL, CCW Al armor (Armor-X type), PVC jkt, triplexed set</v>
      </c>
      <c r="C18" s="41" t="str">
        <f aca="false">'Cable Types'!C16</f>
        <v>MV Power</v>
      </c>
      <c r="D18" s="38" t="n">
        <f aca="false">COUNTIF('Cable Schedule'!$I$3:$I$202,A18)</f>
        <v>4</v>
      </c>
      <c r="E18" s="38" t="n">
        <f aca="false">SUMIFS('Cable Schedule'!$Q$3:$Q$202,'Cable Schedule'!$I$3:$I$202,A18)</f>
        <v>1743</v>
      </c>
      <c r="F18" s="38" t="n">
        <f aca="false">ROUNDUP(E18*(1+'Design Basis'!$C$7),0)</f>
        <v>1831</v>
      </c>
      <c r="G18" s="38" t="n">
        <f aca="false">ROUND(F18*'Design Basis'!$C$10,0)</f>
        <v>6007</v>
      </c>
      <c r="H18" s="42" t="n">
        <f aca="false">IF('Cable Types'!I16="","",'Cable Types'!I16)</f>
        <v>300</v>
      </c>
      <c r="I18" s="38" t="n">
        <f aca="false">IF(OR(H18="",F18=0),"",ROUNDUP(F18/H18,0))</f>
        <v>7</v>
      </c>
      <c r="J18" s="43" t="n">
        <f aca="false">F18*'Cable Types'!H16/1000</f>
        <v>8.0564</v>
      </c>
    </row>
    <row r="19" customFormat="false" ht="15" hidden="false" customHeight="false" outlineLevel="0" collapsed="false">
      <c r="A19" s="41" t="str">
        <f aca="false">'Cable Types'!A17</f>
        <v>MV-1C-750-TPX</v>
      </c>
      <c r="B19" s="41" t="str">
        <f aca="false">'Cable Types'!B17</f>
        <v>15 kV MV-105 1/C 750 kcmil Cu EPR 133% shielded, Type MC-HL, CCW Al armor (Armor-X type), PVC jkt, triplexed set</v>
      </c>
      <c r="C19" s="41" t="str">
        <f aca="false">'Cable Types'!C17</f>
        <v>MV Power</v>
      </c>
      <c r="D19" s="38" t="n">
        <f aca="false">COUNTIF('Cable Schedule'!$I$3:$I$202,A19)</f>
        <v>4</v>
      </c>
      <c r="E19" s="38" t="n">
        <f aca="false">SUMIFS('Cable Schedule'!$Q$3:$Q$202,'Cable Schedule'!$I$3:$I$202,A19)</f>
        <v>1605</v>
      </c>
      <c r="F19" s="38" t="n">
        <f aca="false">ROUNDUP(E19*(1+'Design Basis'!$C$7),0)</f>
        <v>1686</v>
      </c>
      <c r="G19" s="38" t="n">
        <f aca="false">ROUND(F19*'Design Basis'!$C$10,0)</f>
        <v>5531</v>
      </c>
      <c r="H19" s="42" t="n">
        <f aca="false">IF('Cable Types'!I17="","",'Cable Types'!I17)</f>
        <v>300</v>
      </c>
      <c r="I19" s="38" t="n">
        <f aca="false">IF(OR(H19="",F19=0),"",ROUNDUP(F19/H19,0))</f>
        <v>6</v>
      </c>
      <c r="J19" s="43" t="n">
        <f aca="false">F19*'Cable Types'!H17/1000</f>
        <v>10.4532</v>
      </c>
    </row>
    <row r="20" customFormat="false" ht="15" hidden="false" customHeight="false" outlineLevel="0" collapsed="false">
      <c r="A20" s="41" t="str">
        <f aca="false">'Cable Types'!A18</f>
        <v>MV-1C-1000-TPX</v>
      </c>
      <c r="B20" s="41" t="str">
        <f aca="false">'Cable Types'!B18</f>
        <v>15 kV MV-105 1/C 1000 kcmil Cu EPR 133% shielded, Type MC-HL, CCW Al armor (Armor-X type), PVC jkt, triplexed set</v>
      </c>
      <c r="C20" s="41" t="str">
        <f aca="false">'Cable Types'!C18</f>
        <v>MV Power</v>
      </c>
      <c r="D20" s="38" t="n">
        <f aca="false">COUNTIF('Cable Schedule'!$I$3:$I$202,A20)</f>
        <v>1</v>
      </c>
      <c r="E20" s="38" t="n">
        <f aca="false">SUMIFS('Cable Schedule'!$Q$3:$Q$202,'Cable Schedule'!$I$3:$I$202,A20)</f>
        <v>420</v>
      </c>
      <c r="F20" s="38" t="n">
        <f aca="false">ROUNDUP(E20*(1+'Design Basis'!$C$7),0)</f>
        <v>441</v>
      </c>
      <c r="G20" s="38" t="n">
        <f aca="false">ROUND(F20*'Design Basis'!$C$10,0)</f>
        <v>1447</v>
      </c>
      <c r="H20" s="42" t="n">
        <f aca="false">IF('Cable Types'!I18="","",'Cable Types'!I18)</f>
        <v>300</v>
      </c>
      <c r="I20" s="38" t="n">
        <f aca="false">IF(OR(H20="",F20=0),"",ROUNDUP(F20/H20,0))</f>
        <v>2</v>
      </c>
      <c r="J20" s="43" t="n">
        <f aca="false">F20*'Cable Types'!H18/1000</f>
        <v>3.4839</v>
      </c>
    </row>
    <row r="21" customFormat="false" ht="15" hidden="false" customHeight="false" outlineLevel="0" collapsed="false">
      <c r="A21" s="41" t="str">
        <f aca="false">'Cable Types'!A19</f>
        <v>LV-3C-10</v>
      </c>
      <c r="B21" s="41" t="str">
        <f aca="false">'Cable Types'!B19</f>
        <v>600 V 3/C #10 AWG + G Cu XHHW-2, Type MC-HL, CCW Al armor (Armor-X type), PVC jkt</v>
      </c>
      <c r="C21" s="41" t="str">
        <f aca="false">'Cable Types'!C19</f>
        <v>LV Power</v>
      </c>
      <c r="D21" s="38" t="n">
        <f aca="false">COUNTIF('Cable Schedule'!$I$3:$I$202,A21)</f>
        <v>2</v>
      </c>
      <c r="E21" s="38" t="n">
        <f aca="false">SUMIFS('Cable Schedule'!$Q$3:$Q$202,'Cable Schedule'!$I$3:$I$202,A21)</f>
        <v>131</v>
      </c>
      <c r="F21" s="38" t="n">
        <f aca="false">ROUNDUP(E21*(1+'Design Basis'!$C$7),0)</f>
        <v>138</v>
      </c>
      <c r="G21" s="38" t="n">
        <f aca="false">ROUND(F21*'Design Basis'!$C$10,0)</f>
        <v>453</v>
      </c>
      <c r="H21" s="42" t="n">
        <f aca="false">IF('Cable Types'!I19="","",'Cable Types'!I19)</f>
        <v>600</v>
      </c>
      <c r="I21" s="38" t="n">
        <f aca="false">IF(OR(H21="",F21=0),"",ROUNDUP(F21/H21,0))</f>
        <v>1</v>
      </c>
      <c r="J21" s="43" t="n">
        <f aca="false">F21*'Cable Types'!H19/1000</f>
        <v>0.0828</v>
      </c>
    </row>
    <row r="22" customFormat="false" ht="15" hidden="false" customHeight="false" outlineLevel="0" collapsed="false">
      <c r="A22" s="41" t="str">
        <f aca="false">'Cable Types'!A20</f>
        <v>LV-3C-6</v>
      </c>
      <c r="B22" s="41" t="str">
        <f aca="false">'Cable Types'!B20</f>
        <v>600 V 3/C #6 AWG + G Cu XHHW-2, Type MC-HL, CCW Al armor (Armor-X type), PVC jkt</v>
      </c>
      <c r="C22" s="41" t="str">
        <f aca="false">'Cable Types'!C20</f>
        <v>LV Power</v>
      </c>
      <c r="D22" s="38" t="n">
        <f aca="false">COUNTIF('Cable Schedule'!$I$3:$I$202,A22)</f>
        <v>1</v>
      </c>
      <c r="E22" s="38" t="n">
        <f aca="false">SUMIFS('Cable Schedule'!$Q$3:$Q$202,'Cable Schedule'!$I$3:$I$202,A22)</f>
        <v>168</v>
      </c>
      <c r="F22" s="38" t="n">
        <f aca="false">ROUNDUP(E22*(1+'Design Basis'!$C$7),0)</f>
        <v>177</v>
      </c>
      <c r="G22" s="38" t="n">
        <f aca="false">ROUND(F22*'Design Basis'!$C$10,0)</f>
        <v>581</v>
      </c>
      <c r="H22" s="42" t="n">
        <f aca="false">IF('Cable Types'!I20="","",'Cable Types'!I20)</f>
        <v>600</v>
      </c>
      <c r="I22" s="38" t="n">
        <f aca="false">IF(OR(H22="",F22=0),"",ROUNDUP(F22/H22,0))</f>
        <v>1</v>
      </c>
      <c r="J22" s="43" t="n">
        <f aca="false">F22*'Cable Types'!H20/1000</f>
        <v>0.16815</v>
      </c>
    </row>
    <row r="23" customFormat="false" ht="15" hidden="false" customHeight="false" outlineLevel="0" collapsed="false">
      <c r="A23" s="41" t="str">
        <f aca="false">'Cable Types'!A21</f>
        <v>LV-3C-2</v>
      </c>
      <c r="B23" s="41" t="str">
        <f aca="false">'Cable Types'!B21</f>
        <v>600 V 3/C #2 AWG + G Cu XHHW-2, Type MC-HL, CCW Al armor (Armor-X type), PVC jkt</v>
      </c>
      <c r="C23" s="41" t="str">
        <f aca="false">'Cable Types'!C21</f>
        <v>LV Power</v>
      </c>
      <c r="D23" s="38" t="n">
        <f aca="false">COUNTIF('Cable Schedule'!$I$3:$I$202,A23)</f>
        <v>5</v>
      </c>
      <c r="E23" s="38" t="n">
        <f aca="false">SUMIFS('Cable Schedule'!$Q$3:$Q$202,'Cable Schedule'!$I$3:$I$202,A23)</f>
        <v>182</v>
      </c>
      <c r="F23" s="38" t="n">
        <f aca="false">ROUNDUP(E23*(1+'Design Basis'!$C$7),0)</f>
        <v>192</v>
      </c>
      <c r="G23" s="38" t="n">
        <f aca="false">ROUND(F23*'Design Basis'!$C$10,0)</f>
        <v>630</v>
      </c>
      <c r="H23" s="42" t="n">
        <f aca="false">IF('Cable Types'!I21="","",'Cable Types'!I21)</f>
        <v>600</v>
      </c>
      <c r="I23" s="38" t="n">
        <f aca="false">IF(OR(H23="",F23=0),"",ROUNDUP(F23/H23,0))</f>
        <v>1</v>
      </c>
      <c r="J23" s="43" t="n">
        <f aca="false">F23*'Cable Types'!H21/1000</f>
        <v>0.3456</v>
      </c>
    </row>
    <row r="24" customFormat="false" ht="15" hidden="false" customHeight="false" outlineLevel="0" collapsed="false">
      <c r="A24" s="41" t="str">
        <f aca="false">'Cable Types'!A22</f>
        <v>LV-3C-1/0</v>
      </c>
      <c r="B24" s="41" t="str">
        <f aca="false">'Cable Types'!B22</f>
        <v>600 V 3/C 1/0 AWG + G Cu XHHW-2, Type MC-HL, CCW Al armor (Armor-X type), PVC jkt</v>
      </c>
      <c r="C24" s="41" t="str">
        <f aca="false">'Cable Types'!C22</f>
        <v>LV Power</v>
      </c>
      <c r="D24" s="38" t="n">
        <f aca="false">COUNTIF('Cable Schedule'!$I$3:$I$202,A24)</f>
        <v>11</v>
      </c>
      <c r="E24" s="38" t="n">
        <f aca="false">SUMIFS('Cable Schedule'!$Q$3:$Q$202,'Cable Schedule'!$I$3:$I$202,A24)</f>
        <v>455</v>
      </c>
      <c r="F24" s="38" t="n">
        <f aca="false">ROUNDUP(E24*(1+'Design Basis'!$C$7),0)</f>
        <v>478</v>
      </c>
      <c r="G24" s="38" t="n">
        <f aca="false">ROUND(F24*'Design Basis'!$C$10,0)</f>
        <v>1568</v>
      </c>
      <c r="H24" s="42" t="n">
        <f aca="false">IF('Cable Types'!I22="","",'Cable Types'!I22)</f>
        <v>300</v>
      </c>
      <c r="I24" s="38" t="n">
        <f aca="false">IF(OR(H24="",F24=0),"",ROUNDUP(F24/H24,0))</f>
        <v>2</v>
      </c>
      <c r="J24" s="43" t="n">
        <f aca="false">F24*'Cable Types'!H22/1000</f>
        <v>1.2428</v>
      </c>
    </row>
    <row r="25" customFormat="false" ht="15" hidden="false" customHeight="false" outlineLevel="0" collapsed="false">
      <c r="A25" s="41" t="str">
        <f aca="false">'Cable Types'!A23</f>
        <v>LV-3C-4/0</v>
      </c>
      <c r="B25" s="41" t="str">
        <f aca="false">'Cable Types'!B23</f>
        <v>600 V 3/C 4/0 AWG + G Cu XHHW-2, Type MC-HL, CCW Al armor (Armor-X type), PVC jkt</v>
      </c>
      <c r="C25" s="41" t="str">
        <f aca="false">'Cable Types'!C23</f>
        <v>LV Power</v>
      </c>
      <c r="D25" s="38" t="n">
        <f aca="false">COUNTIF('Cable Schedule'!$I$3:$I$202,A25)</f>
        <v>2</v>
      </c>
      <c r="E25" s="38" t="n">
        <f aca="false">SUMIFS('Cable Schedule'!$Q$3:$Q$202,'Cable Schedule'!$I$3:$I$202,A25)</f>
        <v>172</v>
      </c>
      <c r="F25" s="38" t="n">
        <f aca="false">ROUNDUP(E25*(1+'Design Basis'!$C$7),0)</f>
        <v>181</v>
      </c>
      <c r="G25" s="38" t="n">
        <f aca="false">ROUND(F25*'Design Basis'!$C$10,0)</f>
        <v>594</v>
      </c>
      <c r="H25" s="42" t="n">
        <f aca="false">IF('Cable Types'!I23="","",'Cable Types'!I23)</f>
        <v>300</v>
      </c>
      <c r="I25" s="38" t="n">
        <f aca="false">IF(OR(H25="",F25=0),"",ROUNDUP(F25/H25,0))</f>
        <v>1</v>
      </c>
      <c r="J25" s="43" t="n">
        <f aca="false">F25*'Cable Types'!H23/1000</f>
        <v>0.8326</v>
      </c>
    </row>
    <row r="26" customFormat="false" ht="15" hidden="false" customHeight="false" outlineLevel="0" collapsed="false">
      <c r="A26" s="41" t="str">
        <f aca="false">'Cable Types'!A24</f>
        <v>LV-3C-350</v>
      </c>
      <c r="B26" s="41" t="str">
        <f aca="false">'Cable Types'!B24</f>
        <v>600 V 3/C 350 kcmil + G Cu XHHW-2, Type MC-HL, CCW Al armor (Armor-X type), PVC jkt</v>
      </c>
      <c r="C26" s="41" t="str">
        <f aca="false">'Cable Types'!C24</f>
        <v>LV Power</v>
      </c>
      <c r="D26" s="38" t="n">
        <f aca="false">COUNTIF('Cable Schedule'!$I$3:$I$202,A26)</f>
        <v>3</v>
      </c>
      <c r="E26" s="38" t="n">
        <f aca="false">SUMIFS('Cable Schedule'!$Q$3:$Q$202,'Cable Schedule'!$I$3:$I$202,A26)</f>
        <v>497</v>
      </c>
      <c r="F26" s="38" t="n">
        <f aca="false">ROUNDUP(E26*(1+'Design Basis'!$C$7),0)</f>
        <v>522</v>
      </c>
      <c r="G26" s="38" t="n">
        <f aca="false">ROUND(F26*'Design Basis'!$C$10,0)</f>
        <v>1713</v>
      </c>
      <c r="H26" s="42" t="n">
        <f aca="false">IF('Cable Types'!I24="","",'Cable Types'!I24)</f>
        <v>300</v>
      </c>
      <c r="I26" s="38" t="n">
        <f aca="false">IF(OR(H26="",F26=0),"",ROUNDUP(F26/H26,0))</f>
        <v>2</v>
      </c>
      <c r="J26" s="43" t="n">
        <f aca="false">F26*'Cable Types'!H24/1000</f>
        <v>3.7584</v>
      </c>
    </row>
    <row r="27" customFormat="false" ht="15" hidden="false" customHeight="false" outlineLevel="0" collapsed="false">
      <c r="A27" s="41" t="str">
        <f aca="false">'Cable Types'!A25</f>
        <v>LV-3C-500</v>
      </c>
      <c r="B27" s="41" t="str">
        <f aca="false">'Cable Types'!B25</f>
        <v>600 V 3/C 500 kcmil + G Cu XHHW-2, Type MC-HL, CCW Al armor (Armor-X type), PVC jkt</v>
      </c>
      <c r="C27" s="41" t="str">
        <f aca="false">'Cable Types'!C25</f>
        <v>LV Power</v>
      </c>
      <c r="D27" s="38" t="n">
        <f aca="false">COUNTIF('Cable Schedule'!$I$3:$I$202,A27)</f>
        <v>5</v>
      </c>
      <c r="E27" s="38" t="n">
        <f aca="false">SUMIFS('Cable Schedule'!$Q$3:$Q$202,'Cable Schedule'!$I$3:$I$202,A27)</f>
        <v>736</v>
      </c>
      <c r="F27" s="38" t="n">
        <f aca="false">ROUNDUP(E27*(1+'Design Basis'!$C$7),0)</f>
        <v>773</v>
      </c>
      <c r="G27" s="38" t="n">
        <f aca="false">ROUND(F27*'Design Basis'!$C$10,0)</f>
        <v>2536</v>
      </c>
      <c r="H27" s="42" t="n">
        <f aca="false">IF('Cable Types'!I25="","",'Cable Types'!I25)</f>
        <v>300</v>
      </c>
      <c r="I27" s="38" t="n">
        <f aca="false">IF(OR(H27="",F27=0),"",ROUNDUP(F27/H27,0))</f>
        <v>3</v>
      </c>
      <c r="J27" s="43" t="n">
        <f aca="false">F27*'Cable Types'!H25/1000</f>
        <v>7.5754</v>
      </c>
    </row>
    <row r="28" customFormat="false" ht="15" hidden="false" customHeight="false" outlineLevel="0" collapsed="false">
      <c r="A28" s="41" t="str">
        <f aca="false">'Cable Types'!A26</f>
        <v>LV-VFD-500</v>
      </c>
      <c r="B28" s="41" t="str">
        <f aca="false">'Cable Types'!B26</f>
        <v>600/1000 V VFD 3/C 500 kcmil + 3 symmetrical G, Cu XLPE, Type MC-HL, CCW Al armor (Armor-X type), PVC jkt</v>
      </c>
      <c r="C28" s="41" t="str">
        <f aca="false">'Cable Types'!C26</f>
        <v>LV Power</v>
      </c>
      <c r="D28" s="38" t="n">
        <f aca="false">COUNTIF('Cable Schedule'!$I$3:$I$202,A28)</f>
        <v>15</v>
      </c>
      <c r="E28" s="38" t="n">
        <f aca="false">SUMIFS('Cable Schedule'!$Q$3:$Q$202,'Cable Schedule'!$I$3:$I$202,A28)</f>
        <v>927</v>
      </c>
      <c r="F28" s="38" t="n">
        <f aca="false">ROUNDUP(E28*(1+'Design Basis'!$C$7),0)</f>
        <v>974</v>
      </c>
      <c r="G28" s="38" t="n">
        <f aca="false">ROUND(F28*'Design Basis'!$C$10,0)</f>
        <v>3196</v>
      </c>
      <c r="H28" s="42" t="n">
        <f aca="false">IF('Cable Types'!I26="","",'Cable Types'!I26)</f>
        <v>300</v>
      </c>
      <c r="I28" s="38" t="n">
        <f aca="false">IF(OR(H28="",F28=0),"",ROUNDUP(F28/H28,0))</f>
        <v>4</v>
      </c>
      <c r="J28" s="43" t="n">
        <f aca="false">F28*'Cable Types'!H26/1000</f>
        <v>10.714</v>
      </c>
    </row>
    <row r="29" customFormat="false" ht="15" hidden="false" customHeight="false" outlineLevel="0" collapsed="false">
      <c r="A29" s="41" t="str">
        <f aca="false">'Cable Types'!A27</f>
        <v>LV-MFX-2/0</v>
      </c>
      <c r="B29" s="41" t="str">
        <f aca="false">'Cable Types'!B27</f>
        <v>1000 V 3/C 2/0 AWG + 3 symmetrical G, flexible tinned Cu XHHW-2, foil + braid shield, TPE jkt, Type TC-ER, NFPA 79 (Machine Flex type)</v>
      </c>
      <c r="C29" s="41" t="str">
        <f aca="false">'Cable Types'!C27</f>
        <v>LV Power</v>
      </c>
      <c r="D29" s="38" t="n">
        <f aca="false">COUNTIF('Cable Schedule'!$I$3:$I$202,A29)</f>
        <v>15</v>
      </c>
      <c r="E29" s="38" t="n">
        <f aca="false">SUMIFS('Cable Schedule'!$Q$3:$Q$202,'Cable Schedule'!$I$3:$I$202,A29)</f>
        <v>180</v>
      </c>
      <c r="F29" s="38" t="n">
        <f aca="false">ROUNDUP(E29*(1+'Design Basis'!$C$7),0)</f>
        <v>189</v>
      </c>
      <c r="G29" s="38" t="n">
        <f aca="false">ROUND(F29*'Design Basis'!$C$10,0)</f>
        <v>620</v>
      </c>
      <c r="H29" s="42" t="n">
        <f aca="false">IF('Cable Types'!I27="","",'Cable Types'!I27)</f>
        <v>300</v>
      </c>
      <c r="I29" s="38" t="n">
        <f aca="false">IF(OR(H29="",F29=0),"",ROUNDUP(F29/H29,0))</f>
        <v>1</v>
      </c>
      <c r="J29" s="43" t="n">
        <f aca="false">F29*'Cable Types'!H27/1000</f>
        <v>0.4914</v>
      </c>
    </row>
    <row r="30" customFormat="false" ht="15" hidden="false" customHeight="false" outlineLevel="0" collapsed="false">
      <c r="A30" s="41" t="str">
        <f aca="false">'Cable Types'!A28</f>
        <v>LV-2C-10</v>
      </c>
      <c r="B30" s="41" t="str">
        <f aca="false">'Cable Types'!B28</f>
        <v>600 V 2/C #10 AWG + G Cu XHHW-2, Type MC-HL, CCW Al armor (Armor-X type), PVC jkt</v>
      </c>
      <c r="C30" s="41" t="str">
        <f aca="false">'Cable Types'!C28</f>
        <v>DC Power</v>
      </c>
      <c r="D30" s="38" t="n">
        <f aca="false">COUNTIF('Cable Schedule'!$I$3:$I$202,A30)</f>
        <v>2</v>
      </c>
      <c r="E30" s="38" t="n">
        <f aca="false">SUMIFS('Cable Schedule'!$Q$3:$Q$202,'Cable Schedule'!$I$3:$I$202,A30)</f>
        <v>27</v>
      </c>
      <c r="F30" s="38" t="n">
        <f aca="false">ROUNDUP(E30*(1+'Design Basis'!$C$7),0)</f>
        <v>29</v>
      </c>
      <c r="G30" s="38" t="n">
        <f aca="false">ROUND(F30*'Design Basis'!$C$10,0)</f>
        <v>95</v>
      </c>
      <c r="H30" s="42" t="n">
        <f aca="false">IF('Cable Types'!I28="","",'Cable Types'!I28)</f>
        <v>600</v>
      </c>
      <c r="I30" s="38" t="n">
        <f aca="false">IF(OR(H30="",F30=0),"",ROUNDUP(F30/H30,0))</f>
        <v>1</v>
      </c>
      <c r="J30" s="43" t="n">
        <f aca="false">F30*'Cable Types'!H28/1000</f>
        <v>0.0145</v>
      </c>
    </row>
    <row r="31" customFormat="false" ht="15" hidden="false" customHeight="false" outlineLevel="0" collapsed="false">
      <c r="A31" s="41" t="str">
        <f aca="false">'Cable Types'!A29</f>
        <v>LV-2C-6</v>
      </c>
      <c r="B31" s="41" t="str">
        <f aca="false">'Cable Types'!B29</f>
        <v>600 V 2/C #6 AWG + G Cu XHHW-2, Type MC-HL, CCW Al armor (Armor-X type), PVC jkt</v>
      </c>
      <c r="C31" s="41" t="str">
        <f aca="false">'Cable Types'!C29</f>
        <v>DC Power</v>
      </c>
      <c r="D31" s="38" t="n">
        <f aca="false">COUNTIF('Cable Schedule'!$I$3:$I$202,A31)</f>
        <v>1</v>
      </c>
      <c r="E31" s="38" t="n">
        <f aca="false">SUMIFS('Cable Schedule'!$Q$3:$Q$202,'Cable Schedule'!$I$3:$I$202,A31)</f>
        <v>80</v>
      </c>
      <c r="F31" s="38" t="n">
        <f aca="false">ROUNDUP(E31*(1+'Design Basis'!$C$7),0)</f>
        <v>84</v>
      </c>
      <c r="G31" s="38" t="n">
        <f aca="false">ROUND(F31*'Design Basis'!$C$10,0)</f>
        <v>276</v>
      </c>
      <c r="H31" s="42" t="n">
        <f aca="false">IF('Cable Types'!I29="","",'Cable Types'!I29)</f>
        <v>600</v>
      </c>
      <c r="I31" s="38" t="n">
        <f aca="false">IF(OR(H31="",F31=0),"",ROUNDUP(F31/H31,0))</f>
        <v>1</v>
      </c>
      <c r="J31" s="43" t="n">
        <f aca="false">F31*'Cable Types'!H29/1000</f>
        <v>0.0672</v>
      </c>
    </row>
    <row r="32" customFormat="false" ht="15" hidden="false" customHeight="false" outlineLevel="0" collapsed="false">
      <c r="A32" s="41" t="str">
        <f aca="false">'Cable Types'!A30</f>
        <v>LV-2C-2</v>
      </c>
      <c r="B32" s="41" t="str">
        <f aca="false">'Cable Types'!B30</f>
        <v>600 V 2/C #2 AWG + G Cu XHHW-2, Type MC-HL, CCW Al armor (Armor-X type), PVC jkt</v>
      </c>
      <c r="C32" s="41" t="str">
        <f aca="false">'Cable Types'!C30</f>
        <v>DC Power</v>
      </c>
      <c r="D32" s="38" t="n">
        <f aca="false">COUNTIF('Cable Schedule'!$I$3:$I$202,A32)</f>
        <v>6</v>
      </c>
      <c r="E32" s="38" t="n">
        <f aca="false">SUMIFS('Cable Schedule'!$Q$3:$Q$202,'Cable Schedule'!$I$3:$I$202,A32)</f>
        <v>560</v>
      </c>
      <c r="F32" s="38" t="n">
        <f aca="false">ROUNDUP(E32*(1+'Design Basis'!$C$7),0)</f>
        <v>588</v>
      </c>
      <c r="G32" s="38" t="n">
        <f aca="false">ROUND(F32*'Design Basis'!$C$10,0)</f>
        <v>1929</v>
      </c>
      <c r="H32" s="42" t="n">
        <f aca="false">IF('Cable Types'!I30="","",'Cable Types'!I30)</f>
        <v>600</v>
      </c>
      <c r="I32" s="38" t="n">
        <f aca="false">IF(OR(H32="",F32=0),"",ROUNDUP(F32/H32,0))</f>
        <v>1</v>
      </c>
      <c r="J32" s="43" t="n">
        <f aca="false">F32*'Cable Types'!H30/1000</f>
        <v>0.8232</v>
      </c>
    </row>
    <row r="33" customFormat="false" ht="15" hidden="false" customHeight="false" outlineLevel="0" collapsed="false">
      <c r="A33" s="41" t="str">
        <f aca="false">'Cable Types'!A31</f>
        <v>LV-1C-500</v>
      </c>
      <c r="B33" s="41" t="str">
        <f aca="false">'Cable Types'!B31</f>
        <v>600 V 1/C 500 kcmil Cu XHHW-2, Type MC-HL, CCW Al armor (Armor-X type), PVC jkt (+/- pair)</v>
      </c>
      <c r="C33" s="41" t="str">
        <f aca="false">'Cable Types'!C31</f>
        <v>DC Power</v>
      </c>
      <c r="D33" s="38" t="n">
        <f aca="false">COUNTIF('Cable Schedule'!$I$3:$I$202,A33)</f>
        <v>2</v>
      </c>
      <c r="E33" s="38" t="n">
        <f aca="false">SUMIFS('Cable Schedule'!$Q$3:$Q$202,'Cable Schedule'!$I$3:$I$202,A33)</f>
        <v>360</v>
      </c>
      <c r="F33" s="38" t="n">
        <f aca="false">ROUNDUP(E33*(1+'Design Basis'!$C$7),0)</f>
        <v>378</v>
      </c>
      <c r="G33" s="38" t="n">
        <f aca="false">ROUND(F33*'Design Basis'!$C$10,0)</f>
        <v>1240</v>
      </c>
      <c r="H33" s="42" t="n">
        <f aca="false">IF('Cable Types'!I31="","",'Cable Types'!I31)</f>
        <v>300</v>
      </c>
      <c r="I33" s="38" t="n">
        <f aca="false">IF(OR(H33="",F33=0),"",ROUNDUP(F33/H33,0))</f>
        <v>2</v>
      </c>
      <c r="J33" s="43" t="n">
        <f aca="false">F33*'Cable Types'!H31/1000</f>
        <v>1.2474</v>
      </c>
    </row>
    <row r="34" customFormat="false" ht="15" hidden="false" customHeight="false" outlineLevel="0" collapsed="false">
      <c r="A34" s="41" t="str">
        <f aca="false">'Cable Types'!A32</f>
        <v>CTL-7C-12</v>
      </c>
      <c r="B34" s="41" t="str">
        <f aca="false">'Cable Types'!B32</f>
        <v>600 V 7/C #12 AWG Cu XHHW-2 control, Type MC-HL, CCW Al armor (Armor-X type), PVC jkt</v>
      </c>
      <c r="C34" s="41" t="str">
        <f aca="false">'Cable Types'!C32</f>
        <v>Control</v>
      </c>
      <c r="D34" s="38" t="n">
        <f aca="false">COUNTIF('Cable Schedule'!$I$3:$I$202,A34)</f>
        <v>1</v>
      </c>
      <c r="E34" s="38" t="n">
        <f aca="false">SUMIFS('Cable Schedule'!$Q$3:$Q$202,'Cable Schedule'!$I$3:$I$202,A34)</f>
        <v>19</v>
      </c>
      <c r="F34" s="38" t="n">
        <f aca="false">ROUNDUP(E34*(1+'Design Basis'!$C$7),0)</f>
        <v>20</v>
      </c>
      <c r="G34" s="38" t="n">
        <f aca="false">ROUND(F34*'Design Basis'!$C$10,0)</f>
        <v>66</v>
      </c>
      <c r="H34" s="42" t="n">
        <f aca="false">IF('Cable Types'!I32="","",'Cable Types'!I32)</f>
        <v>600</v>
      </c>
      <c r="I34" s="38" t="n">
        <f aca="false">IF(OR(H34="",F34=0),"",ROUNDUP(F34/H34,0))</f>
        <v>1</v>
      </c>
      <c r="J34" s="43" t="n">
        <f aca="false">F34*'Cable Types'!H32/1000</f>
        <v>0.012</v>
      </c>
    </row>
    <row r="35" customFormat="false" ht="15" hidden="false" customHeight="false" outlineLevel="0" collapsed="false">
      <c r="A35" s="41" t="str">
        <f aca="false">'Cable Types'!A33</f>
        <v>CTL-12C-14</v>
      </c>
      <c r="B35" s="41" t="str">
        <f aca="false">'Cable Types'!B33</f>
        <v>600 V 12/C #14 AWG Cu XHHW-2 control, Type MC-HL, CCW Al armor (Armor-X type), PVC jkt</v>
      </c>
      <c r="C35" s="41" t="str">
        <f aca="false">'Cable Types'!C33</f>
        <v>Control</v>
      </c>
      <c r="D35" s="38" t="n">
        <f aca="false">COUNTIF('Cable Schedule'!$I$3:$I$202,A35)</f>
        <v>0</v>
      </c>
      <c r="E35" s="38" t="n">
        <f aca="false">SUMIFS('Cable Schedule'!$Q$3:$Q$202,'Cable Schedule'!$I$3:$I$202,A35)</f>
        <v>0</v>
      </c>
      <c r="F35" s="38" t="n">
        <f aca="false">ROUNDUP(E35*(1+'Design Basis'!$C$7),0)</f>
        <v>0</v>
      </c>
      <c r="G35" s="38" t="n">
        <f aca="false">ROUND(F35*'Design Basis'!$C$10,0)</f>
        <v>0</v>
      </c>
      <c r="H35" s="42" t="n">
        <f aca="false">IF('Cable Types'!I33="","",'Cable Types'!I33)</f>
        <v>600</v>
      </c>
      <c r="I35" s="38" t="str">
        <f aca="false">IF(OR(H35="",F35=0),"",ROUNDUP(F35/H35,0))</f>
        <v/>
      </c>
      <c r="J35" s="43" t="n">
        <f aca="false">F35*'Cable Types'!H33/1000</f>
        <v>0</v>
      </c>
    </row>
    <row r="36" customFormat="false" ht="15" hidden="false" customHeight="false" outlineLevel="0" collapsed="false">
      <c r="A36" s="41" t="str">
        <f aca="false">'Cable Types'!A34</f>
        <v>CTL-25C-14</v>
      </c>
      <c r="B36" s="41" t="str">
        <f aca="false">'Cable Types'!B34</f>
        <v>600 V 25/C #14 AWG Cu XHHW-2 control, Type MC-HL, CCW Al armor (Armor-X type), PVC jkt</v>
      </c>
      <c r="C36" s="41" t="str">
        <f aca="false">'Cable Types'!C34</f>
        <v>Control</v>
      </c>
      <c r="D36" s="38" t="n">
        <f aca="false">COUNTIF('Cable Schedule'!$I$3:$I$202,A36)</f>
        <v>18</v>
      </c>
      <c r="E36" s="38" t="n">
        <f aca="false">SUMIFS('Cable Schedule'!$Q$3:$Q$202,'Cable Schedule'!$I$3:$I$202,A36)</f>
        <v>1237</v>
      </c>
      <c r="F36" s="38" t="n">
        <f aca="false">ROUNDUP(E36*(1+'Design Basis'!$C$7),0)</f>
        <v>1299</v>
      </c>
      <c r="G36" s="38" t="n">
        <f aca="false">ROUND(F36*'Design Basis'!$C$10,0)</f>
        <v>4262</v>
      </c>
      <c r="H36" s="42" t="n">
        <f aca="false">IF('Cable Types'!I34="","",'Cable Types'!I34)</f>
        <v>600</v>
      </c>
      <c r="I36" s="38" t="n">
        <f aca="false">IF(OR(H36="",F36=0),"",ROUNDUP(F36/H36,0))</f>
        <v>3</v>
      </c>
      <c r="J36" s="43" t="n">
        <f aca="false">F36*'Cable Types'!H34/1000</f>
        <v>1.4289</v>
      </c>
    </row>
    <row r="37" customFormat="false" ht="15" hidden="false" customHeight="false" outlineLevel="0" collapsed="false">
      <c r="A37" s="41" t="str">
        <f aca="false">'Cable Types'!A35</f>
        <v>CTL-12C-10</v>
      </c>
      <c r="B37" s="41" t="str">
        <f aca="false">'Cable Types'!B35</f>
        <v>600 V 12/C #10 AWG Cu XHHW-2 control (CT circuits), Type MC-HL, CCW Al armor (Armor-X type), PVC jkt</v>
      </c>
      <c r="C37" s="41" t="str">
        <f aca="false">'Cable Types'!C35</f>
        <v>Control</v>
      </c>
      <c r="D37" s="38" t="n">
        <f aca="false">COUNTIF('Cable Schedule'!$I$3:$I$202,A37)</f>
        <v>11</v>
      </c>
      <c r="E37" s="38" t="n">
        <f aca="false">SUMIFS('Cable Schedule'!$Q$3:$Q$202,'Cable Schedule'!$I$3:$I$202,A37)</f>
        <v>1234</v>
      </c>
      <c r="F37" s="38" t="n">
        <f aca="false">ROUNDUP(E37*(1+'Design Basis'!$C$7),0)</f>
        <v>1296</v>
      </c>
      <c r="G37" s="38" t="n">
        <f aca="false">ROUND(F37*'Design Basis'!$C$10,0)</f>
        <v>4252</v>
      </c>
      <c r="H37" s="42" t="n">
        <f aca="false">IF('Cable Types'!I35="","",'Cable Types'!I35)</f>
        <v>600</v>
      </c>
      <c r="I37" s="38" t="n">
        <f aca="false">IF(OR(H37="",F37=0),"",ROUNDUP(F37/H37,0))</f>
        <v>3</v>
      </c>
      <c r="J37" s="43" t="n">
        <f aca="false">F37*'Cable Types'!H35/1000</f>
        <v>1.5552</v>
      </c>
    </row>
    <row r="38" customFormat="false" ht="15" hidden="false" customHeight="false" outlineLevel="0" collapsed="false">
      <c r="A38" s="41" t="str">
        <f aca="false">'Cable Types'!A36</f>
        <v>INS-1TSP-16</v>
      </c>
      <c r="B38" s="41" t="str">
        <f aca="false">'Cable Types'!B36</f>
        <v>300 V 1 TSP #16 AWG, PLTC/ITC-HL, CCW armor, PVC jkt (IS blue)</v>
      </c>
      <c r="C38" s="41" t="str">
        <f aca="false">'Cable Types'!C36</f>
        <v>Instrument</v>
      </c>
      <c r="D38" s="38" t="n">
        <f aca="false">COUNTIF('Cable Schedule'!$I$3:$I$202,A38)</f>
        <v>1</v>
      </c>
      <c r="E38" s="38" t="n">
        <f aca="false">SUMIFS('Cable Schedule'!$Q$3:$Q$202,'Cable Schedule'!$I$3:$I$202,A38)</f>
        <v>60</v>
      </c>
      <c r="F38" s="38" t="n">
        <f aca="false">ROUNDUP(E38*(1+'Design Basis'!$C$7),0)</f>
        <v>63</v>
      </c>
      <c r="G38" s="38" t="n">
        <f aca="false">ROUND(F38*'Design Basis'!$C$10,0)</f>
        <v>207</v>
      </c>
      <c r="H38" s="42" t="n">
        <f aca="false">IF('Cable Types'!I36="","",'Cable Types'!I36)</f>
        <v>600</v>
      </c>
      <c r="I38" s="38" t="n">
        <f aca="false">IF(OR(H38="",F38=0),"",ROUNDUP(F38/H38,0))</f>
        <v>1</v>
      </c>
      <c r="J38" s="43" t="n">
        <f aca="false">F38*'Cable Types'!H36/1000</f>
        <v>0.01575</v>
      </c>
    </row>
    <row r="39" customFormat="false" ht="15" hidden="false" customHeight="false" outlineLevel="0" collapsed="false">
      <c r="A39" s="41" t="str">
        <f aca="false">'Cable Types'!A37</f>
        <v>INS-2TSP-16</v>
      </c>
      <c r="B39" s="41" t="str">
        <f aca="false">'Cable Types'!B37</f>
        <v>300 V 2 TSP #16 AWG, PLTC/ITC-HL, CCW armor, PVC jkt (IS blue)</v>
      </c>
      <c r="C39" s="41" t="str">
        <f aca="false">'Cable Types'!C37</f>
        <v>Instrument</v>
      </c>
      <c r="D39" s="38" t="n">
        <f aca="false">COUNTIF('Cable Schedule'!$I$3:$I$202,A39)</f>
        <v>4</v>
      </c>
      <c r="E39" s="38" t="n">
        <f aca="false">SUMIFS('Cable Schedule'!$Q$3:$Q$202,'Cable Schedule'!$I$3:$I$202,A39)</f>
        <v>166</v>
      </c>
      <c r="F39" s="38" t="n">
        <f aca="false">ROUNDUP(E39*(1+'Design Basis'!$C$7),0)</f>
        <v>175</v>
      </c>
      <c r="G39" s="38" t="n">
        <f aca="false">ROUND(F39*'Design Basis'!$C$10,0)</f>
        <v>574</v>
      </c>
      <c r="H39" s="42" t="n">
        <f aca="false">IF('Cable Types'!I37="","",'Cable Types'!I37)</f>
        <v>600</v>
      </c>
      <c r="I39" s="38" t="n">
        <f aca="false">IF(OR(H39="",F39=0),"",ROUNDUP(F39/H39,0))</f>
        <v>1</v>
      </c>
      <c r="J39" s="43" t="n">
        <f aca="false">F39*'Cable Types'!H37/1000</f>
        <v>0.06125</v>
      </c>
    </row>
    <row r="40" customFormat="false" ht="15" hidden="false" customHeight="false" outlineLevel="0" collapsed="false">
      <c r="A40" s="41" t="str">
        <f aca="false">'Cable Types'!A38</f>
        <v>INS-12TSP-18</v>
      </c>
      <c r="B40" s="41" t="str">
        <f aca="false">'Cable Types'!B38</f>
        <v>300 V 12 TSP #18 AWG indiv. + overall shield, PLTC/ITC-HL, CCW armor</v>
      </c>
      <c r="C40" s="41" t="str">
        <f aca="false">'Cable Types'!C38</f>
        <v>Instrument</v>
      </c>
      <c r="D40" s="38" t="n">
        <f aca="false">COUNTIF('Cable Schedule'!$I$3:$I$202,A40)</f>
        <v>4</v>
      </c>
      <c r="E40" s="38" t="n">
        <f aca="false">SUMIFS('Cable Schedule'!$Q$3:$Q$202,'Cable Schedule'!$I$3:$I$202,A40)</f>
        <v>550</v>
      </c>
      <c r="F40" s="38" t="n">
        <f aca="false">ROUNDUP(E40*(1+'Design Basis'!$C$7),0)</f>
        <v>578</v>
      </c>
      <c r="G40" s="38" t="n">
        <f aca="false">ROUND(F40*'Design Basis'!$C$10,0)</f>
        <v>1896</v>
      </c>
      <c r="H40" s="42" t="n">
        <f aca="false">IF('Cable Types'!I38="","",'Cable Types'!I38)</f>
        <v>600</v>
      </c>
      <c r="I40" s="38" t="n">
        <f aca="false">IF(OR(H40="",F40=0),"",ROUNDUP(F40/H40,0))</f>
        <v>1</v>
      </c>
      <c r="J40" s="43" t="n">
        <f aca="false">F40*'Cable Types'!H38/1000</f>
        <v>0.5202</v>
      </c>
    </row>
    <row r="41" customFormat="false" ht="15" hidden="false" customHeight="false" outlineLevel="0" collapsed="false">
      <c r="A41" s="41" t="str">
        <f aca="false">'Cable Types'!A39</f>
        <v>INS-24TSP-18</v>
      </c>
      <c r="B41" s="41" t="str">
        <f aca="false">'Cable Types'!B39</f>
        <v>300 V 24 TSP #18 AWG indiv. + overall shield, PLTC/ITC-HL, CCW armor</v>
      </c>
      <c r="C41" s="41" t="str">
        <f aca="false">'Cable Types'!C39</f>
        <v>Instrument</v>
      </c>
      <c r="D41" s="38" t="n">
        <f aca="false">COUNTIF('Cable Schedule'!$I$3:$I$202,A41)</f>
        <v>6</v>
      </c>
      <c r="E41" s="38" t="n">
        <f aca="false">SUMIFS('Cable Schedule'!$Q$3:$Q$202,'Cable Schedule'!$I$3:$I$202,A41)</f>
        <v>693</v>
      </c>
      <c r="F41" s="38" t="n">
        <f aca="false">ROUNDUP(E41*(1+'Design Basis'!$C$7),0)</f>
        <v>728</v>
      </c>
      <c r="G41" s="38" t="n">
        <f aca="false">ROUND(F41*'Design Basis'!$C$10,0)</f>
        <v>2388</v>
      </c>
      <c r="H41" s="42" t="n">
        <f aca="false">IF('Cable Types'!I39="","",'Cable Types'!I39)</f>
        <v>600</v>
      </c>
      <c r="I41" s="38" t="n">
        <f aca="false">IF(OR(H41="",F41=0),"",ROUNDUP(F41/H41,0))</f>
        <v>2</v>
      </c>
      <c r="J41" s="43" t="n">
        <f aca="false">F41*'Cable Types'!H39/1000</f>
        <v>1.0192</v>
      </c>
    </row>
    <row r="42" customFormat="false" ht="15" hidden="false" customHeight="false" outlineLevel="0" collapsed="false">
      <c r="A42" s="41" t="str">
        <f aca="false">'Cable Types'!A40</f>
        <v>INS-TC-12P-KX</v>
      </c>
      <c r="B42" s="41" t="str">
        <f aca="false">'Cable Types'!B40</f>
        <v>300 V 12 pair #16 AWG type KX thermocouple extension, ITC-HL, CCW armor</v>
      </c>
      <c r="C42" s="41" t="str">
        <f aca="false">'Cable Types'!C40</f>
        <v>Instrument</v>
      </c>
      <c r="D42" s="38" t="n">
        <f aca="false">COUNTIF('Cable Schedule'!$I$3:$I$202,A42)</f>
        <v>1</v>
      </c>
      <c r="E42" s="38" t="n">
        <f aca="false">SUMIFS('Cable Schedule'!$Q$3:$Q$202,'Cable Schedule'!$I$3:$I$202,A42)</f>
        <v>100</v>
      </c>
      <c r="F42" s="38" t="n">
        <f aca="false">ROUNDUP(E42*(1+'Design Basis'!$C$7),0)</f>
        <v>105</v>
      </c>
      <c r="G42" s="38" t="n">
        <f aca="false">ROUND(F42*'Design Basis'!$C$10,0)</f>
        <v>344</v>
      </c>
      <c r="H42" s="42" t="n">
        <f aca="false">IF('Cable Types'!I40="","",'Cable Types'!I40)</f>
        <v>600</v>
      </c>
      <c r="I42" s="38" t="n">
        <f aca="false">IF(OR(H42="",F42=0),"",ROUNDUP(F42/H42,0))</f>
        <v>1</v>
      </c>
      <c r="J42" s="43" t="n">
        <f aca="false">F42*'Cable Types'!H40/1000</f>
        <v>0.084</v>
      </c>
    </row>
    <row r="43" customFormat="false" ht="15" hidden="false" customHeight="false" outlineLevel="0" collapsed="false">
      <c r="A43" s="41" t="str">
        <f aca="false">'Cable Types'!A41</f>
        <v>INS-RS485</v>
      </c>
      <c r="B43" s="41" t="str">
        <f aca="false">'Cable Types'!B41</f>
        <v>300 V 1 TSP #22 AWG 120 ohm RS-485, ITC-HL, CCW armor</v>
      </c>
      <c r="C43" s="41" t="str">
        <f aca="false">'Cable Types'!C41</f>
        <v>Instrument</v>
      </c>
      <c r="D43" s="38" t="n">
        <f aca="false">COUNTIF('Cable Schedule'!$I$3:$I$202,A43)</f>
        <v>3</v>
      </c>
      <c r="E43" s="38" t="n">
        <f aca="false">SUMIFS('Cable Schedule'!$Q$3:$Q$202,'Cable Schedule'!$I$3:$I$202,A43)</f>
        <v>136</v>
      </c>
      <c r="F43" s="38" t="n">
        <f aca="false">ROUNDUP(E43*(1+'Design Basis'!$C$7),0)</f>
        <v>143</v>
      </c>
      <c r="G43" s="38" t="n">
        <f aca="false">ROUND(F43*'Design Basis'!$C$10,0)</f>
        <v>469</v>
      </c>
      <c r="H43" s="42" t="n">
        <f aca="false">IF('Cable Types'!I41="","",'Cable Types'!I41)</f>
        <v>600</v>
      </c>
      <c r="I43" s="38" t="n">
        <f aca="false">IF(OR(H43="",F43=0),"",ROUNDUP(F43/H43,0))</f>
        <v>1</v>
      </c>
      <c r="J43" s="43" t="n">
        <f aca="false">F43*'Cable Types'!H41/1000</f>
        <v>0.0286</v>
      </c>
    </row>
    <row r="44" customFormat="false" ht="15" hidden="false" customHeight="false" outlineLevel="0" collapsed="false">
      <c r="A44" s="41" t="str">
        <f aca="false">'Cable Types'!A42</f>
        <v>FO-24SM</v>
      </c>
      <c r="B44" s="41" t="str">
        <f aca="false">'Cable Types'!B42</f>
        <v>24-fiber single-mode OFCR, interlocked Al armor</v>
      </c>
      <c r="C44" s="41" t="str">
        <f aca="false">'Cable Types'!C42</f>
        <v>Fibre Optic</v>
      </c>
      <c r="D44" s="38" t="n">
        <f aca="false">COUNTIF('Cable Schedule'!$I$3:$I$202,A44)</f>
        <v>9</v>
      </c>
      <c r="E44" s="38" t="n">
        <f aca="false">SUMIFS('Cable Schedule'!$Q$3:$Q$202,'Cable Schedule'!$I$3:$I$202,A44)</f>
        <v>1642</v>
      </c>
      <c r="F44" s="38" t="n">
        <f aca="false">ROUNDUP(E44*(1+'Design Basis'!$C$7),0)</f>
        <v>1725</v>
      </c>
      <c r="G44" s="38" t="n">
        <f aca="false">ROUND(F44*'Design Basis'!$C$10,0)</f>
        <v>5659</v>
      </c>
      <c r="H44" s="42" t="n">
        <f aca="false">IF('Cable Types'!I42="","",'Cable Types'!I42)</f>
        <v>2000</v>
      </c>
      <c r="I44" s="38" t="n">
        <f aca="false">IF(OR(H44="",F44=0),"",ROUNDUP(F44/H44,0))</f>
        <v>1</v>
      </c>
      <c r="J44" s="43" t="n">
        <f aca="false">F44*'Cable Types'!H42/1000</f>
        <v>0.5175</v>
      </c>
    </row>
    <row r="45" customFormat="false" ht="15" hidden="false" customHeight="false" outlineLevel="0" collapsed="false">
      <c r="A45" s="41" t="str">
        <f aca="false">'Cable Types'!A43</f>
        <v>FO-48SM</v>
      </c>
      <c r="B45" s="41" t="str">
        <f aca="false">'Cable Types'!B43</f>
        <v>48-fiber single-mode OFCR, interlocked Al armor</v>
      </c>
      <c r="C45" s="41" t="str">
        <f aca="false">'Cable Types'!C43</f>
        <v>Fibre Optic</v>
      </c>
      <c r="D45" s="38" t="n">
        <f aca="false">COUNTIF('Cable Schedule'!$I$3:$I$202,A45)</f>
        <v>2</v>
      </c>
      <c r="E45" s="38" t="n">
        <f aca="false">SUMIFS('Cable Schedule'!$Q$3:$Q$202,'Cable Schedule'!$I$3:$I$202,A45)</f>
        <v>636</v>
      </c>
      <c r="F45" s="38" t="n">
        <f aca="false">ROUNDUP(E45*(1+'Design Basis'!$C$7),0)</f>
        <v>668</v>
      </c>
      <c r="G45" s="38" t="n">
        <f aca="false">ROUND(F45*'Design Basis'!$C$10,0)</f>
        <v>2192</v>
      </c>
      <c r="H45" s="42" t="n">
        <f aca="false">IF('Cable Types'!I43="","",'Cable Types'!I43)</f>
        <v>2000</v>
      </c>
      <c r="I45" s="38" t="n">
        <f aca="false">IF(OR(H45="",F45=0),"",ROUNDUP(F45/H45,0))</f>
        <v>1</v>
      </c>
      <c r="J45" s="43" t="n">
        <f aca="false">F45*'Cable Types'!H43/1000</f>
        <v>0.24048</v>
      </c>
    </row>
    <row r="46" customFormat="false" ht="15" hidden="false" customHeight="false" outlineLevel="0" collapsed="false">
      <c r="A46" s="41" t="str">
        <f aca="false">'Cable Types'!A44</f>
        <v>EG-CU-4/0</v>
      </c>
      <c r="B46" s="41" t="str">
        <f aca="false">'Cable Types'!B44</f>
        <v>Bare stranded Cu 4/0 AWG ground grid conductor (buried)</v>
      </c>
      <c r="C46" s="41" t="str">
        <f aca="false">'Cable Types'!C44</f>
        <v>Earthing</v>
      </c>
      <c r="D46" s="38" t="n">
        <f aca="false">COUNTIF('Cable Schedule'!$I$3:$I$202,A46)</f>
        <v>10</v>
      </c>
      <c r="E46" s="38" t="n">
        <f aca="false">SUMIFS('Cable Schedule'!$Q$3:$Q$202,'Cable Schedule'!$I$3:$I$202,A46)</f>
        <v>8248</v>
      </c>
      <c r="F46" s="38" t="n">
        <f aca="false">ROUNDUP(E46*(1+'Design Basis'!$C$7),0)</f>
        <v>8661</v>
      </c>
      <c r="G46" s="38" t="n">
        <f aca="false">ROUND(F46*'Design Basis'!$C$10,0)</f>
        <v>28415</v>
      </c>
      <c r="H46" s="42" t="n">
        <f aca="false">IF('Cable Types'!I44="","",'Cable Types'!I44)</f>
        <v>300</v>
      </c>
      <c r="I46" s="38" t="n">
        <f aca="false">IF(OR(H46="",F46=0),"",ROUNDUP(F46/H46,0))</f>
        <v>29</v>
      </c>
      <c r="J46" s="43" t="n">
        <f aca="false">F46*'Cable Types'!H44/1000</f>
        <v>8.40117</v>
      </c>
    </row>
    <row r="47" customFormat="false" ht="15" hidden="false" customHeight="false" outlineLevel="0" collapsed="false">
      <c r="A47" s="41" t="str">
        <f aca="false">'Cable Types'!A45</f>
        <v>EB-CU-2/0</v>
      </c>
      <c r="B47" s="41" t="str">
        <f aca="false">'Cable Types'!B45</f>
        <v>Green insulated Cu 2/0 AWG bonding jumper</v>
      </c>
      <c r="C47" s="41" t="str">
        <f aca="false">'Cable Types'!C45</f>
        <v>Earthing</v>
      </c>
      <c r="D47" s="38" t="n">
        <f aca="false">COUNTIF('Cable Schedule'!$I$3:$I$202,A47)</f>
        <v>4</v>
      </c>
      <c r="E47" s="38" t="n">
        <f aca="false">SUMIFS('Cable Schedule'!$Q$3:$Q$202,'Cable Schedule'!$I$3:$I$202,A47)</f>
        <v>220</v>
      </c>
      <c r="F47" s="38" t="n">
        <f aca="false">ROUNDUP(E47*(1+'Design Basis'!$C$7),0)</f>
        <v>231</v>
      </c>
      <c r="G47" s="38" t="n">
        <f aca="false">ROUND(F47*'Design Basis'!$C$10,0)</f>
        <v>758</v>
      </c>
      <c r="H47" s="42" t="n">
        <f aca="false">IF('Cable Types'!I45="","",'Cable Types'!I45)</f>
        <v>300</v>
      </c>
      <c r="I47" s="38" t="n">
        <f aca="false">IF(OR(H47="",F47=0),"",ROUNDUP(F47/H47,0))</f>
        <v>1</v>
      </c>
      <c r="J47" s="43" t="n">
        <f aca="false">F47*'Cable Types'!H45/1000</f>
        <v>0.14322</v>
      </c>
    </row>
    <row r="48" customFormat="false" ht="15" hidden="false" customHeight="false" outlineLevel="0" collapsed="false">
      <c r="A48" s="3" t="s">
        <v>1168</v>
      </c>
      <c r="D48" s="44" t="n">
        <f aca="false">SUM(D4:D47)</f>
        <v>200</v>
      </c>
      <c r="J48" s="45" t="n">
        <f aca="false">SUM(J4:J47)</f>
        <v>155.460861</v>
      </c>
    </row>
    <row r="49" customFormat="false" ht="15" hidden="false" customHeight="false" outlineLevel="0" collapsed="false">
      <c r="A49" s="46" t="s">
        <v>1169</v>
      </c>
    </row>
    <row r="51" customFormat="false" ht="15" hidden="false" customHeight="false" outlineLevel="0" collapsed="false">
      <c r="A51" s="3" t="s">
        <v>1170</v>
      </c>
    </row>
    <row r="52" customFormat="false" ht="22.35" hidden="false" customHeight="false" outlineLevel="0" collapsed="false">
      <c r="A52" s="18" t="s">
        <v>62</v>
      </c>
      <c r="B52" s="18" t="s">
        <v>1161</v>
      </c>
      <c r="C52" s="18" t="s">
        <v>1171</v>
      </c>
      <c r="D52" s="18" t="s">
        <v>1172</v>
      </c>
      <c r="E52" s="18" t="s">
        <v>1173</v>
      </c>
      <c r="F52" s="18" t="s">
        <v>1174</v>
      </c>
      <c r="G52" s="18" t="s">
        <v>1175</v>
      </c>
      <c r="H52" s="18" t="s">
        <v>1176</v>
      </c>
    </row>
    <row r="53" customFormat="false" ht="15" hidden="false" customHeight="false" outlineLevel="0" collapsed="false">
      <c r="A53" s="41" t="str">
        <f aca="false">'Design Basis'!A13</f>
        <v>HV Overhead</v>
      </c>
      <c r="B53" s="21" t="n">
        <f aca="false">COUNTIF('Cable Schedule'!$C$3:$C$202,A53)</f>
        <v>11</v>
      </c>
      <c r="C53" s="38" t="n">
        <f aca="false">SUMIFS('Cable Schedule'!$Q$3:$Q$202,'Cable Schedule'!$C$3:$C$202,A53)</f>
        <v>2472</v>
      </c>
      <c r="D53" s="38" t="n">
        <f aca="false">ROUND(C53*'Design Basis'!$C$10,0)</f>
        <v>8110</v>
      </c>
      <c r="E53" s="21" t="n">
        <f aca="false">COUNTIFS('Cable Schedule'!$C$3:$C$202,A53,'Cable Schedule'!$AE$3:$AE$202,"OK")</f>
        <v>9</v>
      </c>
      <c r="F53" s="21" t="n">
        <f aca="false">COUNTIFS('Cable Schedule'!$C$3:$C$202,A53,'Cable Schedule'!$AE$3:$AE$202,"CHECK")</f>
        <v>0</v>
      </c>
      <c r="G53" s="39" t="n">
        <f aca="false">IF(COUNTIFS('Cable Schedule'!$C$3:$C$202,A53,'Cable Schedule'!$AB$3:$AB$202,"&gt;=0")=0,"",_xlfn.MAXIFS('Cable Schedule'!$AB$3:$AB$202,'Cable Schedule'!$C$3:$C$202,A53))</f>
        <v>0.808848203212519</v>
      </c>
      <c r="H53" s="47" t="str">
        <f aca="false">IF(COUNTIFS('Cable Schedule'!$C$3:$C$202,A53,'Cable Schedule'!$AC$3:$AC$202,"&gt;=0")=0,"",_xlfn.MAXIFS('Cable Schedule'!$AC$3:$AC$202,'Cable Schedule'!$C$3:$C$202,A53))</f>
        <v/>
      </c>
    </row>
    <row r="54" customFormat="false" ht="15" hidden="false" customHeight="false" outlineLevel="0" collapsed="false">
      <c r="A54" s="41" t="str">
        <f aca="false">'Design Basis'!A14</f>
        <v>Busduct</v>
      </c>
      <c r="B54" s="21" t="n">
        <f aca="false">COUNTIF('Cable Schedule'!$C$3:$C$202,A54)</f>
        <v>9</v>
      </c>
      <c r="C54" s="38" t="n">
        <f aca="false">SUMIFS('Cable Schedule'!$Q$3:$Q$202,'Cable Schedule'!$C$3:$C$202,A54)</f>
        <v>805</v>
      </c>
      <c r="D54" s="38" t="n">
        <f aca="false">ROUND(C54*'Design Basis'!$C$10,0)</f>
        <v>2641</v>
      </c>
      <c r="E54" s="21" t="n">
        <f aca="false">COUNTIFS('Cable Schedule'!$C$3:$C$202,A54,'Cable Schedule'!$AE$3:$AE$202,"OK")</f>
        <v>9</v>
      </c>
      <c r="F54" s="21" t="n">
        <f aca="false">COUNTIFS('Cable Schedule'!$C$3:$C$202,A54,'Cable Schedule'!$AE$3:$AE$202,"CHECK")</f>
        <v>0</v>
      </c>
      <c r="G54" s="39" t="n">
        <f aca="false">IF(COUNTIFS('Cable Schedule'!$C$3:$C$202,A54,'Cable Schedule'!$AB$3:$AB$202,"&gt;=0")=0,"",_xlfn.MAXIFS('Cable Schedule'!$AB$3:$AB$202,'Cable Schedule'!$C$3:$C$202,A54))</f>
        <v>0.90210979560879</v>
      </c>
      <c r="H54" s="47" t="str">
        <f aca="false">IF(COUNTIFS('Cable Schedule'!$C$3:$C$202,A54,'Cable Schedule'!$AC$3:$AC$202,"&gt;=0")=0,"",_xlfn.MAXIFS('Cable Schedule'!$AC$3:$AC$202,'Cable Schedule'!$C$3:$C$202,A54))</f>
        <v/>
      </c>
    </row>
    <row r="55" customFormat="false" ht="15" hidden="false" customHeight="false" outlineLevel="0" collapsed="false">
      <c r="A55" s="41" t="str">
        <f aca="false">'Design Basis'!A15</f>
        <v>MV Power</v>
      </c>
      <c r="B55" s="21" t="n">
        <f aca="false">COUNTIF('Cable Schedule'!$C$3:$C$202,A55)</f>
        <v>36</v>
      </c>
      <c r="C55" s="38" t="n">
        <f aca="false">SUMIFS('Cable Schedule'!$Q$3:$Q$202,'Cable Schedule'!$C$3:$C$202,A55)</f>
        <v>5569</v>
      </c>
      <c r="D55" s="38" t="n">
        <f aca="false">ROUND(C55*'Design Basis'!$C$10,0)</f>
        <v>18271</v>
      </c>
      <c r="E55" s="21" t="n">
        <f aca="false">COUNTIFS('Cable Schedule'!$C$3:$C$202,A55,'Cable Schedule'!$AE$3:$AE$202,"OK")</f>
        <v>34</v>
      </c>
      <c r="F55" s="21" t="n">
        <f aca="false">COUNTIFS('Cable Schedule'!$C$3:$C$202,A55,'Cable Schedule'!$AE$3:$AE$202,"CHECK")</f>
        <v>0</v>
      </c>
      <c r="G55" s="39" t="n">
        <f aca="false">IF(COUNTIFS('Cable Schedule'!$C$3:$C$202,A55,'Cable Schedule'!$AB$3:$AB$202,"&gt;=0")=0,"",_xlfn.MAXIFS('Cable Schedule'!$AB$3:$AB$202,'Cable Schedule'!$C$3:$C$202,A55))</f>
        <v>0.923145984735961</v>
      </c>
      <c r="H55" s="47" t="n">
        <f aca="false">IF(COUNTIFS('Cable Schedule'!$C$3:$C$202,A55,'Cable Schedule'!$AC$3:$AC$202,"&gt;=0")=0,"",_xlfn.MAXIFS('Cable Schedule'!$AC$3:$AC$202,'Cable Schedule'!$C$3:$C$202,A55))</f>
        <v>0.00138923013733173</v>
      </c>
    </row>
    <row r="56" customFormat="false" ht="15" hidden="false" customHeight="false" outlineLevel="0" collapsed="false">
      <c r="A56" s="41" t="str">
        <f aca="false">'Design Basis'!A16</f>
        <v>LV Power</v>
      </c>
      <c r="B56" s="21" t="n">
        <f aca="false">COUNTIF('Cable Schedule'!$C$3:$C$202,A56)</f>
        <v>60</v>
      </c>
      <c r="C56" s="38" t="n">
        <f aca="false">SUMIFS('Cable Schedule'!$Q$3:$Q$202,'Cable Schedule'!$C$3:$C$202,A56)</f>
        <v>3458</v>
      </c>
      <c r="D56" s="38" t="n">
        <f aca="false">ROUND(C56*'Design Basis'!$C$10,0)</f>
        <v>11345</v>
      </c>
      <c r="E56" s="21" t="n">
        <f aca="false">COUNTIFS('Cable Schedule'!$C$3:$C$202,A56,'Cable Schedule'!$AE$3:$AE$202,"OK")</f>
        <v>60</v>
      </c>
      <c r="F56" s="21" t="n">
        <f aca="false">COUNTIFS('Cable Schedule'!$C$3:$C$202,A56,'Cable Schedule'!$AE$3:$AE$202,"CHECK")</f>
        <v>0</v>
      </c>
      <c r="G56" s="39" t="n">
        <f aca="false">IF(COUNTIFS('Cable Schedule'!$C$3:$C$202,A56,'Cable Schedule'!$AB$3:$AB$202,"&gt;=0")=0,"",_xlfn.MAXIFS('Cable Schedule'!$AB$3:$AB$202,'Cable Schedule'!$C$3:$C$202,A56))</f>
        <v>0.933861072058789</v>
      </c>
      <c r="H56" s="47" t="n">
        <f aca="false">IF(COUNTIFS('Cable Schedule'!$C$3:$C$202,A56,'Cable Schedule'!$AC$3:$AC$202,"&gt;=0")=0,"",_xlfn.MAXIFS('Cable Schedule'!$AC$3:$AC$202,'Cable Schedule'!$C$3:$C$202,A56))</f>
        <v>0.0267856695786651</v>
      </c>
    </row>
    <row r="57" customFormat="false" ht="15" hidden="false" customHeight="false" outlineLevel="0" collapsed="false">
      <c r="A57" s="41" t="str">
        <f aca="false">'Design Basis'!A17</f>
        <v>DC Power</v>
      </c>
      <c r="B57" s="21" t="n">
        <f aca="false">COUNTIF('Cable Schedule'!$C$3:$C$202,A57)</f>
        <v>10</v>
      </c>
      <c r="C57" s="38" t="n">
        <f aca="false">SUMIFS('Cable Schedule'!$Q$3:$Q$202,'Cable Schedule'!$C$3:$C$202,A57)</f>
        <v>1017</v>
      </c>
      <c r="D57" s="38" t="n">
        <f aca="false">ROUND(C57*'Design Basis'!$C$10,0)</f>
        <v>3337</v>
      </c>
      <c r="E57" s="21" t="n">
        <f aca="false">COUNTIFS('Cable Schedule'!$C$3:$C$202,A57,'Cable Schedule'!$AE$3:$AE$202,"OK")</f>
        <v>10</v>
      </c>
      <c r="F57" s="21" t="n">
        <f aca="false">COUNTIFS('Cable Schedule'!$C$3:$C$202,A57,'Cable Schedule'!$AE$3:$AE$202,"CHECK")</f>
        <v>0</v>
      </c>
      <c r="G57" s="39" t="n">
        <f aca="false">IF(COUNTIFS('Cable Schedule'!$C$3:$C$202,A57,'Cable Schedule'!$AB$3:$AB$202,"&gt;=0")=0,"",_xlfn.MAXIFS('Cable Schedule'!$AB$3:$AB$202,'Cable Schedule'!$C$3:$C$202,A57))</f>
        <v>0.649350649350649</v>
      </c>
      <c r="H57" s="47" t="n">
        <f aca="false">IF(COUNTIFS('Cable Schedule'!$C$3:$C$202,A57,'Cable Schedule'!$AC$3:$AC$202,"&gt;=0")=0,"",_xlfn.MAXIFS('Cable Schedule'!$AC$3:$AC$202,'Cable Schedule'!$C$3:$C$202,A57))</f>
        <v>0.0241276812130178</v>
      </c>
    </row>
    <row r="58" customFormat="false" ht="15" hidden="false" customHeight="false" outlineLevel="0" collapsed="false">
      <c r="A58" s="41" t="str">
        <f aca="false">'Design Basis'!A18</f>
        <v>Control</v>
      </c>
      <c r="B58" s="21" t="n">
        <f aca="false">COUNTIF('Cable Schedule'!$C$3:$C$202,A58)</f>
        <v>30</v>
      </c>
      <c r="C58" s="38" t="n">
        <f aca="false">SUMIFS('Cable Schedule'!$Q$3:$Q$202,'Cable Schedule'!$C$3:$C$202,A58)</f>
        <v>2490</v>
      </c>
      <c r="D58" s="38" t="n">
        <f aca="false">ROUND(C58*'Design Basis'!$C$10,0)</f>
        <v>8169</v>
      </c>
      <c r="E58" s="21" t="n">
        <f aca="false">COUNTIFS('Cable Schedule'!$C$3:$C$202,A58,'Cable Schedule'!$AE$3:$AE$202,"OK")</f>
        <v>0</v>
      </c>
      <c r="F58" s="21" t="n">
        <f aca="false">COUNTIFS('Cable Schedule'!$C$3:$C$202,A58,'Cable Schedule'!$AE$3:$AE$202,"CHECK")</f>
        <v>0</v>
      </c>
      <c r="G58" s="39" t="str">
        <f aca="false">IF(COUNTIFS('Cable Schedule'!$C$3:$C$202,A58,'Cable Schedule'!$AB$3:$AB$202,"&gt;=0")=0,"",_xlfn.MAXIFS('Cable Schedule'!$AB$3:$AB$202,'Cable Schedule'!$C$3:$C$202,A58))</f>
        <v/>
      </c>
      <c r="H58" s="47" t="str">
        <f aca="false">IF(COUNTIFS('Cable Schedule'!$C$3:$C$202,A58,'Cable Schedule'!$AC$3:$AC$202,"&gt;=0")=0,"",_xlfn.MAXIFS('Cable Schedule'!$AC$3:$AC$202,'Cable Schedule'!$C$3:$C$202,A58))</f>
        <v/>
      </c>
    </row>
    <row r="59" customFormat="false" ht="15" hidden="false" customHeight="false" outlineLevel="0" collapsed="false">
      <c r="A59" s="41" t="str">
        <f aca="false">'Design Basis'!A19</f>
        <v>Instrument</v>
      </c>
      <c r="B59" s="21" t="n">
        <f aca="false">COUNTIF('Cable Schedule'!$C$3:$C$202,A59)</f>
        <v>19</v>
      </c>
      <c r="C59" s="38" t="n">
        <f aca="false">SUMIFS('Cable Schedule'!$Q$3:$Q$202,'Cable Schedule'!$C$3:$C$202,A59)</f>
        <v>1705</v>
      </c>
      <c r="D59" s="38" t="n">
        <f aca="false">ROUND(C59*'Design Basis'!$C$10,0)</f>
        <v>5594</v>
      </c>
      <c r="E59" s="21" t="n">
        <f aca="false">COUNTIFS('Cable Schedule'!$C$3:$C$202,A59,'Cable Schedule'!$AE$3:$AE$202,"OK")</f>
        <v>0</v>
      </c>
      <c r="F59" s="21" t="n">
        <f aca="false">COUNTIFS('Cable Schedule'!$C$3:$C$202,A59,'Cable Schedule'!$AE$3:$AE$202,"CHECK")</f>
        <v>0</v>
      </c>
      <c r="G59" s="39" t="str">
        <f aca="false">IF(COUNTIFS('Cable Schedule'!$C$3:$C$202,A59,'Cable Schedule'!$AB$3:$AB$202,"&gt;=0")=0,"",_xlfn.MAXIFS('Cable Schedule'!$AB$3:$AB$202,'Cable Schedule'!$C$3:$C$202,A59))</f>
        <v/>
      </c>
      <c r="H59" s="47" t="str">
        <f aca="false">IF(COUNTIFS('Cable Schedule'!$C$3:$C$202,A59,'Cable Schedule'!$AC$3:$AC$202,"&gt;=0")=0,"",_xlfn.MAXIFS('Cable Schedule'!$AC$3:$AC$202,'Cable Schedule'!$C$3:$C$202,A59))</f>
        <v/>
      </c>
    </row>
    <row r="60" customFormat="false" ht="15" hidden="false" customHeight="false" outlineLevel="0" collapsed="false">
      <c r="A60" s="41" t="str">
        <f aca="false">'Design Basis'!A20</f>
        <v>Fibre Optic</v>
      </c>
      <c r="B60" s="21" t="n">
        <f aca="false">COUNTIF('Cable Schedule'!$C$3:$C$202,A60)</f>
        <v>11</v>
      </c>
      <c r="C60" s="38" t="n">
        <f aca="false">SUMIFS('Cable Schedule'!$Q$3:$Q$202,'Cable Schedule'!$C$3:$C$202,A60)</f>
        <v>2278</v>
      </c>
      <c r="D60" s="38" t="n">
        <f aca="false">ROUND(C60*'Design Basis'!$C$10,0)</f>
        <v>7474</v>
      </c>
      <c r="E60" s="21" t="n">
        <f aca="false">COUNTIFS('Cable Schedule'!$C$3:$C$202,A60,'Cable Schedule'!$AE$3:$AE$202,"OK")</f>
        <v>0</v>
      </c>
      <c r="F60" s="21" t="n">
        <f aca="false">COUNTIFS('Cable Schedule'!$C$3:$C$202,A60,'Cable Schedule'!$AE$3:$AE$202,"CHECK")</f>
        <v>0</v>
      </c>
      <c r="G60" s="39" t="str">
        <f aca="false">IF(COUNTIFS('Cable Schedule'!$C$3:$C$202,A60,'Cable Schedule'!$AB$3:$AB$202,"&gt;=0")=0,"",_xlfn.MAXIFS('Cable Schedule'!$AB$3:$AB$202,'Cable Schedule'!$C$3:$C$202,A60))</f>
        <v/>
      </c>
      <c r="H60" s="47" t="str">
        <f aca="false">IF(COUNTIFS('Cable Schedule'!$C$3:$C$202,A60,'Cable Schedule'!$AC$3:$AC$202,"&gt;=0")=0,"",_xlfn.MAXIFS('Cable Schedule'!$AC$3:$AC$202,'Cable Schedule'!$C$3:$C$202,A60))</f>
        <v/>
      </c>
    </row>
    <row r="61" customFormat="false" ht="15" hidden="false" customHeight="false" outlineLevel="0" collapsed="false">
      <c r="A61" s="41" t="str">
        <f aca="false">'Design Basis'!A21</f>
        <v>Earthing</v>
      </c>
      <c r="B61" s="21" t="n">
        <f aca="false">COUNTIF('Cable Schedule'!$C$3:$C$202,A61)</f>
        <v>14</v>
      </c>
      <c r="C61" s="38" t="n">
        <f aca="false">SUMIFS('Cable Schedule'!$Q$3:$Q$202,'Cable Schedule'!$C$3:$C$202,A61)</f>
        <v>8468</v>
      </c>
      <c r="D61" s="38" t="n">
        <f aca="false">ROUND(C61*'Design Basis'!$C$10,0)</f>
        <v>27782</v>
      </c>
      <c r="E61" s="21" t="n">
        <f aca="false">COUNTIFS('Cable Schedule'!$C$3:$C$202,A61,'Cable Schedule'!$AE$3:$AE$202,"OK")</f>
        <v>0</v>
      </c>
      <c r="F61" s="21" t="n">
        <f aca="false">COUNTIFS('Cable Schedule'!$C$3:$C$202,A61,'Cable Schedule'!$AE$3:$AE$202,"CHECK")</f>
        <v>0</v>
      </c>
      <c r="G61" s="39" t="str">
        <f aca="false">IF(COUNTIFS('Cable Schedule'!$C$3:$C$202,A61,'Cable Schedule'!$AB$3:$AB$202,"&gt;=0")=0,"",_xlfn.MAXIFS('Cable Schedule'!$AB$3:$AB$202,'Cable Schedule'!$C$3:$C$202,A61))</f>
        <v/>
      </c>
      <c r="H61" s="47" t="str">
        <f aca="false">IF(COUNTIFS('Cable Schedule'!$C$3:$C$202,A61,'Cable Schedule'!$AC$3:$AC$202,"&gt;=0")=0,"",_xlfn.MAXIFS('Cable Schedule'!$AC$3:$AC$202,'Cable Schedule'!$C$3:$C$202,A61))</f>
        <v/>
      </c>
    </row>
    <row r="62" customFormat="false" ht="15" hidden="false" customHeight="false" outlineLevel="0" collapsed="false">
      <c r="A62" s="3" t="s">
        <v>1168</v>
      </c>
      <c r="B62" s="48" t="n">
        <f aca="false">SUM(B53:B61)</f>
        <v>200</v>
      </c>
      <c r="E62" s="48" t="n">
        <f aca="false">SUM(E53:E61)</f>
        <v>122</v>
      </c>
      <c r="F62" s="48" t="n">
        <f aca="false">SUM(F53:F61)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0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1177</v>
      </c>
    </row>
    <row r="2" customFormat="false" ht="39.75" hidden="false" customHeight="true" outlineLevel="0" collapsed="false">
      <c r="A2" s="49" t="s">
        <v>1178</v>
      </c>
      <c r="B2" s="49"/>
      <c r="C2" s="49"/>
    </row>
    <row r="4" customFormat="false" ht="15" hidden="false" customHeight="false" outlineLevel="0" collapsed="false">
      <c r="A4" s="50" t="s">
        <v>1179</v>
      </c>
      <c r="B4" s="50" t="s">
        <v>1180</v>
      </c>
      <c r="C4" s="50" t="s">
        <v>1181</v>
      </c>
    </row>
    <row r="5" customFormat="false" ht="15" hidden="false" customHeight="false" outlineLevel="0" collapsed="false">
      <c r="A5" s="10" t="s">
        <v>1182</v>
      </c>
      <c r="B5" s="10" t="s">
        <v>1183</v>
      </c>
      <c r="C5" s="51" t="s">
        <v>1184</v>
      </c>
    </row>
    <row r="6" customFormat="false" ht="15" hidden="false" customHeight="false" outlineLevel="0" collapsed="false">
      <c r="A6" s="10" t="s">
        <v>1185</v>
      </c>
      <c r="B6" s="10" t="s">
        <v>1186</v>
      </c>
      <c r="C6" s="51" t="s">
        <v>1187</v>
      </c>
    </row>
    <row r="7" customFormat="false" ht="15" hidden="false" customHeight="false" outlineLevel="0" collapsed="false">
      <c r="A7" s="10" t="s">
        <v>1185</v>
      </c>
      <c r="B7" s="10" t="s">
        <v>1188</v>
      </c>
      <c r="C7" s="51" t="s">
        <v>1189</v>
      </c>
    </row>
    <row r="8" customFormat="false" ht="15" hidden="false" customHeight="false" outlineLevel="0" collapsed="false">
      <c r="A8" s="10" t="s">
        <v>1185</v>
      </c>
      <c r="B8" s="10" t="s">
        <v>1190</v>
      </c>
      <c r="C8" s="51" t="s">
        <v>1191</v>
      </c>
    </row>
    <row r="9" customFormat="false" ht="15" hidden="false" customHeight="false" outlineLevel="0" collapsed="false">
      <c r="A9" s="10" t="s">
        <v>390</v>
      </c>
      <c r="B9" s="10" t="s">
        <v>1192</v>
      </c>
      <c r="C9" s="51" t="s">
        <v>1193</v>
      </c>
    </row>
    <row r="10" customFormat="false" ht="15" hidden="false" customHeight="false" outlineLevel="0" collapsed="false">
      <c r="A10" s="10" t="s">
        <v>390</v>
      </c>
      <c r="B10" s="10" t="s">
        <v>1194</v>
      </c>
      <c r="C10" s="51" t="s">
        <v>1195</v>
      </c>
    </row>
    <row r="11" customFormat="false" ht="15" hidden="false" customHeight="false" outlineLevel="0" collapsed="false">
      <c r="A11" s="10" t="s">
        <v>390</v>
      </c>
      <c r="B11" s="10" t="s">
        <v>1196</v>
      </c>
      <c r="C11" s="51" t="s">
        <v>1197</v>
      </c>
    </row>
    <row r="12" customFormat="false" ht="15" hidden="false" customHeight="false" outlineLevel="0" collapsed="false">
      <c r="A12" s="10" t="s">
        <v>1198</v>
      </c>
      <c r="B12" s="10" t="s">
        <v>1199</v>
      </c>
      <c r="C12" s="51" t="s">
        <v>1200</v>
      </c>
    </row>
    <row r="13" customFormat="false" ht="15" hidden="false" customHeight="false" outlineLevel="0" collapsed="false">
      <c r="A13" s="10" t="s">
        <v>1201</v>
      </c>
      <c r="B13" s="10" t="s">
        <v>1202</v>
      </c>
      <c r="C13" s="51" t="s">
        <v>1203</v>
      </c>
    </row>
    <row r="14" customFormat="false" ht="15" hidden="false" customHeight="false" outlineLevel="0" collapsed="false">
      <c r="A14" s="10" t="s">
        <v>1201</v>
      </c>
      <c r="B14" s="10" t="s">
        <v>1204</v>
      </c>
      <c r="C14" s="51" t="s">
        <v>1205</v>
      </c>
    </row>
    <row r="15" customFormat="false" ht="15" hidden="false" customHeight="false" outlineLevel="0" collapsed="false">
      <c r="A15" s="10" t="s">
        <v>1206</v>
      </c>
      <c r="B15" s="10" t="s">
        <v>1207</v>
      </c>
      <c r="C15" s="51" t="s">
        <v>1208</v>
      </c>
    </row>
    <row r="16" customFormat="false" ht="15" hidden="false" customHeight="false" outlineLevel="0" collapsed="false">
      <c r="A16" s="10" t="s">
        <v>1209</v>
      </c>
      <c r="B16" s="10" t="s">
        <v>1210</v>
      </c>
      <c r="C16" s="51" t="s">
        <v>1211</v>
      </c>
    </row>
    <row r="17" customFormat="false" ht="15" hidden="false" customHeight="false" outlineLevel="0" collapsed="false">
      <c r="A17" s="10" t="s">
        <v>1209</v>
      </c>
      <c r="B17" s="10" t="s">
        <v>1212</v>
      </c>
      <c r="C17" s="51" t="s">
        <v>1213</v>
      </c>
    </row>
    <row r="18" customFormat="false" ht="15" hidden="false" customHeight="false" outlineLevel="0" collapsed="false">
      <c r="A18" s="10" t="s">
        <v>1209</v>
      </c>
      <c r="B18" s="10" t="s">
        <v>1214</v>
      </c>
      <c r="C18" s="51" t="s">
        <v>1215</v>
      </c>
    </row>
    <row r="19" customFormat="false" ht="15" hidden="false" customHeight="false" outlineLevel="0" collapsed="false">
      <c r="A19" s="10" t="s">
        <v>1209</v>
      </c>
      <c r="B19" s="10" t="s">
        <v>1216</v>
      </c>
      <c r="C19" s="51" t="s">
        <v>1217</v>
      </c>
    </row>
    <row r="20" customFormat="false" ht="15" hidden="false" customHeight="false" outlineLevel="0" collapsed="false">
      <c r="A20" s="10" t="s">
        <v>1209</v>
      </c>
      <c r="B20" s="10" t="s">
        <v>1218</v>
      </c>
      <c r="C20" s="51" t="s">
        <v>1219</v>
      </c>
    </row>
    <row r="21" customFormat="false" ht="15" hidden="false" customHeight="false" outlineLevel="0" collapsed="false">
      <c r="A21" s="10" t="s">
        <v>1206</v>
      </c>
      <c r="B21" s="10" t="s">
        <v>1220</v>
      </c>
      <c r="C21" s="51" t="s">
        <v>1221</v>
      </c>
    </row>
  </sheetData>
  <mergeCells count="1">
    <mergeCell ref="A2:C2"/>
  </mergeCells>
  <hyperlinks>
    <hyperlink ref="C5" r:id="rId1" display="https://www.pleanala.ie/publicaccess/EIAR-NIS/319566/Shannon%20Technology%20and%20Energy%20Park%20(STEP)%20Power%20Plant/02_Planning%20Drawings/SLNG_PP_List%20of%20Planning_Drawings.pdf"/>
    <hyperlink ref="C6" r:id="rId2" display="https://www.pleanala.ie/publicaccess/EIAR-NIS/311233/Drawings/Structures/198291-1GSU-G2001.pdf"/>
    <hyperlink ref="C7" r:id="rId3" display="https://infrastructure.planninginspectorate.gov.uk/wp-content/ipc/uploads/projects/EN010082/EN010082-000370-4.5%20-%20Tees%20CCPP%20-%20Indicative%20Generating%20Station%20Sheet%201%20-%20Rev%202.pdf"/>
    <hyperlink ref="C8" r:id="rId4" display="https://dep.wv.gov/daq/Documents/December%202016%20Applications/033-00264_APPL_R14-0036.pdf"/>
    <hyperlink ref="C9" r:id="rId5" display="https://www.osti.gov/servlets/purl/1836563"/>
    <hyperlink ref="C10" r:id="rId6" display="https://netl.doe.gov/sites/default/files/netl-file/21CMOG_CCUS_Bhown.pdf"/>
    <hyperlink ref="C11" r:id="rId7" display="https://netl.doe.gov/sites/default/files/netl-file/23CM_PSCC28_Herman.pdf"/>
    <hyperlink ref="C12" r:id="rId8" display="https://adcogov.org/sites/default/files/2024-05/RCU2024-00010-submittal1.pdf"/>
    <hyperlink ref="C13" r:id="rId9" display="https://psc.ky.gov/pscecf/2024-00290/tosterloh@sturgillturner.com/10042024124833/07_Attachment_E_-_Public_Meeting_Information.pdf"/>
    <hyperlink ref="C14" r:id="rId10" display="https://www.we-energies.com/company/paris-generation-project"/>
    <hyperlink ref="C15" r:id="rId11" display="https://www.pjm.com/pjmfiles/pub/planning/project-queues/facilities/b03_fac.pdf"/>
    <hyperlink ref="C16" r:id="rId12" display="https://cabletechsupport.southwire.com/tile/26/spec/45352/?country=US"/>
    <hyperlink ref="C17" r:id="rId13" display="https://www.southwire.com/wire-cable/armored-power-cable/cu-600v-xlpe-xhhw-2-armor-x-pvc-control-cable-with-ground/p/55061899"/>
    <hyperlink ref="C18" r:id="rId14" display="https://www.southwire.com/wire-cable/armored-power-cable/cu-600-1000v-xlpe-insulation-armor-x-sup-sup-thermoplastic-lszh-tp-jacket-xhhw-2-vfd-cable-ct-rated-sunlight-resistant-for-direct-burial-silicone-free/p/67267399"/>
    <hyperlink ref="C19" r:id="rId15" display="https://cabletechsupport.southwire.com/tile/1/spec/45443/?country=US"/>
    <hyperlink ref="C20" r:id="rId16" display="https://www.southwire.com/wire-cable/power-control/cu-600v-xlpe-insulation-shielded-tpe-jacket-xhhw-2-reduced-diameter-flexible-variable-frequency-drive-vfd-/p/SPEC45442"/>
    <hyperlink ref="C21" r:id="rId17" display="https://opsportal.spp.org/documents/studies/files/2008_Generation_Studies/GEN-2008-006FS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2026-10-18T19:07:23Z</dcterms:created>
  <dc:creator>openpyxl</dc:creator>
  <dc:description/>
  <dc:language>en-US</dc:language>
  <cp:lastModifiedBy/>
  <dcterms:modified xsi:type="dcterms:W3CDTF">2026-10-18T19:07:23Z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