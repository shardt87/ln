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s" sheetId="1" state="visible" r:id="rId1"/>
    <sheet xmlns:r="http://schemas.openxmlformats.org/officeDocument/2006/relationships" name="Leads" sheetId="2" state="visible" r:id="rId2"/>
    <sheet xmlns:r="http://schemas.openxmlformats.org/officeDocument/2006/relationships" name="Project Products" sheetId="3" state="visible" r:id="rId3"/>
    <sheet xmlns:r="http://schemas.openxmlformats.org/officeDocument/2006/relationships" name="Dropdowns" sheetId="4" state="visible" r:id="rId4"/>
    <sheet xmlns:r="http://schemas.openxmlformats.org/officeDocument/2006/relationships" name="Guide" sheetId="5" state="visible" r:id="rId5"/>
    <sheet xmlns:r="http://schemas.openxmlformats.org/officeDocument/2006/relationships" name="Research Sources" sheetId="6" state="visible" r:id="rId6"/>
    <sheet xmlns:r="http://schemas.openxmlformats.org/officeDocument/2006/relationships" name="Named Contacts" sheetId="7" state="visible" r:id="rId7"/>
    <sheet xmlns:r="http://schemas.openxmlformats.org/officeDocument/2006/relationships" name="Verification" sheetId="8" state="visible" r:id="rId8"/>
  </sheets>
  <definedNames>
    <definedName name="ProjectStage">'Dropdowns'!$A$7:INDEX('Dropdowns'!$A$7:$A$106,COUNTA('Dropdowns'!$A$7:$A$106))</definedName>
    <definedName name="LeadStatus">'Dropdowns'!$B$7:INDEX('Dropdowns'!$B$7:$B$106,COUNTA('Dropdowns'!$B$7:$B$106))</definedName>
    <definedName name="EndUserType">'Dropdowns'!$C$7:INDEX('Dropdowns'!$C$7:$C$106,COUNTA('Dropdowns'!$C$7:$C$106))</definedName>
    <definedName name="DecisionInfluencer">'Dropdowns'!$D$7:INDEX('Dropdowns'!$D$7:$D$106,COUNTA('Dropdowns'!$D$7:$D$106))</definedName>
    <definedName name="Market">'Dropdowns'!$E$7:INDEX('Dropdowns'!$E$7:$E$106,COUNTA('Dropdowns'!$E$7:$E$106))</definedName>
    <definedName name="Segment">'Dropdowns'!$F$7:INDEX('Dropdowns'!$F$7:$F$106,COUNTA('Dropdowns'!$F$7:$F$106))</definedName>
    <definedName name="Application">'Dropdowns'!$G$7:INDEX('Dropdowns'!$G$7:$G$106,COUNTA('Dropdowns'!$G$7:$G$106))</definedName>
    <definedName name="DemandDriver">'Dropdowns'!$H$7:INDEX('Dropdowns'!$H$7:$H$106,COUNTA('Dropdowns'!$H$7:$H$106))</definedName>
    <definedName name="OEMCategory">'Dropdowns'!$I$7:INDEX('Dropdowns'!$I$7:$I$106,COUNTA('Dropdowns'!$I$7:$I$106))</definedName>
    <definedName name="SiteType">'Dropdowns'!$J$7:INDEX('Dropdowns'!$J$7:$J$106,COUNTA('Dropdowns'!$J$7:$J$106))</definedName>
    <definedName name="PowerNeeds">'Dropdowns'!$K$7:INDEX('Dropdowns'!$K$7:$K$106,COUNTA('Dropdowns'!$K$7:$K$106))</definedName>
    <definedName name="EnergySource">'Dropdowns'!$L$7:INDEX('Dropdowns'!$L$7:$L$106,COUNTA('Dropdowns'!$L$7:$L$106))</definedName>
    <definedName name="AIFacility">'Dropdowns'!$M$7:INDEX('Dropdowns'!$M$7:$M$106,COUNTA('Dropdowns'!$M$7:$M$106))</definedName>
    <definedName name="YesNo">'Dropdowns'!$N$7:INDEX('Dropdowns'!$N$7:$N$106,COUNTA('Dropdowns'!$N$7:$N$106))</definedName>
    <definedName name="Occupation">'Dropdowns'!$O$7:INDEX('Dropdowns'!$O$7:$O$106,COUNTA('Dropdowns'!$O$7:$O$106))</definedName>
    <definedName name="Industry">'Dropdowns'!$P$7:INDEX('Dropdowns'!$P$7:$P$106,COUNTA('Dropdowns'!$P$7:$P$106))</definedName>
    <definedName name="LeadSource">'Dropdowns'!$Q$7:INDEX('Dropdowns'!$Q$7:$Q$106,COUNTA('Dropdowns'!$Q$7:$Q$106))</definedName>
    <definedName name="Country">'Dropdowns'!$R$7:INDEX('Dropdowns'!$R$7:$R$106,COUNTA('Dropdowns'!$R$7:$R$106))</definedName>
    <definedName name="Salutation">'Dropdowns'!$S$7:INDEX('Dropdowns'!$S$7:$S$106,COUNTA('Dropdowns'!$S$7:$S$106))</definedName>
    <definedName name="WinLoss">'Dropdowns'!$T$7:INDEX('Dropdowns'!$T$7:$T$106,COUNTA('Dropdowns'!$T$7:$T$106))</definedName>
    <definedName name="Solutions">'Dropdowns'!$U$7:INDEX('Dropdowns'!$U$7:$U$106,COUNTA('Dropdowns'!$U$7:$U$106))</definedName>
    <definedName name="CanadaProvince">'Dropdowns'!$V$7:INDEX('Dropdowns'!$V$7:$V$106,COUNTA('Dropdowns'!$V$7:$V$106))</definedName>
    <definedName name="CanadianRegion">'Dropdowns'!$W$7:INDEX('Dropdowns'!$W$7:$W$106,COUNTA('Dropdowns'!$W$7:$W$106))</definedName>
    <definedName name="Products">'Dropdowns'!$X$7:INDEX('Dropdowns'!$X$7:$X$106,COUNTA('Dropdowns'!$X$7:$X$106))</definedName>
    <definedName name="ProjectNames">'Projects'!$A$7:$A$206</definedName>
  </definedNames>
</workbook>
</file>

<file path=xl/styles.xml><?xml version="1.0" encoding="utf-8"?>
<styleSheet xmlns="http://schemas.openxmlformats.org/spreadsheetml/2006/main">
  <numFmts count="4">
    <numFmt numFmtId="164" formatCode="&quot;$&quot;#,##0.00"/>
    <numFmt numFmtId="165" formatCode="mm/dd/yy"/>
    <numFmt numFmtId="166" formatCode="0.0%"/>
    <numFmt numFmtId="167" formatCode="&quot;$&quot;#,##0"/>
  </numFmts>
  <fonts count="9">
    <font>
      <name val="Carlito"/>
      <sz val="11"/>
    </font>
    <font>
      <name val="Arial"/>
      <color rgb="FF17324D"/>
      <sz val="10"/>
    </font>
    <font>
      <name val="Arial"/>
      <b val="1"/>
      <color rgb="FF17324D"/>
      <sz val="16"/>
    </font>
    <font>
      <name val="Arial"/>
      <color rgb="FF596B7B"/>
      <sz val="10"/>
    </font>
    <font>
      <name val="Arial"/>
      <b val="1"/>
      <color rgb="FFFFFFFF"/>
      <sz val="10"/>
    </font>
    <font>
      <name val="Arial"/>
      <b val="1"/>
      <color rgb="FF596B7B"/>
      <sz val="10"/>
    </font>
    <font>
      <b val="1"/>
    </font>
    <font>
      <name val="Calibri"/>
      <family val="2"/>
      <color theme="10"/>
      <sz val="12"/>
      <scheme val="minor"/>
    </font>
    <font>
      <b val="1"/>
      <sz val="12"/>
    </font>
  </fonts>
  <fills count="6">
    <fill>
      <patternFill/>
    </fill>
    <fill>
      <patternFill patternType="gray125"/>
    </fill>
    <fill>
      <patternFill patternType="solid">
        <fgColor rgb="FFFFF3D7"/>
      </patternFill>
    </fill>
    <fill>
      <patternFill patternType="solid">
        <fgColor rgb="FF17324D"/>
      </patternFill>
    </fill>
    <fill>
      <patternFill patternType="solid">
        <fgColor rgb="FFEEF3F8"/>
      </patternFill>
    </fill>
    <fill>
      <patternFill patternType="solid">
        <fgColor rgb="FF73552B"/>
      </patternFill>
    </fill>
  </fills>
  <borders count="2">
    <border>
      <left/>
      <right/>
      <top/>
      <bottom/>
      <diagonal/>
    </border>
    <border>
      <left/>
      <right/>
      <top/>
      <bottom style="thin">
        <color rgb="FFD5DEE7"/>
      </bottom>
      <diagonal/>
    </border>
  </borders>
  <cellStyleXfs count="2">
    <xf numFmtId="0" fontId="0" fillId="0" borderId="0"/>
    <xf numFmtId="0" fontId="7" fillId="0" borderId="0"/>
  </cellStyleXfs>
  <cellXfs count="59">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1" fillId="0" borderId="1"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49" fontId="1" fillId="2" borderId="0" applyAlignment="1" pivotButton="0" quotePrefix="0" xfId="0">
      <alignment vertical="center"/>
    </xf>
    <xf numFmtId="0" fontId="1" fillId="3" borderId="0" applyAlignment="1" pivotButton="0" quotePrefix="0" xfId="0">
      <alignment vertical="center"/>
    </xf>
    <xf numFmtId="0" fontId="4" fillId="3" borderId="0" applyAlignment="1" pivotButton="0" quotePrefix="0" xfId="0">
      <alignment vertical="center"/>
    </xf>
    <xf numFmtId="0" fontId="4" fillId="3" borderId="0" applyAlignment="1" pivotButton="0" quotePrefix="0" xfId="0">
      <alignment vertical="center" wrapText="1"/>
    </xf>
    <xf numFmtId="0" fontId="4" fillId="3" borderId="0" applyAlignment="1" pivotButton="0" quotePrefix="0" xfId="0">
      <alignment horizontal="center" vertical="center" wrapText="1"/>
    </xf>
    <xf numFmtId="0" fontId="1" fillId="4" borderId="0" applyAlignment="1" pivotButton="0" quotePrefix="0" xfId="0">
      <alignment vertical="center"/>
    </xf>
    <xf numFmtId="0" fontId="3" fillId="4" borderId="0" applyAlignment="1" pivotButton="0" quotePrefix="0" xfId="0">
      <alignment vertical="center"/>
    </xf>
    <xf numFmtId="0" fontId="3" fillId="4" borderId="0" applyAlignment="1" pivotButton="0" quotePrefix="0" xfId="0">
      <alignment vertical="center" wrapText="1"/>
    </xf>
    <xf numFmtId="0" fontId="5" fillId="4" borderId="0" applyAlignment="1" pivotButton="0" quotePrefix="0" xfId="0">
      <alignment vertical="center"/>
    </xf>
    <xf numFmtId="49" fontId="1" fillId="0" borderId="0" applyAlignment="1" pivotButton="0" quotePrefix="0" xfId="0">
      <alignment vertical="center"/>
    </xf>
    <xf numFmtId="49" fontId="1" fillId="0" borderId="0" applyAlignment="1" pivotButton="0" quotePrefix="0" xfId="0">
      <alignment horizontal="left" vertical="center"/>
    </xf>
    <xf numFmtId="0" fontId="4" fillId="5" borderId="0" applyAlignment="1" pivotButton="0" quotePrefix="0" xfId="0">
      <alignment horizontal="center" vertical="center" wrapText="1"/>
    </xf>
    <xf numFmtId="49" fontId="1" fillId="2" borderId="0" applyAlignment="1" pivotButton="0" quotePrefix="0" xfId="0">
      <alignment horizontal="left" vertical="center"/>
    </xf>
    <xf numFmtId="164" fontId="1" fillId="0" borderId="0" applyAlignment="1" pivotButton="0" quotePrefix="0" xfId="0">
      <alignment vertical="center"/>
    </xf>
    <xf numFmtId="164" fontId="1" fillId="0" borderId="0" applyAlignment="1" pivotButton="0" quotePrefix="0" xfId="0">
      <alignment horizontal="right" vertical="center"/>
    </xf>
    <xf numFmtId="4" fontId="1" fillId="0" borderId="0" applyAlignment="1" pivotButton="0" quotePrefix="0" xfId="0">
      <alignment vertical="center"/>
    </xf>
    <xf numFmtId="4" fontId="1" fillId="0" borderId="0" applyAlignment="1" pivotButton="0" quotePrefix="0" xfId="0">
      <alignment horizontal="right" vertical="center"/>
    </xf>
    <xf numFmtId="165" fontId="1" fillId="0" borderId="0" applyAlignment="1" pivotButton="0" quotePrefix="0" xfId="0">
      <alignment vertical="center"/>
    </xf>
    <xf numFmtId="165" fontId="1" fillId="0" borderId="0" applyAlignment="1" pivotButton="0" quotePrefix="0" xfId="0">
      <alignment horizontal="right" vertical="center"/>
    </xf>
    <xf numFmtId="49" fontId="1" fillId="0" borderId="0" applyAlignment="1" pivotButton="0" quotePrefix="0" xfId="0">
      <alignment horizontal="left" vertical="center" wrapText="1"/>
    </xf>
    <xf numFmtId="18" fontId="1" fillId="0" borderId="0" applyAlignment="1" pivotButton="0" quotePrefix="0" xfId="0">
      <alignment vertical="center"/>
    </xf>
    <xf numFmtId="18" fontId="1" fillId="0" borderId="0" applyAlignment="1" pivotButton="0" quotePrefix="0" xfId="0">
      <alignment horizontal="right" vertical="center"/>
    </xf>
    <xf numFmtId="166" fontId="1" fillId="0" borderId="0" applyAlignment="1" pivotButton="0" quotePrefix="0" xfId="0">
      <alignment vertical="center"/>
    </xf>
    <xf numFmtId="166" fontId="1" fillId="0" borderId="0" applyAlignment="1" pivotButton="0" quotePrefix="0" xfId="0">
      <alignment horizontal="right" vertical="center"/>
    </xf>
    <xf numFmtId="0" fontId="0" fillId="0" borderId="1" pivotButton="0" quotePrefix="0" xfId="0"/>
    <xf numFmtId="0" fontId="4" fillId="3" borderId="0" applyAlignment="1" pivotButton="0" quotePrefix="0" xfId="0">
      <alignment horizontal="center" vertical="center"/>
    </xf>
    <xf numFmtId="0" fontId="1" fillId="0" borderId="0" applyAlignment="1" pivotButton="0" quotePrefix="0" xfId="0">
      <alignment vertical="center" wrapText="1"/>
    </xf>
    <xf numFmtId="0" fontId="5" fillId="0" borderId="0" applyAlignment="1" pivotButton="0" quotePrefix="0" xfId="0">
      <alignment vertical="center"/>
    </xf>
    <xf numFmtId="49" fontId="1" fillId="0" borderId="0" applyAlignment="1" pivotButton="0" quotePrefix="0" xfId="0">
      <alignment vertical="top"/>
    </xf>
    <xf numFmtId="49" fontId="1" fillId="2" borderId="0" applyAlignment="1" pivotButton="0" quotePrefix="0" xfId="0">
      <alignment vertical="top"/>
    </xf>
    <xf numFmtId="49" fontId="1" fillId="0" borderId="0" applyAlignment="1" pivotButton="0" quotePrefix="0" xfId="0">
      <alignment vertical="top" wrapText="1"/>
    </xf>
    <xf numFmtId="49" fontId="1" fillId="0" borderId="0" applyAlignment="1" pivotButton="0" quotePrefix="0" xfId="0">
      <alignment horizontal="left" vertical="center"/>
    </xf>
    <xf numFmtId="49" fontId="1" fillId="2" borderId="0" applyAlignment="1" pivotButton="0" quotePrefix="0" xfId="0">
      <alignment horizontal="left" vertical="center"/>
    </xf>
    <xf numFmtId="167" fontId="1" fillId="0" borderId="0" applyAlignment="1" pivotButton="0" quotePrefix="0" xfId="0">
      <alignment vertical="top"/>
    </xf>
    <xf numFmtId="164" fontId="1" fillId="0" borderId="0" applyAlignment="1" pivotButton="0" quotePrefix="0" xfId="0">
      <alignment horizontal="right" vertical="center"/>
    </xf>
    <xf numFmtId="4" fontId="1" fillId="0" borderId="0" applyAlignment="1" pivotButton="0" quotePrefix="0" xfId="0">
      <alignment horizontal="right" vertical="center"/>
    </xf>
    <xf numFmtId="4" fontId="1" fillId="0" borderId="0" applyAlignment="1" pivotButton="0" quotePrefix="0" xfId="0">
      <alignment vertical="top"/>
    </xf>
    <xf numFmtId="165" fontId="1" fillId="0" borderId="0" applyAlignment="1" pivotButton="0" quotePrefix="0" xfId="0">
      <alignment vertical="top"/>
    </xf>
    <xf numFmtId="165" fontId="1" fillId="0" borderId="0" applyAlignment="1" pivotButton="0" quotePrefix="0" xfId="0">
      <alignment horizontal="right" vertical="center"/>
    </xf>
    <xf numFmtId="49" fontId="1" fillId="0" borderId="0" applyAlignment="1" pivotButton="0" quotePrefix="0" xfId="0">
      <alignment horizontal="left" vertical="center" wrapText="1"/>
    </xf>
    <xf numFmtId="18" fontId="1" fillId="0" borderId="0" applyAlignment="1" pivotButton="0" quotePrefix="0" xfId="0">
      <alignment horizontal="right" vertical="center"/>
    </xf>
    <xf numFmtId="164" fontId="1" fillId="0" borderId="0" applyAlignment="1" pivotButton="0" quotePrefix="0" xfId="0">
      <alignment vertical="top"/>
    </xf>
    <xf numFmtId="166" fontId="1" fillId="0" borderId="0" applyAlignment="1" pivotButton="0" quotePrefix="0" xfId="0">
      <alignment horizontal="right" vertical="center"/>
    </xf>
    <xf numFmtId="49" fontId="1" fillId="2" borderId="0" applyAlignment="1" pivotButton="0" quotePrefix="0" xfId="0">
      <alignment vertical="center"/>
    </xf>
    <xf numFmtId="49" fontId="1" fillId="0" borderId="0" applyAlignment="1" pivotButton="0" quotePrefix="0" xfId="0">
      <alignment vertical="center"/>
    </xf>
    <xf numFmtId="0" fontId="6" fillId="0" borderId="0" pivotButton="0" quotePrefix="0" xfId="0"/>
    <xf numFmtId="0" fontId="0" fillId="0" borderId="0" applyAlignment="1" pivotButton="0" quotePrefix="0" xfId="0">
      <alignment vertical="top" wrapText="1"/>
    </xf>
    <xf numFmtId="0" fontId="7" fillId="0" borderId="0" pivotButton="0" quotePrefix="0" xfId="1"/>
    <xf numFmtId="0" fontId="7" fillId="0" borderId="0" applyAlignment="1" pivotButton="0" quotePrefix="0" xfId="1">
      <alignment vertical="top" wrapText="1"/>
    </xf>
    <xf numFmtId="0" fontId="6" fillId="0" borderId="0" applyAlignment="1" pivotButton="0" quotePrefix="0" xfId="0">
      <alignment vertical="center"/>
    </xf>
    <xf numFmtId="0" fontId="8" fillId="0" borderId="0" pivotButton="0" quotePrefix="0" xfId="0"/>
  </cellXfs>
  <cellStyles count="2">
    <cellStyle name="Normal" xfId="0"/>
    <cellStyle name="Hyperlink" xfId="1" builtinId="8" hidden="0"/>
  </cellStyles>
  <dxfs count="7">
    <dxf>
      <font>
        <color rgb="FF9B2822"/>
      </font>
      <fill>
        <patternFill>
          <bgColor rgb="FFFCE8E6"/>
        </patternFill>
      </fill>
    </dxf>
    <dxf>
      <font>
        <color rgb="FF9B2822"/>
      </font>
      <fill>
        <patternFill>
          <bgColor rgb="FFFCE8E6"/>
        </patternFill>
      </fill>
    </dxf>
    <dxf>
      <font>
        <color rgb="FF9B2822"/>
      </font>
      <fill>
        <patternFill>
          <bgColor rgb="FFFCE8E6"/>
        </patternFill>
      </fill>
    </dxf>
    <dxf>
      <font>
        <color rgb="FF9B2822"/>
      </font>
      <fill>
        <patternFill>
          <bgColor rgb="FFFCE8E6"/>
        </patternFill>
      </fill>
    </dxf>
    <dxf>
      <font>
        <color rgb="FF9B2822"/>
      </font>
      <fill>
        <patternFill>
          <bgColor rgb="FFFCE8E6"/>
        </patternFill>
      </fill>
    </dxf>
    <dxf>
      <font>
        <color rgb="FF9B2822"/>
      </font>
      <fill>
        <patternFill>
          <bgColor rgb="FFFCE8E6"/>
        </patternFill>
      </fill>
    </dxf>
    <dxf>
      <font>
        <b val="1"/>
        <color rgb="FF9B2822"/>
      </font>
      <fill>
        <patternFill>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A6" authorId="0" shapeId="0">
      <text>
        <t>Use a unique name to link products.</t>
      </text>
    </comment>
    <comment ref="B6" authorId="0" shapeId="0">
      <text>
        <t>Type the account, contact, or owner name. Live Salesforce search is not connected.</t>
      </text>
    </comment>
    <comment ref="C6" authorId="0" shapeId="0">
      <text>
        <t>Dropdown: Project Stage. Shown menu. Source: Project video 00:10.</t>
      </text>
    </comment>
    <comment ref="E6" authorId="0" shapeId="0">
      <text>
        <t>Dropdown: End User Type. Shown menu. Source: Project video 00:07.</t>
      </text>
    </comment>
    <comment ref="F6" authorId="0" shapeId="0">
      <text>
        <t>Type the account, contact, or owner name. Live Salesforce search is not connected.</t>
      </text>
    </comment>
    <comment ref="G6" authorId="0" shapeId="0">
      <text>
        <t>Type the account, contact, or owner name. Live Salesforce search is not connected.</t>
      </text>
    </comment>
    <comment ref="H6" authorId="0" shapeId="0">
      <text>
        <t>Type the account, contact, or owner name. Live Salesforce search is not connected.</t>
      </text>
    </comment>
    <comment ref="I6" authorId="0" shapeId="0">
      <text>
        <t>Dropdown: Main Decision Influencer. Shown menu. Source: Project video 00:19.</t>
      </text>
    </comment>
    <comment ref="J6" authorId="0" shapeId="0">
      <text>
        <t>Dropdown: Solutions. Options not shown. Source: Project video 00:13; menu not expanded.</t>
      </text>
    </comment>
    <comment ref="K6" authorId="0" shapeId="0">
      <text>
        <t>Free-text field in the recording.</t>
      </text>
    </comment>
    <comment ref="L6" authorId="0" shapeId="0">
      <text>
        <t>Dropdown: Win/Loss Reason. Options not shown. Source: Project video 00:10; menu disabled.</t>
      </text>
    </comment>
    <comment ref="N6" authorId="0" shapeId="0">
      <text>
        <t>Enter the known value. Salesforce calculation rules were not shown.</t>
      </text>
    </comment>
    <comment ref="U6" authorId="0" shapeId="0">
      <text>
        <t>Dropdown: Project Country. Current value only. Source: Project video 00:22; menu not expanded.</t>
      </text>
    </comment>
    <comment ref="V6" authorId="0" shapeId="0">
      <text>
        <t>Dropdown: Canada Province/Territory. Options not shown. Source: Project video 00:22; menu not expanded.</t>
      </text>
    </comment>
    <comment ref="X6" authorId="0" shapeId="0">
      <text>
        <t>Required in the recorded project form.</t>
      </text>
    </comment>
    <comment ref="Z6" authorId="0" shapeId="0">
      <text>
        <t>Dropdown: Market. Partial list. Source: Project video 00:53; list not fully scrolled.</t>
      </text>
    </comment>
    <comment ref="AA6" authorId="0" shapeId="0">
      <text>
        <t>Dropdown: Segment. Shown menu; one context. Source: Project video 00:50; Power Generation selected.</t>
      </text>
    </comment>
    <comment ref="AB6" authorId="0" shapeId="0">
      <text>
        <t>Dropdown: Application. Shown menu; one context. Source: Project video 00:47; Power Generation selected.</t>
      </text>
    </comment>
    <comment ref="AC6" authorId="0" shapeId="0">
      <text>
        <t>Dropdown: Demand Driver. Shown menu; one context. Source: Project video 00:44; Power Generation selected.</t>
      </text>
    </comment>
    <comment ref="AD6" authorId="0" shapeId="0">
      <text>
        <t>Dropdown: OEM Category. Shown menu; one context. Source: Project video 00:39; Power Generation selected.</t>
      </text>
    </comment>
    <comment ref="AF6" authorId="0" shapeId="0">
      <text>
        <t>Dropdown: Brownfield/Greenfield. Shown menu. Source: Lead video 00:58.</t>
      </text>
    </comment>
    <comment ref="AG6" authorId="0" shapeId="0">
      <text>
        <t>Dropdown: Power Needs. Shown menu. Source: Project video 00:58.</t>
      </text>
    </comment>
    <comment ref="AH6" authorId="0" shapeId="0">
      <text>
        <t>Dropdown: Primary Energy Source. Shown menu; one context. Source: Project video 01:01; Power Generation selected.</t>
      </text>
    </comment>
    <comment ref="AI6" authorId="0" shapeId="0">
      <text>
        <t>Dropdown: AI Facility. Shown menu. Source: Lead video 01:07.</t>
      </text>
    </comment>
    <comment ref="AM6" authorId="0" shapeId="0">
      <text>
        <t>Dropdown: Checkbox fields. Excel representation. Source: Yes = checked; No = unchecked; blank = not entered.</t>
      </text>
    </comment>
    <comment ref="AN6" authorId="0" shapeId="0">
      <text>
        <t>Dropdown: Checkbox fields. Excel representation. Source: Yes = checked; No = unchecked; blank = not entered.</t>
      </text>
    </comment>
  </commentList>
</comments>
</file>

<file path=xl/comments/comment2.xml><?xml version="1.0" encoding="utf-8"?>
<comments xmlns="http://schemas.openxmlformats.org/spreadsheetml/2006/main">
  <authors>
    <author>None</author>
  </authors>
  <commentList>
    <comment ref="A6" authorId="0" shapeId="0">
      <text>
        <t>Enter the actual surname; the recording contains an email in this field.</t>
      </text>
    </comment>
    <comment ref="D6" authorId="0" shapeId="0">
      <text>
        <t>Dropdown: Lead Status. Visible status path. Source: Lead video 00:25.</t>
      </text>
    </comment>
    <comment ref="E6" authorId="0" shapeId="0">
      <text>
        <t>Dropdown: Lead Source. Current value only. Source: Lead video 00:01; menu not expanded.</t>
      </text>
    </comment>
    <comment ref="F6" authorId="0" shapeId="0">
      <text>
        <t>Type the account, contact, or owner name. Live Salesforce search is not connected.</t>
      </text>
    </comment>
    <comment ref="G6" authorId="0" shapeId="0">
      <text>
        <t>Dropdown: Salutation. Options not shown. Source: Lead video 00:01; menu not expanded.</t>
      </text>
    </comment>
    <comment ref="I6" authorId="0" shapeId="0">
      <text>
        <t>Dropdown: Occupation. Partial list. Source: Lead video 00:03–00:09; top not shown; one unclear label omitted.</t>
      </text>
    </comment>
    <comment ref="J6" authorId="0" shapeId="0">
      <text>
        <t>Dropdown: Industry. Partial list. Source: Lead video 00:14; list not fully scrolled.</t>
      </text>
    </comment>
    <comment ref="O6" authorId="0" shapeId="0">
      <text>
        <t>Records intent only. Excel does not create Salesforce records.
Dropdown: Checkbox fields. Excel representation. Source: Yes = checked; No = unchecked; blank = not entered.</t>
      </text>
    </comment>
    <comment ref="R6" authorId="0" shapeId="0">
      <text>
        <t>Dropdown: Checkbox fields. Excel representation. Source: Yes = checked; No = unchecked; blank = not entered.</t>
      </text>
    </comment>
    <comment ref="S6" authorId="0" shapeId="0">
      <text>
        <t>Dropdown: Checkbox fields. Excel representation. Source: Yes = checked; No = unchecked; blank = not entered.</t>
      </text>
    </comment>
    <comment ref="T6" authorId="0" shapeId="0">
      <text>
        <t>Type the account, contact, or owner name. Live Salesforce search is not connected.</t>
      </text>
    </comment>
    <comment ref="Z6" authorId="0" shapeId="0">
      <text>
        <t>Dropdown: Checkbox fields. Excel representation. Source: Yes = checked; No = unchecked; blank = not entered.</t>
      </text>
    </comment>
    <comment ref="AA6" authorId="0" shapeId="0">
      <text>
        <t>Dropdown: Checkbox fields. Excel representation. Source: Yes = checked; No = unchecked; blank = not entered.</t>
      </text>
    </comment>
    <comment ref="AC6" authorId="0" shapeId="0">
      <text>
        <t>Visible label only; control type and choices were not shown.</t>
      </text>
    </comment>
    <comment ref="AF6" authorId="0" shapeId="0">
      <text>
        <t>Type the account, contact, or owner name. Live Salesforce search is not connected.</t>
      </text>
    </comment>
    <comment ref="AH6" authorId="0" shapeId="0">
      <text>
        <t>Dropdown: End User Type. Shown menu. Source: Project video 00:07.</t>
      </text>
    </comment>
    <comment ref="AJ6" authorId="0" shapeId="0">
      <text>
        <t>Enter a percentage such as 50%.</t>
      </text>
    </comment>
    <comment ref="AN6" authorId="0" shapeId="0">
      <text>
        <t>Dropdown: Market. Partial list. Source: Project video 00:53; list not fully scrolled.</t>
      </text>
    </comment>
    <comment ref="AO6" authorId="0" shapeId="0">
      <text>
        <t>Dropdown: Segment. Shown menu; one context. Source: Project video 00:50; Power Generation selected.</t>
      </text>
    </comment>
    <comment ref="AP6" authorId="0" shapeId="0">
      <text>
        <t>Dropdown: Application. Shown menu; one context. Source: Project video 00:47; Power Generation selected.</t>
      </text>
    </comment>
    <comment ref="AQ6" authorId="0" shapeId="0">
      <text>
        <t>Dropdown: Demand Driver. Shown menu; one context. Source: Project video 00:44; Power Generation selected.</t>
      </text>
    </comment>
    <comment ref="AR6" authorId="0" shapeId="0">
      <text>
        <t>Dropdown: OEM Category. Shown menu; one context. Source: Project video 00:39; Power Generation selected.</t>
      </text>
    </comment>
    <comment ref="AT6" authorId="0" shapeId="0">
      <text>
        <t>Dropdown: Brownfield/Greenfield. Shown menu. Source: Lead video 00:58.</t>
      </text>
    </comment>
    <comment ref="AU6" authorId="0" shapeId="0">
      <text>
        <t>Dropdown: Power Needs. Shown menu. Source: Project video 00:58.</t>
      </text>
    </comment>
    <comment ref="AV6" authorId="0" shapeId="0">
      <text>
        <t>Dropdown: Primary Energy Source. Shown menu; one context. Source: Project video 01:01; Power Generation selected.</t>
      </text>
    </comment>
    <comment ref="AW6" authorId="0" shapeId="0">
      <text>
        <t>Dropdown: AI Facility. Shown menu. Source: Lead video 01:07.</t>
      </text>
    </comment>
    <comment ref="BD6" authorId="0" shapeId="0">
      <text>
        <t>Dropdown: Project Canadian Region. Options not shown. Source: Lead video 01:11; menu not expanded.</t>
      </text>
    </comment>
    <comment ref="BE6" authorId="0" shapeId="0">
      <text>
        <t>Type the account, contact, or owner name. Live Salesforce search is not connected.</t>
      </text>
    </comment>
    <comment ref="BF6" authorId="0" shapeId="0">
      <text>
        <t>Type the account, contact, or owner name. Live Salesforce search is not connected.</t>
      </text>
    </comment>
    <comment ref="BG6" authorId="0" shapeId="0">
      <text>
        <t>Type the account, contact, or owner name. Live Salesforce search is not connected.</t>
      </text>
    </comment>
    <comment ref="BH6" authorId="0" shapeId="0">
      <text>
        <t>Type the account, contact, or owner name. Live Salesforce search is not connected.</t>
      </text>
    </comment>
    <comment ref="BI6" authorId="0" shapeId="0">
      <text>
        <t>Type the account, contact, or owner name. Live Salesforce search is not connected.</t>
      </text>
    </comment>
    <comment ref="BJ6" authorId="0" shapeId="0">
      <text>
        <t>Type the account, contact, or owner name. Live Salesforce search is not connected.</t>
      </text>
    </comment>
    <comment ref="BK6" authorId="0" shapeId="0">
      <text>
        <t>Type the account, contact, or owner name. Live Salesforce search is not connected.</t>
      </text>
    </comment>
    <comment ref="BL6" authorId="0" shapeId="0">
      <text>
        <t>Type the account, contact, or owner name. Live Salesforce search is not connected.</t>
      </text>
    </comment>
    <comment ref="BM6" authorId="0" shapeId="0">
      <text>
        <t>Type the account, contact, or owner name. Live Salesforce search is not connected.</t>
      </text>
    </comment>
    <comment ref="BN6" authorId="0" shapeId="0">
      <text>
        <t>Type the account, contact, or owner name. Live Salesforce search is not connected.</t>
      </text>
    </comment>
    <comment ref="BO6" authorId="0" shapeId="0">
      <text>
        <t>Type the account, contact, or owner name. Live Salesforce search is not connected.</t>
      </text>
    </comment>
    <comment ref="BP6" authorId="0" shapeId="0">
      <text>
        <t>Dropdown: Checkbox fields. Excel representation. Source: Yes = checked; No = unchecked; blank = not entered.</t>
      </text>
    </comment>
    <comment ref="BQ6" authorId="0" shapeId="0">
      <text>
        <t>Dropdown: Checkbox fields. Excel representation. Source: Yes = checked; No = unchecked; blank = not entered.</t>
      </text>
    </comment>
    <comment ref="BR6" authorId="0" shapeId="0">
      <text>
        <t>Dropdown: Checkbox fields. Excel representation. Source: Yes = checked; No = unchecked; blank = not entered.</t>
      </text>
    </comment>
    <comment ref="BS6" authorId="0" shapeId="0">
      <text>
        <t>Dropdown: Checkbox fields. Excel representation. Source: Yes = checked; No = unchecked; blank = not entered.</t>
      </text>
    </comment>
    <comment ref="BT6" authorId="0" shapeId="0">
      <text>
        <t>Dropdown: Checkbox fields. Excel representation. Source: Yes = checked; No = unchecked; blank = not entered.</t>
      </text>
    </comment>
    <comment ref="BU6" authorId="0" shapeId="0">
      <text>
        <t>Dropdown: Checkbox fields. Excel representation. Source: Yes = checked; No = unchecked; blank = not entered.</t>
      </text>
    </comment>
    <comment ref="BV6" authorId="0" shapeId="0">
      <text>
        <t>Dropdown: Checkbox fields. Excel representation. Source: Yes = checked; No = unchecked; blank = not entered.</t>
      </text>
    </comment>
    <comment ref="BW6" authorId="0" shapeId="0">
      <text>
        <t>Dropdown: Checkbox fields. Excel representation. Source: Yes = checked; No = unchecked; blank = not entered.</t>
      </text>
    </comment>
  </commentList>
</comments>
</file>

<file path=xl/comments/comment3.xml><?xml version="1.0" encoding="utf-8"?>
<comments xmlns="http://schemas.openxmlformats.org/spreadsheetml/2006/main">
  <authors>
    <author>None</author>
  </authors>
  <commentList>
    <comment ref="A5" authorId="0" shapeId="0">
      <text>
        <t>Project video 00:10</t>
      </text>
    </comment>
    <comment ref="B5" authorId="0" shapeId="0">
      <text>
        <t>Lead video 00:25</t>
      </text>
    </comment>
    <comment ref="C5" authorId="0" shapeId="0">
      <text>
        <t>Project video 00:07</t>
      </text>
    </comment>
    <comment ref="D5" authorId="0" shapeId="0">
      <text>
        <t>Project video 00:19</t>
      </text>
    </comment>
    <comment ref="E5" authorId="0" shapeId="0">
      <text>
        <t>Project video 00:53; list not fully scrolled</t>
      </text>
    </comment>
    <comment ref="F5" authorId="0" shapeId="0">
      <text>
        <t>Project video 00:50; Power Generation selected</t>
      </text>
    </comment>
    <comment ref="G5" authorId="0" shapeId="0">
      <text>
        <t>Project video 00:47; Power Generation selected</t>
      </text>
    </comment>
    <comment ref="H5" authorId="0" shapeId="0">
      <text>
        <t>Project video 00:44; Power Generation selected</t>
      </text>
    </comment>
    <comment ref="I5" authorId="0" shapeId="0">
      <text>
        <t>Project video 00:39; Power Generation selected</t>
      </text>
    </comment>
    <comment ref="J5" authorId="0" shapeId="0">
      <text>
        <t>Lead video 00:58</t>
      </text>
    </comment>
    <comment ref="K5" authorId="0" shapeId="0">
      <text>
        <t>Project video 00:58</t>
      </text>
    </comment>
    <comment ref="L5" authorId="0" shapeId="0">
      <text>
        <t>Project video 01:01; Power Generation selected</t>
      </text>
    </comment>
    <comment ref="M5" authorId="0" shapeId="0">
      <text>
        <t>Lead video 01:07</t>
      </text>
    </comment>
    <comment ref="N5" authorId="0" shapeId="0">
      <text>
        <t>Yes = checked; No = unchecked; blank = not entered</t>
      </text>
    </comment>
    <comment ref="O5" authorId="0" shapeId="0">
      <text>
        <t>Lead video 00:03–00:09; top not shown; one unclear label omitted</t>
      </text>
    </comment>
    <comment ref="P5" authorId="0" shapeId="0">
      <text>
        <t>Lead video 00:14; list not fully scrolled</t>
      </text>
    </comment>
    <comment ref="Q5" authorId="0" shapeId="0">
      <text>
        <t>Lead video 00:01; menu not expanded</t>
      </text>
    </comment>
    <comment ref="R5" authorId="0" shapeId="0">
      <text>
        <t>Project video 00:22; menu not expanded</t>
      </text>
    </comment>
    <comment ref="S5" authorId="0" shapeId="0">
      <text>
        <t>Lead video 00:01; menu not expanded</t>
      </text>
    </comment>
    <comment ref="T5" authorId="0" shapeId="0">
      <text>
        <t>Project video 00:10; menu disabled</t>
      </text>
    </comment>
    <comment ref="U5" authorId="0" shapeId="0">
      <text>
        <t>Project video 00:13; menu not expanded</t>
      </text>
    </comment>
    <comment ref="V5" authorId="0" shapeId="0">
      <text>
        <t>Project video 00:22; menu not expanded</t>
      </text>
    </comment>
    <comment ref="W5" authorId="0" shapeId="0">
      <text>
        <t>Lead video 01:11; menu not expanded</t>
      </text>
    </comment>
    <comment ref="X5" authorId="0" shapeId="0">
      <text>
        <t>Project video 00:31–00:37; ellipses retained from screen</t>
      </text>
    </comment>
  </commentList>
</comments>
</file>

<file path=xl/tables/table1.xml><?xml version="1.0" encoding="utf-8"?>
<table xmlns="http://schemas.openxmlformats.org/spreadsheetml/2006/main" id="1" name="ProjectsTable" displayName="ProjectsTable" ref="A6:AW206" headerRowCount="1" totalsRowCount="0" totalsRowShown="0">
  <autoFilter ref="A6:AW206"/>
  <tableColumns count="49">
    <tableColumn id="1" name="Project Name *"/>
    <tableColumn id="2" name="End User"/>
    <tableColumn id="3" name="Stage"/>
    <tableColumn id="4" name="Other Project Aliases"/>
    <tableColumn id="5" name="End User Type"/>
    <tableColumn id="6" name="End User Contact"/>
    <tableColumn id="7" name="Site Owner"/>
    <tableColumn id="8" name="Site Owner Contact"/>
    <tableColumn id="9" name="Main Decision Influencer"/>
    <tableColumn id="10" name="Solutions"/>
    <tableColumn id="11" name="Construction Status"/>
    <tableColumn id="12" name="Win/Loss Reason"/>
    <tableColumn id="13" name="Amount ($)"/>
    <tableColumn id="14" name="Project Pipeline Amount"/>
    <tableColumn id="15" name="Estimated Lbs"/>
    <tableColumn id="16" name="Estimated Power Capacity (MW)"/>
    <tableColumn id="17" name="Estimated Voltage (KV)"/>
    <tableColumn id="18" name="City"/>
    <tableColumn id="19" name="County"/>
    <tableColumn id="20" name="State"/>
    <tableColumn id="21" name="Country"/>
    <tableColumn id="22" name="Canada Province/Territory"/>
    <tableColumn id="23" name="Est. Commission Date"/>
    <tableColumn id="24" name="Est. Close Date *"/>
    <tableColumn id="25" name="Est. Award Date"/>
    <tableColumn id="26" name="Market"/>
    <tableColumn id="27" name="Segment"/>
    <tableColumn id="28" name="Application"/>
    <tableColumn id="29" name="Demand Driver"/>
    <tableColumn id="30" name="OEM Category"/>
    <tableColumn id="31" name="Proposed Project Application"/>
    <tableColumn id="32" name="Brownfield/Greenfield"/>
    <tableColumn id="33" name="Power Needs"/>
    <tableColumn id="34" name="Primary Energy Source"/>
    <tableColumn id="35" name="AI Facility"/>
    <tableColumn id="36" name="Sales Comments"/>
    <tableColumn id="37" name="Top Next Steps"/>
    <tableColumn id="38" name="Project Description"/>
    <tableColumn id="39" name="Internal NDA Active"/>
    <tableColumn id="40" name="Customer NDA Required"/>
    <tableColumn id="41" name="Total Transmission Line Miles"/>
    <tableColumn id="42" name="Transmission Line Endpoint 1"/>
    <tableColumn id="43" name="Transmission Line Endpoint 2"/>
    <tableColumn id="44" name="Data Center Building Name"/>
    <tableColumn id="45" name="External Project ID"/>
    <tableColumn id="46" name="Building ID (Data Centers Only)"/>
    <tableColumn id="47" name="End User ID"/>
    <tableColumn id="48" name="Site Owner ID"/>
    <tableColumn id="49" name="RTO/ISO/Regional Group ID"/>
  </tableColumns>
  <tableStyleInfo name="TableStyleMedium2" showFirstColumn="0" showLastColumn="0" showRowStripes="1" showColumnStripes="0"/>
</table>
</file>

<file path=xl/tables/table2.xml><?xml version="1.0" encoding="utf-8"?>
<table xmlns="http://schemas.openxmlformats.org/spreadsheetml/2006/main" id="2" name="LeadsTable" displayName="LeadsTable" ref="A6:CJ206" headerRowCount="1" totalsRowCount="0" totalsRowShown="0">
  <autoFilter ref="A6:CJ206"/>
  <tableColumns count="88">
    <tableColumn id="1" name="Last Name *"/>
    <tableColumn id="2" name="First Name"/>
    <tableColumn id="3" name="Company *"/>
    <tableColumn id="4" name="Lead Status *"/>
    <tableColumn id="5" name="Lead Source *"/>
    <tableColumn id="6" name="Lead Owner"/>
    <tableColumn id="7" name="Salutation"/>
    <tableColumn id="8" name="Title"/>
    <tableColumn id="9" name="Occupation"/>
    <tableColumn id="10" name="Industry"/>
    <tableColumn id="11" name="Phone"/>
    <tableColumn id="12" name="Mobile"/>
    <tableColumn id="13" name="Email"/>
    <tableColumn id="14" name="Fax"/>
    <tableColumn id="15" name="Create Project Record"/>
    <tableColumn id="16" name="Recycle Date"/>
    <tableColumn id="17" name="Recycle Time"/>
    <tableColumn id="18" name="Do Not Call"/>
    <tableColumn id="19" name="Email Opt Out"/>
    <tableColumn id="20" name="Sales Agent Contact"/>
    <tableColumn id="21" name="Contact Street"/>
    <tableColumn id="22" name="Contact City"/>
    <tableColumn id="23" name="Contact State/Province"/>
    <tableColumn id="24" name="Contact Zip/Postal Code"/>
    <tableColumn id="25" name="Contact Country"/>
    <tableColumn id="26" name="EVITP Certified"/>
    <tableColumn id="27" name="SSU Attendee"/>
    <tableColumn id="28" name="SSU Attended Date"/>
    <tableColumn id="29" name="MQL LOB"/>
    <tableColumn id="30" name="Project Name"/>
    <tableColumn id="31" name="Other Project Aliases"/>
    <tableColumn id="32" name="End User"/>
    <tableColumn id="33" name="Construction Stage"/>
    <tableColumn id="34" name="End User Type"/>
    <tableColumn id="35" name="Amount ($)"/>
    <tableColumn id="36" name="Project Probability"/>
    <tableColumn id="37" name="Estimated Commissioning Date"/>
    <tableColumn id="38" name="Estimated Power Capacity (MW)"/>
    <tableColumn id="39" name="Estimated Voltage (KV)"/>
    <tableColumn id="40" name="Market"/>
    <tableColumn id="41" name="Segment"/>
    <tableColumn id="42" name="Application"/>
    <tableColumn id="43" name="Demand Driver"/>
    <tableColumn id="44" name="OEM Category"/>
    <tableColumn id="45" name="Proposed Project Application"/>
    <tableColumn id="46" name="Brownfield/Greenfield"/>
    <tableColumn id="47" name="Power Needs"/>
    <tableColumn id="48" name="Primary Energy Source"/>
    <tableColumn id="49" name="AI Facility"/>
    <tableColumn id="50" name="Project Street"/>
    <tableColumn id="51" name="Project City"/>
    <tableColumn id="52" name="Project State"/>
    <tableColumn id="53" name="Project ZIP"/>
    <tableColumn id="54" name="Project Country"/>
    <tableColumn id="55" name="Project County"/>
    <tableColumn id="56" name="Project Canadian Region"/>
    <tableColumn id="57" name="Site Owner"/>
    <tableColumn id="58" name="EPC"/>
    <tableColumn id="59" name="Developer"/>
    <tableColumn id="60" name="Preferred Electrical Distributor"/>
    <tableColumn id="61" name="OEM Project Partner"/>
    <tableColumn id="62" name="General Contractor"/>
    <tableColumn id="63" name="Electrical Contractor"/>
    <tableColumn id="64" name="RTO/ISO/Regional Group"/>
    <tableColumn id="65" name="Utility Provider"/>
    <tableColumn id="66" name="Sold-To Party"/>
    <tableColumn id="67" name="Construction Equipment Provider"/>
    <tableColumn id="68" name="Medium Voltage"/>
    <tableColumn id="69" name="600V Insulated"/>
    <tableColumn id="70" name="Tray Cable"/>
    <tableColumn id="71" name="Building Wire"/>
    <tableColumn id="72" name="High Voltage Underground"/>
    <tableColumn id="73" name="Bare Overhead"/>
    <tableColumn id="74" name="Submarine"/>
    <tableColumn id="75" name="Substation"/>
    <tableColumn id="76" name="Total Transmission Line Miles"/>
    <tableColumn id="77" name="Transmission Line Endpoint 1"/>
    <tableColumn id="78" name="Transmission Line Endpoint 2"/>
    <tableColumn id="79" name="Data Center Building Name"/>
    <tableColumn id="80" name="External Project ID"/>
    <tableColumn id="81" name="Data Center Building ID"/>
    <tableColumn id="82" name="End User ID"/>
    <tableColumn id="83" name="Site Owner ID"/>
    <tableColumn id="84" name="RTO/ISO/Regional Group ID"/>
    <tableColumn id="85" name="Sales Comments"/>
    <tableColumn id="86" name="Top Next Steps"/>
    <tableColumn id="87" name="Project Description"/>
    <tableColumn id="88" name="Description"/>
  </tableColumns>
  <tableStyleInfo name="TableStyleMedium2" showFirstColumn="0" showLastColumn="0" showRowStripes="1" showColumnStripes="0"/>
</table>
</file>

<file path=xl/tables/table3.xml><?xml version="1.0" encoding="utf-8"?>
<table xmlns="http://schemas.openxmlformats.org/spreadsheetml/2006/main" id="3" name="ProjectProductsTable" displayName="ProjectProductsTable" ref="A6:C506" headerRowCount="1" totalsRowCount="0" totalsRowShown="0">
  <autoFilter ref="A6:C506"/>
  <tableColumns count="3">
    <tableColumn id="1" name="Project Name"/>
    <tableColumn id="2" name="Product"/>
    <tableColumn id="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hyperlink" Target="https://dailyreporter.com/2026/08/31/invenergy-proposes-two-natural-gas-plants-calumet-county/" TargetMode="External" Id="rId1"/><Relationship Type="http://schemas.openxmlformats.org/officeDocument/2006/relationships/hyperlink" Target="https://fox11online.com/news/local/calumet-county-power-plant-proposed-energy-centers-town-of-brillion-power-megawatts-gigawatts-we-energies-invenergy-town-of-woodville-forest-junction-union-depot" TargetMode="External" Id="rId2"/><Relationship Type="http://schemas.openxmlformats.org/officeDocument/2006/relationships/hyperlink" Target="https://forestjunctionenergycenter.invenergy.com/" TargetMode="External" Id="rId3"/><Relationship Type="http://schemas.openxmlformats.org/officeDocument/2006/relationships/hyperlink" Target="https://www.nbc26.com/lakeshore/neighbors-push-back-against-proposed-natural-gas-facility-in-town-of-brillion" TargetMode="External" Id="rId4"/><Relationship Type="http://schemas.openxmlformats.org/officeDocument/2006/relationships/hyperlink" Target="https://www.click2houston.com/news/local/2026/10/14/entergy-texas-orange-county-advanced-power-station-now-delivering-power-to-southeast-texas/" TargetMode="External" Id="rId5"/><Relationship Type="http://schemas.openxmlformats.org/officeDocument/2006/relationships/hyperlink" Target="https://www.power-eng.com/gas/turbines/entergy-texas-1-2-gw-ccgt-plant-is-now-online/" TargetMode="External" Id="rId6"/><Relationship Type="http://schemas.openxmlformats.org/officeDocument/2006/relationships/hyperlink" Target="https://www.sargentlundy.com/projects/orange-county-advanced-power-station/" TargetMode="External" Id="rId7"/><Relationship Type="http://schemas.openxmlformats.org/officeDocument/2006/relationships/hyperlink" Target="https://gov.texas.gov/news/post/governor-abbott-announces-texas-energy-fund-loan-for-860-mw-of-new-power-in-west-texas" TargetMode="External" Id="rId8"/><Relationship Type="http://schemas.openxmlformats.org/officeDocument/2006/relationships/hyperlink" Target="https://investor.vistracorp.com/2025-09-29-Vistra-Announces-Plans-to-Build-New-Gas-Fueled-Dispatchable-Power-Units-in-the-Permian-Basin" TargetMode="External" Id="rId9"/><Relationship Type="http://schemas.openxmlformats.org/officeDocument/2006/relationships/hyperlink" Target="https://www.gem.wiki/Permian_Power_power_station" TargetMode="External" Id="rId10"/><Relationship Type="http://schemas.openxmlformats.org/officeDocument/2006/relationships/hyperlink" Target="https://www.tceq.texas.gov/downloads/permitting/air/bilingual/pending-permit-notices/178462-pls-english.pdf" TargetMode="External" Id="rId11"/><Relationship Type="http://schemas.openxmlformats.org/officeDocument/2006/relationships/hyperlink" Target="https://www.georgiapower.com/news-hub/press-releases/turbine-generator-unit-9-plant-yates.html" TargetMode="External" Id="rId12"/><Relationship Type="http://schemas.openxmlformats.org/officeDocument/2006/relationships/hyperlink" Target="https://www.energy.gov/sites/default/files/2026-07/20260622_EnvReview_Completion_Yates.pdf" TargetMode="External" Id="rId13"/><Relationship Type="http://schemas.openxmlformats.org/officeDocument/2006/relationships/hyperlink" Target="https://www.modernpowersystems.com/news/progress-at-1-3-gw-plant-yates-gas-fired-plant/" TargetMode="External" Id="rId14"/><Relationship Type="http://schemas.openxmlformats.org/officeDocument/2006/relationships/hyperlink" Target="https://www.entergy.com/news/entergy-arkansas-breaks-ground-on-ironwood-power-station" TargetMode="External" Id="rId15"/><Relationship Type="http://schemas.openxmlformats.org/officeDocument/2006/relationships/hyperlink" Target="https://www.modernpowersystems.com/news/entergy-arkansas-starts-construction-on-446-mw-ironwood-power-station/" TargetMode="External" Id="rId16"/><Relationship Type="http://schemas.openxmlformats.org/officeDocument/2006/relationships/hyperlink" Target="https://www.entergy.com/news/ironwood-power-plant-vendor-fair-for-arkansas-contractors-announced" TargetMode="External" Id="rId17"/><Relationship Type="http://schemas.openxmlformats.org/officeDocument/2006/relationships/hyperlink" Target="https://zachrygroup.com/press-releases/Duke_Energy_Awards_EPC_Contract_for_the_first_Person_County_Combined_Cycle_Project_to_Zachry_Group.html" TargetMode="External" Id="rId18"/><Relationship Type="http://schemas.openxmlformats.org/officeDocument/2006/relationships/hyperlink" Target="https://www.duke-energy.com/info/person" TargetMode="External" Id="rId19"/><Relationship Type="http://schemas.openxmlformats.org/officeDocument/2006/relationships/hyperlink" Target="https://www.theassemblync.com/news/business/person-county-microsoft-data-center-nondisclosure-agreements/" TargetMode="External" Id="rId20"/><Relationship Type="http://schemas.openxmlformats.org/officeDocument/2006/relationships/hyperlink" Target="https://www.power-eng.com/gas/combined-cycle/entergy-mississippi-breaks-ground-on-754-mw-combined-cycle-plant/" TargetMode="External" Id="rId21"/><Relationship Type="http://schemas.openxmlformats.org/officeDocument/2006/relationships/hyperlink" Target="https://www.entergy.com/blog/delta-blues-reaches-important-milestone-in-construction" TargetMode="External" Id="rId22"/><Relationship Type="http://schemas.openxmlformats.org/officeDocument/2006/relationships/hyperlink" Target="https://www.gem.wiki/Delta_Blues_Advanced_Power_Station" TargetMode="External" Id="rId23"/><Relationship Type="http://schemas.openxmlformats.org/officeDocument/2006/relationships/hyperlink" Target="https://opcgis.deq.state.ms.us/ensearchonline/ai_info.aspx?ai=86260" TargetMode="External" Id="rId24"/><Relationship Type="http://schemas.openxmlformats.org/officeDocument/2006/relationships/hyperlink" Target="https://www.entergymississippi.com/generation/vicksburg" TargetMode="External" Id="rId25"/><Relationship Type="http://schemas.openxmlformats.org/officeDocument/2006/relationships/hyperlink" Target="https://www.powermag.com/entergy-mississippi-adding-third-gas-fired-power-plant-to-superpower-strategy/" TargetMode="External" Id="rId26"/><Relationship Type="http://schemas.openxmlformats.org/officeDocument/2006/relationships/hyperlink" Target="https://www.datacenterdynamics.com/en/news/amazon-to-build-3bn-data-center-campus-in-vicksburg-mississippi/" TargetMode="External" Id="rId27"/><Relationship Type="http://schemas.openxmlformats.org/officeDocument/2006/relationships/hyperlink" Target="https://www.aep.com/news/stories/view/11850/" TargetMode="External" Id="rId28"/><Relationship Type="http://schemas.openxmlformats.org/officeDocument/2006/relationships/hyperlink" Target="https://sycamoreriverside.invenergy.com/about-project" TargetMode="External" Id="rId29"/><Relationship Type="http://schemas.openxmlformats.org/officeDocument/2006/relationships/hyperlink" Target="https://www.pjm.com/pub/planning/project-queues/facilities/ab1087_fac.pdf" TargetMode="External" Id="rId30"/><Relationship Type="http://schemas.openxmlformats.org/officeDocument/2006/relationships/hyperlink" Target="https://www.gem.wiki/Sycamore_Riverside_Energy_Center" TargetMode="External" Id="rId31"/><Relationship Type="http://schemas.openxmlformats.org/officeDocument/2006/relationships/hyperlink" Target="https://www.entergy.com/news/entergy-louisiana-breaks-ground-on-new-state-of-the-art-generation-facilities-to-power-reliability-growth-and-innovation" TargetMode="External" Id="rId32"/><Relationship Type="http://schemas.openxmlformats.org/officeDocument/2006/relationships/hyperlink" Target="https://www.ticus.com/entergy-program/" TargetMode="External" Id="rId33"/><Relationship Type="http://schemas.openxmlformats.org/officeDocument/2006/relationships/hyperlink" Target="https://www.gem.wiki/Franklin_Farms_power_station" TargetMode="External" Id="rId34"/><Relationship Type="http://schemas.openxmlformats.org/officeDocument/2006/relationships/hyperlink" Target="https://www.datacenterdynamics.com/en/news/entergy-breaks-ground-on-two-natural-gas-plants-for-metas-2gw-data-center-in-richland-parish-louisiana/" TargetMode="External" Id="rId35"/><Relationship Type="http://schemas.openxmlformats.org/officeDocument/2006/relationships/hyperlink" Target="https://www.entergylouisiana.com/waterford5-6" TargetMode="External" Id="rId36"/><Relationship Type="http://schemas.openxmlformats.org/officeDocument/2006/relationships/hyperlink" Target="https://www.interconnection.fyi/project/miso-e0029" TargetMode="External" Id="rId37"/><Relationship Type="http://schemas.openxmlformats.org/officeDocument/2006/relationships/hyperlink" Target="https://www.entergy.com/blog/the-dirt-on-dirt-from-digging-soil-to-boosting-louisianas-economy" TargetMode="External" Id="rId38"/><Relationship Type="http://schemas.openxmlformats.org/officeDocument/2006/relationships/hyperlink" Target="https://www.babcock.com/home/about/corporate/news/babcock-and-wilcox-receives-full-notice-to-proceed-on-246-million-contract-for-indiana-power-plant-coal-to-gas-fuel-switching-project" TargetMode="External" Id="rId39"/><Relationship Type="http://schemas.openxmlformats.org/officeDocument/2006/relationships/hyperlink" Target="https://www.cdmsmith.com/en/projects/aes-coal-to-gas" TargetMode="External" Id="rId40"/><Relationship Type="http://schemas.openxmlformats.org/officeDocument/2006/relationships/hyperlink" Target="https://aesindiana.com/press-release/aes-indiana-receives-approval-repower-remaining-petersburg-units-coal-natural-gas" TargetMode="External" Id="rId41"/><Relationship Type="http://schemas.openxmlformats.org/officeDocument/2006/relationships/hyperlink" Target="https://www.tribtoday.com/news/local-news/2026/06/trumbull-energy-center-complete/" TargetMode="External" Id="rId42"/><Relationship Type="http://schemas.openxmlformats.org/officeDocument/2006/relationships/hyperlink" Target="https://www.gemmapower.com/our-work/combined-cycle/trumbull-energy-center/" TargetMode="External" Id="rId43"/><Relationship Type="http://schemas.openxmlformats.org/officeDocument/2006/relationships/hyperlink" Target="https://www.interconnection.fyi/project/pjm-ab1-105" TargetMode="External" Id="rId44"/><Relationship Type="http://schemas.openxmlformats.org/officeDocument/2006/relationships/hyperlink" Target="https://www.sec.gov/Archives/edgar/data/0000107263/000010726326000026/wmb-20260630.htm" TargetMode="External" Id="rId45"/><Relationship Type="http://schemas.openxmlformats.org/officeDocument/2006/relationships/hyperlink" Target="https://www.power-eng.com/onsite-power/onsite-gas-turbines-reciprocating-engines-to-power-meta-data-center/" TargetMode="External" Id="rId46"/><Relationship Type="http://schemas.openxmlformats.org/officeDocument/2006/relationships/hyperlink" Target="https://www.williams.com/wp-content/uploads/sites/14/2026/02/Socrates-North-and-South-Fact-Sheet-1.pdf" TargetMode="External" Id="rId47"/><Relationship Type="http://schemas.openxmlformats.org/officeDocument/2006/relationships/hyperlink" Target="https://opsb.ohio.gov/cases/25-0188-el-bgn" TargetMode="External" Id="rId48"/><Relationship Type="http://schemas.openxmlformats.org/officeDocument/2006/relationships/hyperlink" Target="https://investor.williams.com/news-releases/news-release-details/williams-delivers-strong-second-quarter-2026-results-announces" TargetMode="External" Id="rId49"/><Relationship Type="http://schemas.openxmlformats.org/officeDocument/2006/relationships/hyperlink" Target="https://www.businesswire.com/news/home/20260401716982/en/Homer-City-Redevelopment-Crosses-the-First-Steel-Threshold" TargetMode="External" Id="rId50"/><Relationship Type="http://schemas.openxmlformats.org/officeDocument/2006/relationships/hyperlink" Target="https://www.gevernova.com/news/press-releases/homer-city-redevelopment-kiewit-announce-country-largest-natural-gas-powered-data-center-support-ai-hpc-demand" TargetMode="External" Id="rId51"/><Relationship Type="http://schemas.openxmlformats.org/officeDocument/2006/relationships/hyperlink" Target="https://marcellusdrilling.com/2026/10/homer-city-update-first-turbine-set-amazon-plan-now-under-review/" TargetMode="External" Id="rId52"/><Relationship Type="http://schemas.openxmlformats.org/officeDocument/2006/relationships/hyperlink" Target="https://www.businesswire.com/news/home/20250206210188/en/Argan-Inc.s-Gemma-Power-Systems-Executes-EPC-Contract-for-a-1.2-GW-Power-Project-in-Texas" TargetMode="External" Id="rId53"/><Relationship Type="http://schemas.openxmlformats.org/officeDocument/2006/relationships/hyperlink" Target="https://www.powermag.com/new-1-2-gw-natural-gas-fired-plant-announced-for-texas/" TargetMode="External" Id="rId54"/><Relationship Type="http://schemas.openxmlformats.org/officeDocument/2006/relationships/hyperlink" Target="https://interchange.puc.texas.gov/Documents/56455_62_1398423.PDF" TargetMode="External" Id="rId55"/><Relationship Type="http://schemas.openxmlformats.org/officeDocument/2006/relationships/hyperlink" Target="https://www.businesswire.com/news/home/20260422186042/en/Kindle-Energy-Breaks-Ground-on-Blackstone-Backed-$1.2-Billion-Natural-Gas-Power-Generation-Facility-in-West-Virginia" TargetMode="External" Id="rId56"/><Relationship Type="http://schemas.openxmlformats.org/officeDocument/2006/relationships/hyperlink" Target="https://wolf-summit.com/" TargetMode="External" Id="rId57"/><Relationship Type="http://schemas.openxmlformats.org/officeDocument/2006/relationships/hyperlink" Target="https://www.powermag.com/blackstone-investing-1-2-billion-for-600-mw-gas-fired-plant-in-west-virginia/" TargetMode="External" Id="rId58"/><Relationship Type="http://schemas.openxmlformats.org/officeDocument/2006/relationships/hyperlink" Target="https://gov.texas.gov/news/post/governor-abbott-announces-texas-energy-fund-loan-to-721-mw-natural-gas-facility-in-southeast-texas" TargetMode="External" Id="rId59"/><Relationship Type="http://schemas.openxmlformats.org/officeDocument/2006/relationships/hyperlink" Target="https://www.utilitydive.com/news/nrg-close-to-completing-415-mw-gas-plant-backed-by-texas-energy-fund/819587/" TargetMode="External" Id="rId60"/><Relationship Type="http://schemas.openxmlformats.org/officeDocument/2006/relationships/hyperlink" Target="https://www.texastribune.org/2025/09/26/texas-energy-fund-loan-nrg-baytown" TargetMode="External" Id="rId61"/><Relationship Type="http://schemas.openxmlformats.org/officeDocument/2006/relationships/hyperlink" Target="https://cpv.com/2025/11/20/cpv-basin-ranch-energy-center-breaks-ground-in-ward-county-texas/" TargetMode="External" Id="rId62"/><Relationship Type="http://schemas.openxmlformats.org/officeDocument/2006/relationships/hyperlink" Target="https://www.businesswire.com/news/home/20251030500209/en/Argan-Inc.s-Gemma-Power-Systems-Receives-Full-Notice-to-Proceed-on-EPC-Contract-for-1350-MW-Combined-Cycle-Power-Plant-in-Texas" TargetMode="External" Id="rId63"/><Relationship Type="http://schemas.openxmlformats.org/officeDocument/2006/relationships/hyperlink" Target="https://cpv.com/our-fleet/cpv-basin-ranch-energy-center/" TargetMode="External" Id="rId64"/><Relationship Type="http://schemas.openxmlformats.org/officeDocument/2006/relationships/hyperlink" Target="https://cpv.com/our-fleet/cpv-shay-energy-center/" TargetMode="External" Id="rId65"/><Relationship Type="http://schemas.openxmlformats.org/officeDocument/2006/relationships/hyperlink" Target="https://cpv.com/2026/08/12/cpv-secures-10-year-gas-netback-with-eqt-to-supply-2-gw-cpv-shay-energy-center/" TargetMode="External" Id="rId66"/><Relationship Type="http://schemas.openxmlformats.org/officeDocument/2006/relationships/hyperlink" Target="https://cpv.com/wp-content/uploads/2026/03/CPV-Shay-Energy-Center-Project-Fact-Sheet-March-2026-1.pdf" TargetMode="External" Id="rId67"/><Relationship Type="http://schemas.openxmlformats.org/officeDocument/2006/relationships/hyperlink" Target="https://opsb.ohio.gov/news/opsb-extends-certificate-for-lucas-county-natural-gas-fired-power-plant" TargetMode="External" Id="rId68"/><Relationship Type="http://schemas.openxmlformats.org/officeDocument/2006/relationships/hyperlink" Target="https://www.presspublications.com/stories/natural-gas-power-plant-oregon-ohio-reliability-resource-initiative-pjm,58407" TargetMode="External" Id="rId69"/><Relationship Type="http://schemas.openxmlformats.org/officeDocument/2006/relationships/hyperlink" Target="https://www.recordherald.com/2026/05/04/cpv-walker-energy-center-begins-state-review-for-new-power-plant/" TargetMode="External" Id="rId70"/><Relationship Type="http://schemas.openxmlformats.org/officeDocument/2006/relationships/hyperlink" Target="https://emberclear.com/lincoln-land-2/" TargetMode="External" Id="rId71"/><Relationship Type="http://schemas.openxmlformats.org/officeDocument/2006/relationships/hyperlink" Target="https://www.illinoistimes.com/news/data-center-development-linked-to-power-plant-construction/" TargetMode="External" Id="rId72"/><Relationship Type="http://schemas.openxmlformats.org/officeDocument/2006/relationships/hyperlink" Target="https://www.springfieldbusinessjournal.com/news/data-center-developer-abandons-plans-for-christian-county/" TargetMode="External" Id="rId73"/><Relationship Type="http://schemas.openxmlformats.org/officeDocument/2006/relationships/hyperlink" Target="https://www.chevron.com/newsroom/2026/q2/chevron-signs-20-year-power-agreement-with-microsoft-for-west-texas-data-center" TargetMode="External" Id="rId74"/><Relationship Type="http://schemas.openxmlformats.org/officeDocument/2006/relationships/hyperlink" Target="https://www.tceq.texas.gov/downloads/permitting/air/bilingual/pending-permit-notices/181895-pls-english.pdf" TargetMode="External" Id="rId75"/><Relationship Type="http://schemas.openxmlformats.org/officeDocument/2006/relationships/hyperlink" Target="https://blogs.microsoft.com/blog/2026/06/22/powering-the-next-wave-of-ai-expanding-capacity-with-our-new-datacenter-in-pecos/" TargetMode="External" Id="rId76"/><Relationship Type="http://schemas.openxmlformats.org/officeDocument/2006/relationships/hyperlink" Target="https://frontier-companies.com/shippingport-power-station-featured-in-energy-oil-gas-magazine/" TargetMode="External" Id="rId77"/><Relationship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 Id="rId78"/><Relationship Type="http://schemas.openxmlformats.org/officeDocument/2006/relationships/hyperlink" Target="https://aligneddc.com/press-release/project-phoenix-data-center-shippingport-pa/" TargetMode="External" Id="rId79"/><Relationship Type="http://schemas.openxmlformats.org/officeDocument/2006/relationships/hyperlink" Target="https://comptroller.texas.gov/economy/development/prop-tax/ch313/agreement-docs-details.php?id=1993" TargetMode="External" Id="rId80"/><Relationship Type="http://schemas.openxmlformats.org/officeDocument/2006/relationships/hyperlink" Target="https://assets.comptroller.texas.gov/ch313/1993/1993-pecos-vpn-agmt.pdf" TargetMode="External" Id="rId81"/><Relationship Type="http://schemas.openxmlformats.org/officeDocument/2006/relationships/hyperlink" Target="https://forestjunctionenergycenter.invenergy.com/news-and-resources" TargetMode="External" Id="rId82"/><Relationship Type="http://schemas.openxmlformats.org/officeDocument/2006/relationships/hyperlink" Target="https://apps.dnr.wi.gov/warp_ext/am_permittracking2.aspx?id=38822" TargetMode="External" Id="rId83"/><Relationship Type="http://schemas.openxmlformats.org/officeDocument/2006/relationships/hyperlink" Target="https://www.entergy.com/news/entergy-texas-orange-county-advanced-power-station-begins-delivering-reliable-power-to-southeast-texas" TargetMode="External" Id="rId84"/><Relationship Type="http://schemas.openxmlformats.org/officeDocument/2006/relationships/hyperlink" Target="https://supplier.entergy.com/psc/supprd/SUPPLIER/ERP/c/SCP_PUBLIC_MENU_FL.SCP_PUB_FAQ_CMP_FL.GBL" TargetMode="External" Id="rId85"/><Relationship Type="http://schemas.openxmlformats.org/officeDocument/2006/relationships/hyperlink" Target="https://hub.vistracorp.com/vistra-announces-plans-to-build-new-dispatchable-generation-in-texas/" TargetMode="External" Id="rId86"/><Relationship Type="http://schemas.openxmlformats.org/officeDocument/2006/relationships/hyperlink" Target="https://vistracorp.com/supply-chain/how-do-we-source/ | https://vistracorp.com/supply-chain/faq/" TargetMode="External" Id="rId87"/><Relationship Type="http://schemas.openxmlformats.org/officeDocument/2006/relationships/hyperlink" Target="https://www.southerncompany.com/contact-us.html" TargetMode="External" Id="rId88"/><Relationship Type="http://schemas.openxmlformats.org/officeDocument/2006/relationships/hyperlink" Target="https://supplier.entergy.com/psc/supprd/SUPPLIER/ERP/c/SCP_PUBLIC_MENU_FL.SCP_PUB_FAQ_CMP_FL.GBL" TargetMode="External" Id="rId89"/><Relationship Type="http://schemas.openxmlformats.org/officeDocument/2006/relationships/hyperlink" Target="https://s201.q4cdn.com/714390239/files/doc_presentations/2026/Jun/09/Entergy-2026-Investor-Day.pdf" TargetMode="External" Id="rId90"/><Relationship Type="http://schemas.openxmlformats.org/officeDocument/2006/relationships/hyperlink" Target="https://zachrygroup.com/procurement" TargetMode="External" Id="rId91"/><Relationship Type="http://schemas.openxmlformats.org/officeDocument/2006/relationships/hyperlink" Target="https://supplier.entergy.com/psc/supprd/SUPPLIER/ERP/c/SCP_PUBLIC_MENU_FL.SCP_PUB_FAQ_CMP_FL.GBL" TargetMode="External" Id="rId92"/><Relationship Type="http://schemas.openxmlformats.org/officeDocument/2006/relationships/hyperlink" Target="https://supplier.entergy.com/psc/supprd/SUPPLIER/ERP/c/SCP_PUBLIC_MENU_FL.SCP_PUB_FAQ_CMP_FL.GBL" TargetMode="External" Id="rId93"/><Relationship Type="http://schemas.openxmlformats.org/officeDocument/2006/relationships/hyperlink" Target="https://sycamoreriverside.invenergy.com/contact-us" TargetMode="External" Id="rId94"/><Relationship Type="http://schemas.openxmlformats.org/officeDocument/2006/relationships/hyperlink" Target="https://supplier.entergy.com/psc/supprd/SUPPLIER/ERP/c/SCP_PUBLIC_MENU_FL.SCP_PUB_FAQ_CMP_FL.GBL" TargetMode="External" Id="rId95"/><Relationship Type="http://schemas.openxmlformats.org/officeDocument/2006/relationships/hyperlink" Target="https://s201.q4cdn.com/714390239/files/doc_presentations/2026/Jun/09/Entergy-2026-Investor-Day.pdf" TargetMode="External" Id="rId96"/><Relationship Type="http://schemas.openxmlformats.org/officeDocument/2006/relationships/hyperlink" Target="https://supplier.entergy.com/psc/supprd/SUPPLIER/ERP/c/SCP_PUBLIC_MENU_FL.SCP_PUB_FAQ_CMP_FL.GBL" TargetMode="External" Id="rId97"/><Relationship Type="http://schemas.openxmlformats.org/officeDocument/2006/relationships/hyperlink" Target="https://s201.q4cdn.com/714390239/files/doc_presentations/2026/Jun/09/Entergy-2026-Investor-Day.pdf" TargetMode="External" Id="rId98"/><Relationship Type="http://schemas.openxmlformats.org/officeDocument/2006/relationships/hyperlink" Target="https://vistracorp.com/supply-chain/how-do-we-source/" TargetMode="External" Id="rId99"/><Relationship Type="http://schemas.openxmlformats.org/officeDocument/2006/relationships/hyperlink" Target="https://vistracorp.com/supply-chain/faq/" TargetMode="External" Id="rId100"/><Relationship Type="http://schemas.openxmlformats.org/officeDocument/2006/relationships/hyperlink" Target="https://d18rn0p25nwr6d.cloudfront.net/CIK-0000092122/32961fa3-bbf4-4ea2-8851-611fe309e97e.pdf" TargetMode="External" Id="rId101"/><Relationship Type="http://schemas.openxmlformats.org/officeDocument/2006/relationships/hyperlink" Target="https://cdn.bfldr.com/E1EVDN8O/at/bz4ct6npstkxw48b6n9zm9j8/Oracle_Cloud_Azure_MFA_Registration_Step_Guide_19Jun2024.pdf" TargetMode="External" Id="rId102"/><Relationship Type="http://schemas.openxmlformats.org/officeDocument/2006/relationships/hyperlink" Target="https://www.bv.com/en-US/contact-us" TargetMode="External" Id="rId103"/><Relationship Type="http://schemas.openxmlformats.org/officeDocument/2006/relationships/hyperlink" Target="https://www.bv.com/en-US/suppliers" TargetMode="External" Id="rId104"/><Relationship Type="http://schemas.openxmlformats.org/officeDocument/2006/relationships/hyperlink" Target="https://zachrygroup.com/about" TargetMode="External" Id="rId105"/><Relationship Type="http://schemas.openxmlformats.org/officeDocument/2006/relationships/hyperlink" Target="https://www.aesindiana.com/pike-county" TargetMode="External" Id="rId106"/><Relationship Type="http://schemas.openxmlformats.org/officeDocument/2006/relationships/hyperlink" Target="https://www.babcock.com/contact-us" TargetMode="External" Id="rId107"/><Relationship Type="http://schemas.openxmlformats.org/officeDocument/2006/relationships/hyperlink" Target="https://www.trumbullenergycenter.com/" TargetMode="External" Id="rId108"/><Relationship Type="http://schemas.openxmlformats.org/officeDocument/2006/relationships/hyperlink" Target="https://org-www.hanwha.com/newsroom/news/press-releases/hanwha-power-enters-us-market-with-successful-commissioning-of-trumbull-energy-center-combined-cycle-gas-turbine-power-plant.do" TargetMode="External" Id="rId109"/><Relationship Type="http://schemas.openxmlformats.org/officeDocument/2006/relationships/hyperlink" Target="https://www.williams.com/expansion-project/socrates-power-solution-facilities/" TargetMode="External" Id="rId110"/><Relationship Type="http://schemas.openxmlformats.org/officeDocument/2006/relationships/hyperlink" Target="https://investor.williams.com/static-files/dde1b8eb-5802-4e4c-aa89-84c4d8611d56" TargetMode="External" Id="rId111"/><Relationship Type="http://schemas.openxmlformats.org/officeDocument/2006/relationships/hyperlink" Target="https://www.homercityredevelopment.com/faq" TargetMode="External" Id="rId112"/><Relationship Type="http://schemas.openxmlformats.org/officeDocument/2006/relationships/hyperlink" Target="https://slectx.com/argan-inc-gemma-electrify-tx/" TargetMode="External" Id="rId113"/><Relationship Type="http://schemas.openxmlformats.org/officeDocument/2006/relationships/hyperlink" Target="https://xebecrealty.com/leadership/gretchen-kendrick/" TargetMode="External" Id="rId114"/><Relationship Type="http://schemas.openxmlformats.org/officeDocument/2006/relationships/hyperlink" Target="https://www.tceq.texas.gov/downloads/agency/decisions/hearings/notices/2025/2025-04-24-sl-energy-power-plant-i-177380-pm.pdf" TargetMode="External" Id="rId115"/><Relationship Type="http://schemas.openxmlformats.org/officeDocument/2006/relationships/hyperlink" Target="https://www.tceq.texas.gov/downloads/agency/decisions/agendas/backup/2025/2025-1310-air-picr.pdf" TargetMode="External" Id="rId116"/><Relationship Type="http://schemas.openxmlformats.org/officeDocument/2006/relationships/hyperlink" Target="https://kindle-energy.com/case-studies/wolf-summit" TargetMode="External" Id="rId117"/><Relationship Type="http://schemas.openxmlformats.org/officeDocument/2006/relationships/hyperlink" Target="https://investors.nrg.com/static-files/166760ef-79e6-4985-b776-09660ed84ae9" TargetMode="External" Id="rId118"/><Relationship Type="http://schemas.openxmlformats.org/officeDocument/2006/relationships/hyperlink" Target="https://www.tdlr.texas.gov/TABS/Search/Print/TABS2026016466" TargetMode="External" Id="rId119"/><Relationship Type="http://schemas.openxmlformats.org/officeDocument/2006/relationships/hyperlink" Target="https://www.nrg.com/assets/documents/case-studies/elbow-battery/2021-operation-phase-annual-report.pdf" TargetMode="External" Id="rId120"/><Relationship Type="http://schemas.openxmlformats.org/officeDocument/2006/relationships/hyperlink" Target="https://cpv.com/2025/10/30/cpv-basin-ranch-and-texas-energy-fund-ink-deal-for-1350-mw-ercot-project/" TargetMode="External" Id="rId121"/><Relationship Type="http://schemas.openxmlformats.org/officeDocument/2006/relationships/hyperlink" Target="https://www.gemmapower.com/contact/" TargetMode="External" Id="rId122"/><Relationship Type="http://schemas.openxmlformats.org/officeDocument/2006/relationships/hyperlink" Target="https://cpv.com/contact-us/" TargetMode="External" Id="rId123"/><Relationship Type="http://schemas.openxmlformats.org/officeDocument/2006/relationships/hyperlink" Target="https://www.sec.gov/Archives/edgar/data/1611005/000117891326001842/zk2634883.htm" TargetMode="External" Id="rId124"/><Relationship Type="http://schemas.openxmlformats.org/officeDocument/2006/relationships/hyperlink" Target="https://www.sec.gov/Archives/edgar/data/1611005/000117891325003891/exhibit_99-1.htm" TargetMode="External" Id="rId125"/><Relationship Type="http://schemas.openxmlformats.org/officeDocument/2006/relationships/hyperlink" Target="https://www.thriveinspi.org/resources/a6e96b79-67aa-448a-8fd1-54b1f1430d3a/llec%20fact%20sheet.pdf?trackid=llec+fact+sheet.pdf" TargetMode="External" Id="rId126"/><Relationship Type="http://schemas.openxmlformats.org/officeDocument/2006/relationships/hyperlink" Target="https://emberclear.com/about-us/" TargetMode="External" Id="rId127"/><Relationship Type="http://schemas.openxmlformats.org/officeDocument/2006/relationships/hyperlink" Target="https://kilby.com/project/" TargetMode="External" Id="rId128"/><Relationship Type="http://schemas.openxmlformats.org/officeDocument/2006/relationships/hyperlink" Target="https://www.bechtel.com/wp-content/uploads/2026/05/5.18.26-Project-Opportunity-Report.pdf" TargetMode="External" Id="rId129"/><Relationship Type="http://schemas.openxmlformats.org/officeDocument/2006/relationships/hyperlink" Target="https://frontier-companies.com/shippingport-industrial-park/" TargetMode="External" Id="rId130"/><Relationship Type="http://schemas.openxmlformats.org/officeDocument/2006/relationships/hyperlink" Target="https://frontier-companies.com/frontier-group-of-companies-welcomes-senator-dave-mccormick-to-shippingport-industrial-park/" TargetMode="External" Id="rId131"/><Relationship Type="http://schemas.openxmlformats.org/officeDocument/2006/relationships/hyperlink" Target="https://frontier-companies.com/contact-us/" TargetMode="External" Id="rId132"/><Relationship Type="http://schemas.openxmlformats.org/officeDocument/2006/relationships/hyperlink" Target="https://assets.comptroller.texas.gov/dat/ch313/1993/01993-772-2024-0812-MCA-195901-PBT.pdf" TargetMode="External" Id="rId133"/><Relationship Type="http://schemas.openxmlformats.org/officeDocument/2006/relationships/hyperlink" Target="https://assets.comptroller.texas.gov/ch313/1993/1993-pecos-vpn-app.pdf" TargetMode="External" Id="rId134"/><Relationship Type="http://schemas.openxmlformats.org/officeDocument/2006/relationships/hyperlink" Target="https://kilby.com/contact/" TargetMode="External" Id="rId135"/></Relationships>
</file>

<file path=xl/worksheets/_rels/sheet7.xml.rels><Relationships xmlns="http://schemas.openxmlformats.org/package/2006/relationships"><Relationship Type="http://schemas.openxmlformats.org/officeDocument/2006/relationships/hyperlink" Target="https://www.nbc26.com/lakeshore/two-natural-gas-power-plants-proposed-in-brillion" TargetMode="External" Id="rId1"/><Relationship Type="http://schemas.openxmlformats.org/officeDocument/2006/relationships/hyperlink" Target="https://apps.dnr.wi.gov/warp_ext/am_permittracking2.aspx?id=38822" TargetMode="External" Id="rId2"/><Relationship Type="http://schemas.openxmlformats.org/officeDocument/2006/relationships/hyperlink" Target="https://www.wpr.org/news/energy-developer-planning-2-gigawatt-natural-gas-plants-northeast-wisconsin" TargetMode="External" Id="rId3"/><Relationship Type="http://schemas.openxmlformats.org/officeDocument/2006/relationships/hyperlink" Target="https://www.entergy.com/news/construction-nears-completion-on-entergy-texas-orange-county-advanced-power-station" TargetMode="External" Id="rId4"/><Relationship Type="http://schemas.openxmlformats.org/officeDocument/2006/relationships/hyperlink" Target="https://www.entergy.com/news/entergy-texas-orange-county-advanced-power-station-begins-delivering-reliable-power-to-southeast-texas" TargetMode="External" Id="rId5"/><Relationship Type="http://schemas.openxmlformats.org/officeDocument/2006/relationships/hyperlink" Target="https://www.sargentlundy.com/projects/orange-county-advanced-power-station/" TargetMode="External" Id="rId6"/><Relationship Type="http://schemas.openxmlformats.org/officeDocument/2006/relationships/hyperlink" Target="https://www.entergy.com/news/media-kit" TargetMode="External" Id="rId7"/><Relationship Type="http://schemas.openxmlformats.org/officeDocument/2006/relationships/hyperlink" Target="https://gov.texas.gov/news/post/governor-abbott-announces-texas-energy-fund-loan-for-860-mw-of-new-power-in-west-texas" TargetMode="External" Id="rId8"/><Relationship Type="http://schemas.openxmlformats.org/officeDocument/2006/relationships/hyperlink" Target="https://www.georgiapower.com/news-hub/press-releases/first-new-natural-gas-turbine-delivered-to-georgia-power-plant-yates.html" TargetMode="External" Id="rId9"/><Relationship Type="http://schemas.openxmlformats.org/officeDocument/2006/relationships/hyperlink" Target="https://power.mhi.com/regions/amer/news/250819" TargetMode="External" Id="rId10"/><Relationship Type="http://schemas.openxmlformats.org/officeDocument/2006/relationships/hyperlink" Target="https://www.bv.com/en-US/projects/gas-fired-power-plant-project-defies-challenges-to-deliver-safe-reliable-power" TargetMode="External" Id="rId11"/><Relationship Type="http://schemas.openxmlformats.org/officeDocument/2006/relationships/hyperlink" Target="https://apps.apsc.arkansas.gov/pdf/24/24-072-U_67_1.pdf" TargetMode="External" Id="rId12"/><Relationship Type="http://schemas.openxmlformats.org/officeDocument/2006/relationships/hyperlink" Target="https://www.arkansasonline.com/news/2026/aug/21/entergy-breaks-ground-on-ironwood-power-station/" TargetMode="External" Id="rId13"/><Relationship Type="http://schemas.openxmlformats.org/officeDocument/2006/relationships/hyperlink" Target="https://adeq.state.ar.us/downloads/WebDatabases/PermitsOnline/NPDES/PermitInformation/AR0001147_Certificate%20of%20Service%20Letter_20260430.pdf" TargetMode="External" Id="rId14"/><Relationship Type="http://schemas.openxmlformats.org/officeDocument/2006/relationships/hyperlink" Target="https://adeq.state.ar.us/downloads/WebDatabases/PermitsOnline/Air/1717-AOP-R9.pdf" TargetMode="External" Id="rId15"/><Relationship Type="http://schemas.openxmlformats.org/officeDocument/2006/relationships/hyperlink" Target="https://arkansasstatechamber.com/team-member/kendall-thornton/" TargetMode="External" Id="rId16"/><Relationship Type="http://schemas.openxmlformats.org/officeDocument/2006/relationships/hyperlink" Target="https://www.linkedin.com/in/reesjason/" TargetMode="External" Id="rId17"/><Relationship Type="http://schemas.openxmlformats.org/officeDocument/2006/relationships/hyperlink" Target="https://www.entergy.com/suppliers/how" TargetMode="External" Id="rId18"/><Relationship Type="http://schemas.openxmlformats.org/officeDocument/2006/relationships/hyperlink" Target="https://supplier.entergy.com/psc/supprd/SUPPLIER/ERP/c/SCP_PUBLIC_MENU_FL.SCP_PUB_FAQ_CMP_FL.GBL" TargetMode="External" Id="rId19"/><Relationship Type="http://schemas.openxmlformats.org/officeDocument/2006/relationships/hyperlink" Target="https://starw1.ncuc.gov/NCUC/ViewFile.aspx?Id=5552fef5-9b1f-4e88-b9ca-0e649dafdbb5" TargetMode="External" Id="rId20"/><Relationship Type="http://schemas.openxmlformats.org/officeDocument/2006/relationships/hyperlink" Target="https://zachrygroup.com/press-releases/Duke_Energy_Awards_EPC_Contract_for_the_first_Person_County_Combined_Cycle_Project_to_Zachry_Group.html" TargetMode="External" Id="rId21"/><Relationship Type="http://schemas.openxmlformats.org/officeDocument/2006/relationships/hyperlink" Target="https://www.cbs17.com/news/local-news/duke-energy-planning-for-natural-gas-plants-in-roxboro/" TargetMode="External" Id="rId22"/><Relationship Type="http://schemas.openxmlformats.org/officeDocument/2006/relationships/hyperlink" Target="https://www.linkedin.com/in/stacy-hickman/" TargetMode="External" Id="rId23"/><Relationship Type="http://schemas.openxmlformats.org/officeDocument/2006/relationships/hyperlink" Target="https://www.entergy.com/blog/delta-blues-reaches-important-milestone-in-construction" TargetMode="External" Id="rId24"/><Relationship Type="http://schemas.openxmlformats.org/officeDocument/2006/relationships/hyperlink" Target="https://www.entergy.com/news/entergy-mississippi-breaks-ground-on-delta-blues-advanced-power-station" TargetMode="External" Id="rId25"/><Relationship Type="http://schemas.openxmlformats.org/officeDocument/2006/relationships/hyperlink" Target="https://www.vicksburgpost.com/news/vicksburg-board-grants-conditional-fee-waiver-for-new-entergy-power-plant-3320f9d2" TargetMode="External" Id="rId26"/><Relationship Type="http://schemas.openxmlformats.org/officeDocument/2006/relationships/hyperlink" Target="https://www.in.gov/iurc/files/ord_46295_123025.pdf" TargetMode="External" Id="rId27"/><Relationship Type="http://schemas.openxmlformats.org/officeDocument/2006/relationships/hyperlink" Target="https://www.insideindianabusiness.com/articles/indiana-michigan-power-seeks-to-acquire-sullivan-county-natural-gas-plant" TargetMode="External" Id="rId28"/><Relationship Type="http://schemas.openxmlformats.org/officeDocument/2006/relationships/hyperlink" Target="https://apps.dnr.wi.gov/warp_ext/am_permittracking2.aspx?id=38822" TargetMode="External" Id="rId29"/><Relationship Type="http://schemas.openxmlformats.org/officeDocument/2006/relationships/hyperlink" Target="https://www.aep.com/news/stories/view/11850/" TargetMode="External" Id="rId30"/><Relationship Type="http://schemas.openxmlformats.org/officeDocument/2006/relationships/hyperlink" Target="https://www.in.gov/iurc/files/ord_46238_091025.pdf" TargetMode="External" Id="rId31"/><Relationship Type="http://schemas.openxmlformats.org/officeDocument/2006/relationships/hyperlink" Target="https://www.boldt.com/discover/sycamore-riverside-energy-center/" TargetMode="External" Id="rId32"/><Relationship Type="http://schemas.openxmlformats.org/officeDocument/2006/relationships/hyperlink" Target="https://lpscpubvalence.lpsc.louisiana.gov/portal/PSC/ViewFile?fileId=hsljNiQroZw%3D" TargetMode="External" Id="rId33"/><Relationship Type="http://schemas.openxmlformats.org/officeDocument/2006/relationships/hyperlink" Target="https://www.osti.gov/servlets/purl/1884860" TargetMode="External" Id="rId34"/><Relationship Type="http://schemas.openxmlformats.org/officeDocument/2006/relationships/hyperlink" Target="https://www.entergy.com/news/entergy-louisiana-breaks-ground-on-new-state-of-the-art-generation-facilities-to-power-reliability-growth-and-innovation" TargetMode="External" Id="rId35"/><Relationship Type="http://schemas.openxmlformats.org/officeDocument/2006/relationships/hyperlink" Target="https://nudc.com/staff-and-executive-leadership/board-directors/james-nbsp-w.-nbsp-niemiec-nbsp/" TargetMode="External" Id="rId36"/><Relationship Type="http://schemas.openxmlformats.org/officeDocument/2006/relationships/hyperlink" Target="https://www.entergy.com/leadership/kimberly-cook-nelson" TargetMode="External" Id="rId37"/><Relationship Type="http://schemas.openxmlformats.org/officeDocument/2006/relationships/hyperlink" Target="https://www.opportunitylouisiana.gov/news/entergy-louisiana-breaks-ground-on-new-state-of-the-art-generation-facilities-to-power-reliability-growth-and-innovation" TargetMode="External" Id="rId38"/><Relationship Type="http://schemas.openxmlformats.org/officeDocument/2006/relationships/hyperlink" Target="https://lpscpubvalence.lpsc.louisiana.gov/portal/PSC/ViewFile?fileId=hsljNiQroZw%3D" TargetMode="External" Id="rId39"/><Relationship Type="http://schemas.openxmlformats.org/officeDocument/2006/relationships/hyperlink" Target="https://www.osti.gov/servlets/purl/1884860" TargetMode="External" Id="rId40"/><Relationship Type="http://schemas.openxmlformats.org/officeDocument/2006/relationships/hyperlink" Target="https://citizenportal.ai/articles/6476185/Louisiana/St-Charles-Parish/Entergy-announces-plans-for-two-new-combined-cycle-units-at-Waterford-site-cites-2B-plus-investment-and-local-jobs" TargetMode="External" Id="rId41"/><Relationship Type="http://schemas.openxmlformats.org/officeDocument/2006/relationships/hyperlink" Target="https://www.ticus.com/entergy-program/" TargetMode="External" Id="rId42"/><Relationship Type="http://schemas.openxmlformats.org/officeDocument/2006/relationships/hyperlink" Target="https://www.ibj.com/articles/as-aes-indiana-abandons-coal-capacity-questions-arise" TargetMode="External" Id="rId43"/><Relationship Type="http://schemas.openxmlformats.org/officeDocument/2006/relationships/hyperlink" Target="https://www.businesswire.com/news/home/20241114839613/en" TargetMode="External" Id="rId44"/><Relationship Type="http://schemas.openxmlformats.org/officeDocument/2006/relationships/hyperlink" Target="https://insideindianabusiness.com/?p=176496" TargetMode="External" Id="rId45"/><Relationship Type="http://schemas.openxmlformats.org/officeDocument/2006/relationships/hyperlink" Target="https://www.tribtoday.com/news/local-news/2026/06/trumbull-energy-center-complete/" TargetMode="External" Id="rId46"/><Relationship Type="http://schemas.openxmlformats.org/officeDocument/2006/relationships/hyperlink" Target="https://www.mahoningmatters.com/news/local/article316266623.html" TargetMode="External" Id="rId47"/><Relationship Type="http://schemas.openxmlformats.org/officeDocument/2006/relationships/hyperlink" Target="https://www.businesswire.com/news/home/20221108006189/en" TargetMode="External" Id="rId48"/><Relationship Type="http://schemas.openxmlformats.org/officeDocument/2006/relationships/hyperlink" Target="https://www.roic.ai/quote/WMB/transcripts/2026-year/2-quarter" TargetMode="External" Id="rId49"/><Relationship Type="http://schemas.openxmlformats.org/officeDocument/2006/relationships/hyperlink" Target="https://www.businesswire.com/news/home/20260401716982/en/Homer-City-Redevelopment-Crosses-the-First-Steel-Threshold" TargetMode="External" Id="rId50"/><Relationship Type="http://schemas.openxmlformats.org/officeDocument/2006/relationships/hyperlink" Target="https://www.businesswire.com/news/home/20260401716982/en/Homer-City-Redevelopment-Crosses-the-First-Steel-Threshold" TargetMode="External" Id="rId51"/><Relationship Type="http://schemas.openxmlformats.org/officeDocument/2006/relationships/hyperlink" Target="https://www.silicon.co.uk/press-release/homer-city-redevelopment-appoints-corey-hessen-as-ceo" TargetMode="External" Id="rId52"/><Relationship Type="http://schemas.openxmlformats.org/officeDocument/2006/relationships/hyperlink" Target="https://interchange.puc.texas.gov/Documents/56455_62_1398423.PDF" TargetMode="External" Id="rId53"/><Relationship Type="http://schemas.openxmlformats.org/officeDocument/2006/relationships/hyperlink" Target="https://www.tceq.texas.gov/downloads/agency/decisions/hearings/notices/2025/2025-04-24-sl-energy-power-plant-i-177380-pm.pdf" TargetMode="External" Id="rId54"/><Relationship Type="http://schemas.openxmlformats.org/officeDocument/2006/relationships/hyperlink" Target="https://www.businesswire.com/news/home/20250206210188/en/Argan-Inc.s-Gemma-Power-Systems-Executes-EPC-Contract-for-a-1.2-GW-Power-Project-in-Texas" TargetMode="External" Id="rId55"/><Relationship Type="http://schemas.openxmlformats.org/officeDocument/2006/relationships/hyperlink" Target="https://finance.yahoo.com/sectors/energy/articles/kindle-energy-breaks-ground-blackstone-173000184.html" TargetMode="External" Id="rId56"/><Relationship Type="http://schemas.openxmlformats.org/officeDocument/2006/relationships/hyperlink" Target="https://wolf-summit.com/" TargetMode="External" Id="rId57"/><Relationship Type="http://schemas.openxmlformats.org/officeDocument/2006/relationships/hyperlink" Target="https://wolf-summit.com/" TargetMode="External" Id="rId58"/><Relationship Type="http://schemas.openxmlformats.org/officeDocument/2006/relationships/hyperlink" Target="https://www.businesswire.com/news/home/20251113050904/en/Blackstone-Energy-Transition-Partners-Announces-1.2-Billion-Investment-to-Build-First-ever-Natural-Gas-Power-Generation-Facility-in-West-Virginia" TargetMode="External" Id="rId59"/><Relationship Type="http://schemas.openxmlformats.org/officeDocument/2006/relationships/hyperlink" Target="https://finance.yahoo.com/sectors/energy/articles/kindle-energy-breaks-ground-blackstone-173000184.html" TargetMode="External" Id="rId60"/><Relationship Type="http://schemas.openxmlformats.org/officeDocument/2006/relationships/hyperlink" Target="https://gov.texas.gov/news/post/governor-abbott-announces-texas-energy-fund-loan-to-721-mw-natural-gas-facility-in-southeast-texas" TargetMode="External" Id="rId61"/><Relationship Type="http://schemas.openxmlformats.org/officeDocument/2006/relationships/hyperlink" Target="https://cpv.com/2025/11/20/cpv-basin-ranch-energy-center-breaks-ground-in-ward-county-texas/" TargetMode="External" Id="rId62"/><Relationship Type="http://schemas.openxmlformats.org/officeDocument/2006/relationships/hyperlink" Target="https://cpv.com/2025/11/20/cpv-basin-ranch-energy-center-breaks-ground-in-ward-county-texas/" TargetMode="External" Id="rId63"/><Relationship Type="http://schemas.openxmlformats.org/officeDocument/2006/relationships/hyperlink" Target="https://www.businesswire.com/news/home/20251030500209/en/Argan-Inc.s-Gemma-Power-Systems-Receives-Full-Notice-to-Proceed-on-EPC-Contract-for-1350-MW-Combined-Cycle-Power-Plant-in-Texas" TargetMode="External" Id="rId64"/><Relationship Type="http://schemas.openxmlformats.org/officeDocument/2006/relationships/hyperlink" Target="https://cpv.com/2026/08/12/cpv-secures-10-year-gas-netback-with-eqt-to-supply-2-gw-cpv-shay-energy-center/" TargetMode="External" Id="rId65"/><Relationship Type="http://schemas.openxmlformats.org/officeDocument/2006/relationships/hyperlink" Target="https://www.presspublications.com/stories/natural-gas-power-plant-oregon-ohio-reliability-resource-initiative-pjm,58407" TargetMode="External" Id="rId66"/><Relationship Type="http://schemas.openxmlformats.org/officeDocument/2006/relationships/hyperlink" Target="https://www.springfield.il.us/Docs/EmberClearPresentation.pdf" TargetMode="External" Id="rId67"/><Relationship Type="http://schemas.openxmlformats.org/officeDocument/2006/relationships/hyperlink" Target="https://www.thriveinspi.org/resources/a6e96b79-67aa-448a-8fd1-54b1f1430d3a/llec%20fact%20sheet.pdf?trackid=llec+fact+sheet.pdf" TargetMode="External" Id="rId68"/><Relationship Type="http://schemas.openxmlformats.org/officeDocument/2006/relationships/hyperlink" Target="https://www.illinoistimes.com/news/data-center-development-linked-to-power-plant-construction/" TargetMode="External" Id="rId69"/><Relationship Type="http://schemas.openxmlformats.org/officeDocument/2006/relationships/hyperlink" Target="https://pureai.com/articles/2026/06/22/microsoft-and-chevron-team-up-on-texas-power-strategy-for-major-ai-datacenter-expansion.aspx" TargetMode="External" Id="rId70"/><Relationship Type="http://schemas.openxmlformats.org/officeDocument/2006/relationships/hyperlink" Target="https://www.businesswire.com/news/home/20260622017964/en/Chevron-Signs-20-Year-Power-Agreement-with-Microsoft-for-West-Texas-Data-Center" TargetMode="External" Id="rId71"/><Relationship Type="http://schemas.openxmlformats.org/officeDocument/2006/relationships/hyperlink" Target="https://energycapitalhtx.com/joulent-launches-data-centers" TargetMode="External" Id="rId72"/><Relationship Type="http://schemas.openxmlformats.org/officeDocument/2006/relationships/hyperlink" Target="https://frontier-companies.com/frontier-group-of-companies-welcomes-senator-dave-mccormick-to-shippingport-industrial-park/" TargetMode="External" Id="rId73"/><Relationship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 Id="rId74"/><Relationship Type="http://schemas.openxmlformats.org/officeDocument/2006/relationships/hyperlink" Target="https://frontier-companies.com/frontier-group-of-companies-welcomes-senator-dave-mccormick-to-shippingport-industrial-park/" TargetMode="External" Id="rId75"/><Relationship Type="http://schemas.openxmlformats.org/officeDocument/2006/relationships/hyperlink" Target="https://sycamoreriverside.invenergy.com/contact-us" TargetMode="External" Id="rId76"/><Relationship Type="http://schemas.openxmlformats.org/officeDocument/2006/relationships/hyperlink" Target="https://sycamoreriverside.invenergy.com/contact-us" TargetMode="External" Id="rId77"/><Relationship Type="http://schemas.openxmlformats.org/officeDocument/2006/relationships/hyperlink" Target="https://vistracorp.com/supply-chain/how-do-we-source/" TargetMode="External" Id="rId78"/><Relationship Type="http://schemas.openxmlformats.org/officeDocument/2006/relationships/hyperlink" Target="https://vistracorp.com/supply-chain/how-do-we-source/" TargetMode="External" Id="rId79"/><Relationship Type="http://schemas.openxmlformats.org/officeDocument/2006/relationships/hyperlink" Target="https://www.trumbullenergycenter.com/" TargetMode="External" Id="rId80"/><Relationship Type="http://schemas.openxmlformats.org/officeDocument/2006/relationships/hyperlink" Target="https://www.trumbullenergycenter.com/" TargetMode="External" Id="rId81"/><Relationship Type="http://schemas.openxmlformats.org/officeDocument/2006/relationships/hyperlink" Target="https://www.williams.com/expansion-project/socrates-power-solution-facilities/" TargetMode="External" Id="rId82"/><Relationship Type="http://schemas.openxmlformats.org/officeDocument/2006/relationships/hyperlink" Target="https://www.williams.com/expansion-project/socrates-power-solution-facilities/" TargetMode="External" Id="rId83"/><Relationship Type="http://schemas.openxmlformats.org/officeDocument/2006/relationships/hyperlink" Target="https://www.homercityredevelopment.com/faq" TargetMode="External" Id="rId84"/><Relationship Type="http://schemas.openxmlformats.org/officeDocument/2006/relationships/hyperlink" Target="https://www.homercityredevelopment.com/faq" TargetMode="External" Id="rId85"/><Relationship Type="http://schemas.openxmlformats.org/officeDocument/2006/relationships/hyperlink" Target="https://www.tceq.texas.gov/downloads/agency/decisions/agendas/backup/2025/2025-1310-air-picr.pdf" TargetMode="External" Id="rId86"/><Relationship Type="http://schemas.openxmlformats.org/officeDocument/2006/relationships/hyperlink" Target="https://www.tceq.texas.gov/downloads/agency/decisions/agendas/backup/2025/2025-1310-air-picr.pdf" TargetMode="External" Id="rId87"/><Relationship Type="http://schemas.openxmlformats.org/officeDocument/2006/relationships/hyperlink" Target="https://www.tdlr.texas.gov/TABS/Search/Print/TABS2026016466" TargetMode="External" Id="rId88"/><Relationship Type="http://schemas.openxmlformats.org/officeDocument/2006/relationships/hyperlink" Target="https://www.tdlr.texas.gov/TABS/Search/Print/TABS2026016466" TargetMode="External" Id="rId89"/><Relationship Type="http://schemas.openxmlformats.org/officeDocument/2006/relationships/hyperlink" Target="https://cpv.com/2026/08/12/cpv-secures-10-year-gas-netback-with-eqt-to-supply-2-gw-cpv-shay-energy-center/" TargetMode="External" Id="rId90"/><Relationship Type="http://schemas.openxmlformats.org/officeDocument/2006/relationships/hyperlink" Target="https://cpv.com/2026/08/12/cpv-secures-10-year-gas-netback-with-eqt-to-supply-2-gw-cpv-shay-energy-center/" TargetMode="External" Id="rId91"/><Relationship Type="http://schemas.openxmlformats.org/officeDocument/2006/relationships/hyperlink" Target="https://www.bechtel.com/wp-content/uploads/2026/05/5.18.26-Project-Opportunity-Report.pdf" TargetMode="External" Id="rId92"/><Relationship Type="http://schemas.openxmlformats.org/officeDocument/2006/relationships/hyperlink" Target="https://www.bechtel.com/wp-content/uploads/2026/05/5.18.26-Project-Opportunity-Report.pdf" TargetMode="External" Id="rId93"/><Relationship Type="http://schemas.openxmlformats.org/officeDocument/2006/relationships/hyperlink" Target="https://www.bechtel.com/wp-content/uploads/2026/05/5.18.26-Project-Opportunity-Report.pdf" TargetMode="External" Id="rId94"/><Relationship Type="http://schemas.openxmlformats.org/officeDocument/2006/relationships/hyperlink" Target="https://www.bechtel.com/wp-content/uploads/2026/05/5.18.26-Project-Opportunity-Report.pdf" TargetMode="External" Id="rId95"/><Relationship Type="http://schemas.openxmlformats.org/officeDocument/2006/relationships/hyperlink" Target="https://kilby.com/contact/" TargetMode="External" Id="rId96"/><Relationship Type="http://schemas.openxmlformats.org/officeDocument/2006/relationships/hyperlink" Target="https://kilby.com/contact/" TargetMode="External" Id="rId97"/><Relationship Type="http://schemas.openxmlformats.org/officeDocument/2006/relationships/hyperlink" Target="https://frontier-companies.com/contact-us/" TargetMode="External" Id="rId98"/><Relationship Type="http://schemas.openxmlformats.org/officeDocument/2006/relationships/hyperlink" Target="https://frontier-companies.com/contact-us/" TargetMode="External" Id="rId99"/><Relationship Type="http://schemas.openxmlformats.org/officeDocument/2006/relationships/hyperlink" Target="https://frontier-companies.com/contact-us/" TargetMode="External" Id="rId100"/><Relationship Type="http://schemas.openxmlformats.org/officeDocument/2006/relationships/hyperlink" Target="https://frontier-companies.com/contact-us/" TargetMode="External" Id="rId101"/><Relationship Type="http://schemas.openxmlformats.org/officeDocument/2006/relationships/hyperlink" Target="https://frontier-companies.com/contact-us/" TargetMode="External" Id="rId102"/><Relationship Type="http://schemas.openxmlformats.org/officeDocument/2006/relationships/hyperlink" Target="https://frontier-companies.com/contact-us/" TargetMode="External" Id="rId103"/><Relationship Type="http://schemas.openxmlformats.org/officeDocument/2006/relationships/hyperlink" Target="https://assets.comptroller.texas.gov/dat/ch313/1993/01993-772-2024-0812-MCA-195901-PBT.pdf" TargetMode="External" Id="rId104"/><Relationship Type="http://schemas.openxmlformats.org/officeDocument/2006/relationships/hyperlink" Target="https://assets.comptroller.texas.gov/dat/ch313/1993/01993-772-2024-0812-MCA-195901-PBT.pdf" TargetMode="External" Id="rId105"/><Relationship Type="http://schemas.openxmlformats.org/officeDocument/2006/relationships/hyperlink" Target="https://www.gemmapower.com/contact/" TargetMode="External" Id="rId106"/><Relationship Type="http://schemas.openxmlformats.org/officeDocument/2006/relationships/hyperlink" Target="https://www.gemmapower.com/contact/" TargetMode="External" Id="rId107"/><Relationship Type="http://schemas.openxmlformats.org/officeDocument/2006/relationships/hyperlink" Target="https://cdn.bfldr.com/E1EVDN8O/at/bz4ct6npstkxw48b6n9zm9j8/Oracle_Cloud_Azure_MFA_Registration_Step_Guide_19Jun2024.pdf" TargetMode="External" Id="rId108"/><Relationship Type="http://schemas.openxmlformats.org/officeDocument/2006/relationships/hyperlink" Target="https://cdn.bfldr.com/E1EVDN8O/at/bz4ct6npstkxw48b6n9zm9j8/Oracle_Cloud_Azure_MFA_Registration_Step_Guide_19Jun2024.pdf" TargetMode="External" Id="rId109"/><Relationship Type="http://schemas.openxmlformats.org/officeDocument/2006/relationships/hyperlink" Target="https://zachrygroup.com/procurement" TargetMode="External" Id="rId110"/><Relationship Type="http://schemas.openxmlformats.org/officeDocument/2006/relationships/hyperlink" Target="https://zachrygroup.com/procurement" TargetMode="External" Id="rId111"/><Relationship Type="http://schemas.openxmlformats.org/officeDocument/2006/relationships/hyperlink" Target="https://www.babcock.com/contact-us" TargetMode="External" Id="rId112"/><Relationship Type="http://schemas.openxmlformats.org/officeDocument/2006/relationships/hyperlink" Target="https://www.babcock.com/contact-us" TargetMode="External" Id="rId113"/><Relationship Type="http://schemas.openxmlformats.org/officeDocument/2006/relationships/hyperlink" Target="https://emberclear.com/lincoln-land-2/" TargetMode="External" Id="rId114"/><Relationship Type="http://schemas.openxmlformats.org/officeDocument/2006/relationships/hyperlink" Target="https://emberclear.com/lincoln-land-2/" TargetMode="External" Id="rId115"/></Relationships>
</file>

<file path=xl/worksheets/_rels/sheet8.xml.rels><Relationships xmlns="http://schemas.openxmlformats.org/package/2006/relationships"><Relationship Type="http://schemas.openxmlformats.org/officeDocument/2006/relationships/hyperlink" Target="https://forestjunctionenergycenter.invenergy.com/news-and-resources" TargetMode="External" Id="rId1"/><Relationship Type="http://schemas.openxmlformats.org/officeDocument/2006/relationships/hyperlink" Target="https://www.entergy.com/news/entergy-texas-orange-county-advanced-power-station-begins-delivering-reliable-power-to-southeast-texas" TargetMode="External" Id="rId2"/><Relationship Type="http://schemas.openxmlformats.org/officeDocument/2006/relationships/hyperlink" Target="https://hub.vistracorp.com/vistra-announces-plans-to-build-new-dispatchable-generation-in-texas/" TargetMode="External" Id="rId3"/><Relationship Type="http://schemas.openxmlformats.org/officeDocument/2006/relationships/hyperlink" Target="https://www.georgiapower.com/news-hub/press-releases/turbine-generator-unit-9-plant-yates.html | https://d18rn0p25nwr6d.cloudfront.net/CIK-0000092122/32961fa3-bbf4-4ea2-8851-611fe309e97e.pdf" TargetMode="External" Id="rId4"/><Relationship Type="http://schemas.openxmlformats.org/officeDocument/2006/relationships/hyperlink" Target="https://www.entergy.com/news/entergy-arkansas-breaks-ground-on-ironwood-power-station" TargetMode="External" Id="rId5"/><Relationship Type="http://schemas.openxmlformats.org/officeDocument/2006/relationships/hyperlink" Target="https://zachrygroup.com/press-releases/Duke_Energy_Awards_EPC_Contract_for_the_first_Person_County_Combined_Cycle_Project_to_Zachry_Group.html" TargetMode="External" Id="rId6"/><Relationship Type="http://schemas.openxmlformats.org/officeDocument/2006/relationships/hyperlink" Target="https://www.entergy.com/blog/delta-blues-reaches-important-milestone-in-construction" TargetMode="External" Id="rId7"/><Relationship Type="http://schemas.openxmlformats.org/officeDocument/2006/relationships/hyperlink" Target="https://www.entergymississippi.com/generation/vicksburg" TargetMode="External" Id="rId8"/><Relationship Type="http://schemas.openxmlformats.org/officeDocument/2006/relationships/hyperlink" Target="https://www.aep.com/news/stories/view/11850/" TargetMode="External" Id="rId9"/><Relationship Type="http://schemas.openxmlformats.org/officeDocument/2006/relationships/hyperlink" Target="https://www.entergy.com/news/entergy-louisiana-breaks-ground-on-new-state-of-the-art-generation-facilities-to-power-reliability-growth-and-innovation" TargetMode="External" Id="rId10"/><Relationship Type="http://schemas.openxmlformats.org/officeDocument/2006/relationships/hyperlink" Target="https://www.entergylouisiana.com/waterford5-6" TargetMode="External" Id="rId11"/><Relationship Type="http://schemas.openxmlformats.org/officeDocument/2006/relationships/hyperlink" Target="https://www.aesindiana.com/pike-county | https://www.babcock.com/home/about/corporate/news/babcock-and-wilcox-receives-full-notice-to-proceed-on-246-million-contract-for-indiana-power-plant-coal-to-gas-fuel-switching-project" TargetMode="External" Id="rId12"/><Relationship Type="http://schemas.openxmlformats.org/officeDocument/2006/relationships/hyperlink" Target="https://www.trumbullenergycenter.com/ | https://org-www.hanwha.com/newsroom/news/press-releases/hanwha-power-enters-us-market-with-successful-commissioning-of-trumbull-energy-center-combined-cycle-gas-turbine-power-plant.do" TargetMode="External" Id="rId13"/><Relationship Type="http://schemas.openxmlformats.org/officeDocument/2006/relationships/hyperlink" Target="https://www.williams.com/expansion-project/socrates-power-solution-facilities/ | https://www.williams.com/wp-content/uploads/sites/14/2026/02/Socrates-North-and-South-Fact-Sheet-1.pdf | https://investor.williams.com/static-files/dde1b8eb-5802-4e4c-aa89-84c4d8611d56" TargetMode="External" Id="rId14"/><Relationship Type="http://schemas.openxmlformats.org/officeDocument/2006/relationships/hyperlink" Target="https://www.williams.com/expansion-project/socrates-power-solution-facilities/ | https://www.williams.com/wp-content/uploads/sites/14/2026/02/Socrates-North-and-South-Fact-Sheet-1.pdf | https://investor.williams.com/static-files/dde1b8eb-5802-4e4c-aa89-84c4d8611d56" TargetMode="External" Id="rId15"/><Relationship Type="http://schemas.openxmlformats.org/officeDocument/2006/relationships/hyperlink" Target="https://www.homercityredevelopment.com/faq" TargetMode="External" Id="rId16"/><Relationship Type="http://schemas.openxmlformats.org/officeDocument/2006/relationships/hyperlink" Target="https://slectx.com/argan-inc-gemma-electrify-tx/ | https://xebecrealty.com/leadership/gretchen-kendrick/ | https://www.tceq.texas.gov/downloads/agency/decisions/hearings/notices/2025/2025-04-24-sl-energy-power-plant-i-177380-pm.pdf | https://www.tceq.texas.gov/downloads/agency/decisions/agendas/backup/2025/2025-1310-air-picr.pdf" TargetMode="External" Id="rId17"/><Relationship Type="http://schemas.openxmlformats.org/officeDocument/2006/relationships/hyperlink" Target="https://kindle-energy.com/case-studies/wolf-summit | https://wolf-summit.com/" TargetMode="External" Id="rId18"/><Relationship Type="http://schemas.openxmlformats.org/officeDocument/2006/relationships/hyperlink" Target="https://investors.nrg.com/static-files/166760ef-79e6-4985-b776-09660ed84ae9 | https://www.tdlr.texas.gov/TABS/Search/Print/TABS2026016466 | https://www.nrg.com/assets/documents/case-studies/elbow-battery/2021-operation-phase-annual-report.pdf" TargetMode="External" Id="rId19"/><Relationship Type="http://schemas.openxmlformats.org/officeDocument/2006/relationships/hyperlink" Target="https://cpv.com/our-fleet/cpv-basin-ranch-energy-center/ | https://cpv.com/2025/10/30/cpv-basin-ranch-and-texas-energy-fund-ink-deal-for-1350-mw-ercot-project/" TargetMode="External" Id="rId20"/><Relationship Type="http://schemas.openxmlformats.org/officeDocument/2006/relationships/hyperlink" Target="https://cpv.com/our-fleet/cpv-shay-energy-center/ | https://cpv.com/2026/08/12/cpv-secures-10-year-gas-netback-with-eqt-to-supply-2-gw-cpv-shay-energy-center/" TargetMode="External" Id="rId21"/><Relationship Type="http://schemas.openxmlformats.org/officeDocument/2006/relationships/hyperlink" Target="https://www.sec.gov/Archives/edgar/data/1611005/000117891326001842/zk2634883.htm | https://www.sec.gov/Archives/edgar/data/1611005/000117891325003891/exhibit_99-1.htm" TargetMode="External" Id="rId22"/><Relationship Type="http://schemas.openxmlformats.org/officeDocument/2006/relationships/hyperlink" Target="https://emberclear.com/lincoln-land-2/ | https://www.thriveinspi.org/resources/a6e96b79-67aa-448a-8fd1-54b1f1430d3a/llec%20fact%20sheet.pdf?trackid=llec+fact+sheet.pdf | https://emberclear.com/about-us/ | https://www.illinoistimes.com/news/data-center-development-linked-to-power-plant-construction/" TargetMode="External" Id="rId23"/><Relationship Type="http://schemas.openxmlformats.org/officeDocument/2006/relationships/hyperlink" Target="https://kilby.com/project/ | https://www.chevron.com/newsroom/2026/q2/chevron-signs-20-year-power-agreement-with-microsoft-for-west-texas-data-center | https://www.bechtel.com/wp-content/uploads/2026/05/5.18.26-Project-Opportunity-Report.pdf" TargetMode="External" Id="rId24"/><Relationship Type="http://schemas.openxmlformats.org/officeDocument/2006/relationships/hyperlink" Target="https://frontier-companies.com/shippingport-industrial-park/ | https://frontier-companies.com/frontier-group-of-companies-welcomes-senator-dave-mccormick-to-shippingport-industrial-park/" TargetMode="External" Id="rId25"/><Relationship Type="http://schemas.openxmlformats.org/officeDocument/2006/relationships/hyperlink" Target="https://assets.comptroller.texas.gov/dat/ch313/1993/01993-772-2024-0812-MCA-195901-PBT.pdf | https://assets.comptroller.texas.gov/ch313/1993/1993-pecos-vpn-app.pdf | https://comptroller.texas.gov/economy/development/prop-tax/ch313/agreement-docs-details.php?id=1993" TargetMode="External" Id="rId26"/></Relationships>
</file>

<file path=xl/worksheets/sheet1.xml><?xml version="1.0" encoding="utf-8"?>
<worksheet xmlns="http://schemas.openxmlformats.org/spreadsheetml/2006/main">
  <sheetPr>
    <tabColor rgb="FF17324D"/>
    <outlinePr summaryBelow="1" summaryRight="1"/>
    <pageSetUpPr/>
  </sheetPr>
  <dimension ref="A1:AW206"/>
  <sheetViews>
    <sheetView showGridLines="0" workbookViewId="0">
      <pane xSplit="3" ySplit="6" topLeftCell="D7" activePane="bottomRight" state="frozen"/>
      <selection activeCell="A1" sqref="A1"/>
    </sheetView>
  </sheetViews>
  <sheetFormatPr baseColWidth="8" defaultRowHeight="15"/>
  <cols>
    <col width="29" customWidth="1" min="1" max="1"/>
    <col width="29" customWidth="1" min="2" max="2"/>
    <col width="20" customWidth="1" min="3" max="3"/>
    <col width="20" customWidth="1" min="4" max="4"/>
    <col width="20" customWidth="1" min="5" max="5"/>
    <col width="29" customWidth="1" min="6" max="6"/>
    <col width="29" customWidth="1" min="7" max="7"/>
    <col width="29" customWidth="1" min="8" max="8"/>
    <col width="21.60000038146973" customWidth="1" min="9" max="9"/>
    <col width="20" customWidth="1" min="10" max="10"/>
    <col width="20" customWidth="1" min="11" max="11"/>
    <col width="20" customWidth="1" min="12" max="12"/>
    <col width="20" customWidth="1" min="13" max="13"/>
    <col width="20.70000076293945" customWidth="1" min="14" max="14"/>
    <col width="20" customWidth="1" min="15" max="15"/>
    <col width="26.10000038146973" customWidth="1" min="16" max="16"/>
    <col width="20" customWidth="1" min="17" max="17"/>
    <col width="20" customWidth="1" min="18" max="18"/>
    <col width="20" customWidth="1" min="19" max="19"/>
    <col width="20" customWidth="1" min="20" max="20"/>
    <col width="20" customWidth="1" min="21" max="21"/>
    <col width="22.5"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45" customWidth="1" min="31" max="31"/>
    <col width="20" customWidth="1" min="32" max="32"/>
    <col width="20" customWidth="1" min="33" max="33"/>
    <col width="20" customWidth="1" min="34" max="34"/>
    <col width="20" customWidth="1" min="35" max="35"/>
    <col width="45" customWidth="1" min="36" max="36"/>
    <col width="45" customWidth="1" min="37" max="37"/>
    <col width="45" customWidth="1" min="38" max="38"/>
    <col width="20" customWidth="1" min="39" max="39"/>
    <col width="20" customWidth="1" min="40" max="40"/>
    <col width="26.10000038146973" customWidth="1" min="41" max="41"/>
    <col width="25.20000076293945" customWidth="1" min="42" max="42"/>
    <col width="25.20000076293945" customWidth="1" min="43" max="43"/>
    <col width="29" customWidth="1" min="44" max="44"/>
    <col width="20" customWidth="1" min="45" max="45"/>
    <col width="27.89999961853027" customWidth="1" min="46" max="46"/>
    <col width="20" customWidth="1" min="47" max="47"/>
    <col width="20" customWidth="1" min="48" max="48"/>
    <col width="22.5" customWidth="1" min="49" max="49"/>
  </cols>
  <sheetData>
    <row r="1" ht="22" customHeight="1">
      <c r="A1" s="35" t="inlineStr">
        <is>
          <t>Stephan Hardt | Power Generation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row>
    <row r="2" ht="30" customHeight="1">
      <c r="A2" s="4" t="inlineStr">
        <is>
          <t>Projects template</t>
        </is>
      </c>
      <c r="B2" s="5" t="n"/>
      <c r="C2" s="5" t="n"/>
      <c r="D2" s="5" t="n"/>
      <c r="E2" s="5" t="n"/>
      <c r="F2" s="5" t="n"/>
      <c r="G2" s="5" t="n"/>
      <c r="H2" s="5"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row>
    <row r="3" ht="22" customHeight="1">
      <c r="A3" s="6" t="inlineStr">
        <is>
          <t>One project per row. Select multiple products on Project Products.</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row>
    <row r="4">
      <c r="A4" s="6" t="inlineStr">
        <is>
          <t>Amber cells = dropdowns. * = required in the recording. Blank rows are ready for entry. See Guide for source limits.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row>
    <row r="5" ht="28" customHeight="1">
      <c r="A5" s="16" t="inlineStr">
        <is>
          <t>Key Details</t>
        </is>
      </c>
      <c r="B5" s="16" t="n"/>
      <c r="C5" s="16" t="n"/>
      <c r="D5" s="16" t="n"/>
      <c r="E5" s="16" t="n"/>
      <c r="F5" s="16" t="n"/>
      <c r="G5" s="16" t="n"/>
      <c r="H5" s="16" t="n"/>
      <c r="I5" s="16" t="n"/>
      <c r="J5" s="16" t="n"/>
      <c r="K5" s="16" t="n"/>
      <c r="L5" s="16" t="n"/>
      <c r="M5" s="16" t="n"/>
      <c r="N5" s="16" t="n"/>
      <c r="O5" s="16" t="n"/>
      <c r="P5" s="16" t="n"/>
      <c r="Q5" s="16" t="n"/>
      <c r="R5" s="16" t="inlineStr">
        <is>
          <t>Date + Location</t>
        </is>
      </c>
      <c r="S5" s="16" t="n"/>
      <c r="T5" s="16" t="n"/>
      <c r="U5" s="16" t="n"/>
      <c r="V5" s="16" t="n"/>
      <c r="W5" s="16" t="n"/>
      <c r="X5" s="16" t="n"/>
      <c r="Y5" s="16" t="n"/>
      <c r="Z5" s="16" t="inlineStr">
        <is>
          <t>Market + Application</t>
        </is>
      </c>
      <c r="AA5" s="16" t="n"/>
      <c r="AB5" s="16" t="n"/>
      <c r="AC5" s="16" t="n"/>
      <c r="AD5" s="16" t="n"/>
      <c r="AE5" s="16" t="n"/>
      <c r="AF5" s="16" t="n"/>
      <c r="AG5" s="16" t="n"/>
      <c r="AH5" s="16" t="n"/>
      <c r="AI5" s="16" t="n"/>
      <c r="AJ5" s="16" t="inlineStr">
        <is>
          <t>Sales Updates</t>
        </is>
      </c>
      <c r="AK5" s="16" t="n"/>
      <c r="AL5" s="16" t="n"/>
      <c r="AM5" s="16" t="n"/>
      <c r="AN5" s="16" t="n"/>
      <c r="AO5" s="16" t="inlineStr">
        <is>
          <t>Additional Project Details</t>
        </is>
      </c>
      <c r="AP5" s="16" t="n"/>
      <c r="AQ5" s="16" t="n"/>
      <c r="AR5" s="16" t="n"/>
      <c r="AS5" s="16" t="inlineStr">
        <is>
          <t>Project Metadata</t>
        </is>
      </c>
      <c r="AT5" s="16" t="n"/>
      <c r="AU5" s="16" t="n"/>
      <c r="AV5" s="16" t="n"/>
      <c r="AW5" s="16" t="n"/>
    </row>
    <row r="6" ht="43" customHeight="1">
      <c r="A6" s="19" t="inlineStr">
        <is>
          <t>Project Name *</t>
        </is>
      </c>
      <c r="B6" s="12" t="inlineStr">
        <is>
          <t>End User</t>
        </is>
      </c>
      <c r="C6" s="12" t="inlineStr">
        <is>
          <t>Stage</t>
        </is>
      </c>
      <c r="D6" s="12" t="inlineStr">
        <is>
          <t>Other Project Aliases</t>
        </is>
      </c>
      <c r="E6" s="12" t="inlineStr">
        <is>
          <t>End User Type</t>
        </is>
      </c>
      <c r="F6" s="12" t="inlineStr">
        <is>
          <t>End User Contact</t>
        </is>
      </c>
      <c r="G6" s="12" t="inlineStr">
        <is>
          <t>Site Owner</t>
        </is>
      </c>
      <c r="H6" s="12" t="inlineStr">
        <is>
          <t>Site Owner Contact</t>
        </is>
      </c>
      <c r="I6" s="12" t="inlineStr">
        <is>
          <t>Main Decision Influencer</t>
        </is>
      </c>
      <c r="J6" s="12" t="inlineStr">
        <is>
          <t>Solutions</t>
        </is>
      </c>
      <c r="K6" s="12" t="inlineStr">
        <is>
          <t>Construction Status</t>
        </is>
      </c>
      <c r="L6" s="12" t="inlineStr">
        <is>
          <t>Win/Loss Reason</t>
        </is>
      </c>
      <c r="M6" s="12" t="inlineStr">
        <is>
          <t>Amount ($)</t>
        </is>
      </c>
      <c r="N6" s="12" t="inlineStr">
        <is>
          <t>Project Pipeline Amount</t>
        </is>
      </c>
      <c r="O6" s="12" t="inlineStr">
        <is>
          <t>Estimated Lbs</t>
        </is>
      </c>
      <c r="P6" s="12" t="inlineStr">
        <is>
          <t>Estimated Power Capacity (MW)</t>
        </is>
      </c>
      <c r="Q6" s="12" t="inlineStr">
        <is>
          <t>Estimated Voltage (KV)</t>
        </is>
      </c>
      <c r="R6" s="12" t="inlineStr">
        <is>
          <t>City</t>
        </is>
      </c>
      <c r="S6" s="12" t="inlineStr">
        <is>
          <t>County</t>
        </is>
      </c>
      <c r="T6" s="12" t="inlineStr">
        <is>
          <t>State</t>
        </is>
      </c>
      <c r="U6" s="12" t="inlineStr">
        <is>
          <t>Country</t>
        </is>
      </c>
      <c r="V6" s="12" t="inlineStr">
        <is>
          <t>Canada Province/Territory</t>
        </is>
      </c>
      <c r="W6" s="12" t="inlineStr">
        <is>
          <t>Est. Commission Date</t>
        </is>
      </c>
      <c r="X6" s="19" t="inlineStr">
        <is>
          <t>Est. Close Date *</t>
        </is>
      </c>
      <c r="Y6" s="12" t="inlineStr">
        <is>
          <t>Est. Award Date</t>
        </is>
      </c>
      <c r="Z6" s="12" t="inlineStr">
        <is>
          <t>Market</t>
        </is>
      </c>
      <c r="AA6" s="12" t="inlineStr">
        <is>
          <t>Segment</t>
        </is>
      </c>
      <c r="AB6" s="12" t="inlineStr">
        <is>
          <t>Application</t>
        </is>
      </c>
      <c r="AC6" s="12" t="inlineStr">
        <is>
          <t>Demand Driver</t>
        </is>
      </c>
      <c r="AD6" s="12" t="inlineStr">
        <is>
          <t>OEM Category</t>
        </is>
      </c>
      <c r="AE6" s="12" t="inlineStr">
        <is>
          <t>Proposed Project Application</t>
        </is>
      </c>
      <c r="AF6" s="12" t="inlineStr">
        <is>
          <t>Brownfield/Greenfield</t>
        </is>
      </c>
      <c r="AG6" s="12" t="inlineStr">
        <is>
          <t>Power Needs</t>
        </is>
      </c>
      <c r="AH6" s="12" t="inlineStr">
        <is>
          <t>Primary Energy Source</t>
        </is>
      </c>
      <c r="AI6" s="12" t="inlineStr">
        <is>
          <t>AI Facility</t>
        </is>
      </c>
      <c r="AJ6" s="12" t="inlineStr">
        <is>
          <t>Sales Comments</t>
        </is>
      </c>
      <c r="AK6" s="12" t="inlineStr">
        <is>
          <t>Top Next Steps</t>
        </is>
      </c>
      <c r="AL6" s="12" t="inlineStr">
        <is>
          <t>Project Description</t>
        </is>
      </c>
      <c r="AM6" s="12" t="inlineStr">
        <is>
          <t>Internal NDA Active</t>
        </is>
      </c>
      <c r="AN6" s="12" t="inlineStr">
        <is>
          <t>Customer NDA Required</t>
        </is>
      </c>
      <c r="AO6" s="12" t="inlineStr">
        <is>
          <t>Total Transmission Line Miles</t>
        </is>
      </c>
      <c r="AP6" s="12" t="inlineStr">
        <is>
          <t>Transmission Line Endpoint 1</t>
        </is>
      </c>
      <c r="AQ6" s="12" t="inlineStr">
        <is>
          <t>Transmission Line Endpoint 2</t>
        </is>
      </c>
      <c r="AR6" s="12" t="inlineStr">
        <is>
          <t>Data Center Building Name</t>
        </is>
      </c>
      <c r="AS6" s="12" t="inlineStr">
        <is>
          <t>External Project ID</t>
        </is>
      </c>
      <c r="AT6" s="12" t="inlineStr">
        <is>
          <t>Building ID (Data Centers Only)</t>
        </is>
      </c>
      <c r="AU6" s="12" t="inlineStr">
        <is>
          <t>End User ID</t>
        </is>
      </c>
      <c r="AV6" s="12" t="inlineStr">
        <is>
          <t>Site Owner ID</t>
        </is>
      </c>
      <c r="AW6" s="12" t="inlineStr">
        <is>
          <t>RTO/ISO/Regional Group ID</t>
        </is>
      </c>
    </row>
    <row r="7" ht="23" customHeight="1">
      <c r="A7" s="36" t="inlineStr">
        <is>
          <t>Forest Junction Energy Center</t>
        </is>
      </c>
      <c r="B7" s="36" t="inlineStr">
        <is>
          <t>Invenergy</t>
        </is>
      </c>
      <c r="C7" s="37" t="inlineStr">
        <is>
          <t>Open</t>
        </is>
      </c>
      <c r="D7" s="38" t="inlineStr">
        <is>
          <t>Forest Junction Energy Center Project (Yes Energy); Forest Junction Energy Center LLC; MISO J4014; paired w/ Union Depot Energy Center (750 MW CC)</t>
        </is>
      </c>
      <c r="E7" s="37" t="inlineStr">
        <is>
          <t>IPP</t>
        </is>
      </c>
      <c r="F7" s="36" t="inlineStr">
        <is>
          <t>Daniel Birmingham, Lead Developer</t>
        </is>
      </c>
      <c r="G7" s="36" t="inlineStr">
        <is>
          <t>Invenergy (private land lease)</t>
        </is>
      </c>
      <c r="H7" s="39" t="n"/>
      <c r="I7" s="37" t="inlineStr">
        <is>
          <t>Developer</t>
        </is>
      </c>
      <c r="J7" s="40" t="n"/>
      <c r="K7" s="38" t="inlineStr">
        <is>
          <t>Advanced Development - pre-CPCN application (WI PSC REF#606657)</t>
        </is>
      </c>
      <c r="L7" s="40" t="n"/>
      <c r="M7" s="41">
        <f>P7*1000*Guide!$B$81</f>
        <v/>
      </c>
      <c r="N7" s="42" t="n"/>
      <c r="O7" s="43" t="n"/>
      <c r="P7" s="44" t="n">
        <v>1203</v>
      </c>
      <c r="Q7" s="44" t="n">
        <v>345</v>
      </c>
      <c r="R7" s="36" t="inlineStr">
        <is>
          <t>Brillion (Town of)</t>
        </is>
      </c>
      <c r="S7" s="36" t="inlineStr">
        <is>
          <t>Calumet</t>
        </is>
      </c>
      <c r="T7" s="36" t="inlineStr">
        <is>
          <t>WI</t>
        </is>
      </c>
      <c r="U7" s="37" t="inlineStr">
        <is>
          <t>United States</t>
        </is>
      </c>
      <c r="V7" s="40" t="n"/>
      <c r="W7" s="45" t="n">
        <v>48213</v>
      </c>
      <c r="X7" s="45" t="n">
        <v>48395</v>
      </c>
      <c r="Y7" s="45" t="n">
        <v>47483</v>
      </c>
      <c r="Z7" s="37" t="inlineStr">
        <is>
          <t>Power Generation</t>
        </is>
      </c>
      <c r="AA7" s="37" t="inlineStr">
        <is>
          <t>Generation</t>
        </is>
      </c>
      <c r="AB7" s="37" t="inlineStr">
        <is>
          <t>New Capacity/New Build</t>
        </is>
      </c>
      <c r="AC7" s="37" t="inlineStr">
        <is>
          <t>New Load Growth</t>
        </is>
      </c>
      <c r="AD7" s="37" t="inlineStr">
        <is>
          <t>Generation</t>
        </is>
      </c>
      <c r="AE7" s="38" t="inlineStr">
        <is>
          <t>Natural gas generation - electrical BoP (MV/LV power, tray/control &amp; instrumentation cable, substation)</t>
        </is>
      </c>
      <c r="AF7" s="37" t="inlineStr">
        <is>
          <t>Greenfield</t>
        </is>
      </c>
      <c r="AG7" s="37" t="inlineStr">
        <is>
          <t>Traditional</t>
        </is>
      </c>
      <c r="AH7" s="37" t="inlineStr">
        <is>
          <t>Natural Gas</t>
        </is>
      </c>
      <c r="AI7" s="37" t="inlineStr">
        <is>
          <t>No</t>
        </is>
      </c>
      <c r="AJ7" s="38" t="inlineStr">
        <is>
          <t>*RPBD* AWARD (PO) DATE BASIS: CPCN filing expected fall 2026 (PSC docket 5-CE-162), construction start Q4 2027, COD Dec 2031 -&gt; BOP cable likely released in phases Q4 2028-Q2 2030 (award date set to COD-24 mo). EPC not named (Invenergy has used Kiewit elsewhere - unconfirmed). We Energies (Brendan Conway, spokesperson) may acquire; precedent: PSC approved Invenergy Red Oak Ridge/Foundry Ridge for We Energies Oct 15, 2026. Yes Energy shows 2030 COD; public sources Dec 2031.</t>
        </is>
      </c>
      <c r="AK7" s="38" t="inlineStr">
        <is>
          <t>Build relationship with Daniel Birmingham (Invenergy); watch PSC 5-CE-162 CPCN for EPC; get on EPC approved-vendor list in 2027.</t>
        </is>
      </c>
      <c r="AL7" s="38" t="inlineStr">
        <is>
          <t>*RPBD* OVERVIEW: Proposed ~1,203 MW natural-gas simple-cycle PEAKING plant by Invenergy, planned alongside the 750 MW Union Depot Energy Center combined cycle on an adjacent site (~1.95 GW total campus). Alternate site identified in Town of Woodville. TECHNOLOGY &amp; EQUIPMENT: 5x GE 7F.05 combustion turbines with GE H35 generators, each with generator step-up transformer; designed for continuous duty but expected to run mainly at peak. SITE: GREENFIELD - privately owned agricultural land east of WI-57, north of US-10, Town of Brillion, Calumet County (acreage not yet published; see PSC engineering plan). INTERCONNECTION: three 345 kV overhead gen-tie lines to ATC's Forest Junction 345 kV substation (ATC also expanding 345 kV lines south to new Sheboygan River substation). OWNERSHIP/STATUS: Developer Invenergy; We Energies listed it in rate-case planning (possible acquirer, needs PSC approval). Engineering plan filed Aug 2026; CPCN application expected fall 2026 (PSC docket 5-CE-162); construction start targeted Q4 2027; COD ~Dec 2031. EPC not yet selected. INVESTMENT: Total project investment Not disclosed; est. W&amp;C value $9,624,000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Plus overhead conductor for 3x 345 kV gen-ties; large opportunity if bundled with Union Depot CC. Ref: https://dailyreporter.com/2026/08/31/invenergy-proposes-two-natural-gas-plants-calumet-county/ | https://fox11online.com/news/local/calumet-county-power-plant-proposed-energy-centers-town-of-brillion-power-megawatts-gigawatts-we-energies-invenergy-town-of-woodville-forest-junction-union-depot | https://forestjunctionenergycenter.invenergy.com/ | https://www.nbc26.com/lakeshore/neighbors-push-back-against-proposed-natural-gas-facility-in-town-of-brillion</t>
        </is>
      </c>
      <c r="AM7" s="40" t="n"/>
      <c r="AN7" s="40" t="n"/>
      <c r="AO7" s="44" t="n">
        <v>1.2</v>
      </c>
      <c r="AP7" s="36" t="inlineStr">
        <is>
          <t>Forest Junction Energy Center</t>
        </is>
      </c>
      <c r="AQ7" s="36" t="inlineStr">
        <is>
          <t>ATC Forest Junction 345 kV Substation</t>
        </is>
      </c>
      <c r="AR7" s="39" t="n"/>
      <c r="AS7" s="36" t="inlineStr">
        <is>
          <t>10019673557</t>
        </is>
      </c>
      <c r="AT7" s="39" t="n"/>
      <c r="AU7" s="39" t="n"/>
      <c r="AV7" s="39" t="n"/>
      <c r="AW7" s="39" t="n"/>
    </row>
    <row r="8" ht="23" customHeight="1">
      <c r="A8" s="38" t="inlineStr">
        <is>
          <t>Orange County Advanced Power Station (OCAPS)</t>
        </is>
      </c>
      <c r="B8" s="36" t="inlineStr">
        <is>
          <t>Entergy Texas</t>
        </is>
      </c>
      <c r="C8" s="37" t="inlineStr">
        <is>
          <t>Closed</t>
        </is>
      </c>
      <c r="D8" s="38" t="inlineStr">
        <is>
          <t>Orange County Advanced Power Station Project (Yes Energy); OCAPS; Sabine Power Plant site; PUCT Docket 52487</t>
        </is>
      </c>
      <c r="E8" s="37" t="inlineStr">
        <is>
          <t>IOU</t>
        </is>
      </c>
      <c r="F8" s="36" t="inlineStr">
        <is>
          <t>Keith Pollock, Project Director, OCAPS</t>
        </is>
      </c>
      <c r="G8" s="36" t="inlineStr">
        <is>
          <t>Entergy Texas</t>
        </is>
      </c>
      <c r="H8" s="39" t="n"/>
      <c r="I8" s="37" t="inlineStr">
        <is>
          <t>EPC</t>
        </is>
      </c>
      <c r="J8" s="40" t="n"/>
      <c r="K8" s="38" t="inlineStr">
        <is>
          <t>In service ~Oct 14, 2026 (was Under Construction in Yes Energy)</t>
        </is>
      </c>
      <c r="L8" s="40" t="n"/>
      <c r="M8" s="41">
        <f>P8*1000*Guide!$B$81</f>
        <v/>
      </c>
      <c r="N8" s="42" t="n"/>
      <c r="O8" s="43" t="n"/>
      <c r="P8" s="44" t="n">
        <v>1215</v>
      </c>
      <c r="Q8" s="43" t="n"/>
      <c r="R8" s="36" t="inlineStr">
        <is>
          <t>Bridge City</t>
        </is>
      </c>
      <c r="S8" s="36" t="inlineStr">
        <is>
          <t>Orange</t>
        </is>
      </c>
      <c r="T8" s="36" t="inlineStr">
        <is>
          <t>TX</t>
        </is>
      </c>
      <c r="U8" s="37" t="inlineStr">
        <is>
          <t>United States</t>
        </is>
      </c>
      <c r="V8" s="40" t="n"/>
      <c r="W8" s="45" t="n">
        <v>46309</v>
      </c>
      <c r="X8" s="45" t="n">
        <v>46491</v>
      </c>
      <c r="Y8" s="45" t="n">
        <v>45944</v>
      </c>
      <c r="Z8" s="37" t="inlineStr">
        <is>
          <t>Power Generation</t>
        </is>
      </c>
      <c r="AA8" s="37" t="inlineStr">
        <is>
          <t>Generation</t>
        </is>
      </c>
      <c r="AB8" s="37" t="inlineStr">
        <is>
          <t>New Capacity/New Build</t>
        </is>
      </c>
      <c r="AC8" s="37" t="inlineStr">
        <is>
          <t>New Load Growth</t>
        </is>
      </c>
      <c r="AD8" s="37" t="inlineStr">
        <is>
          <t>Generation</t>
        </is>
      </c>
      <c r="AE8" s="38" t="inlineStr">
        <is>
          <t>Natural gas generation - electrical BoP (MV/LV power, tray/control &amp; instrumentation cable, substation)</t>
        </is>
      </c>
      <c r="AF8" s="37" t="inlineStr">
        <is>
          <t>Brownfield</t>
        </is>
      </c>
      <c r="AG8" s="37" t="inlineStr">
        <is>
          <t>Traditional</t>
        </is>
      </c>
      <c r="AH8" s="37" t="inlineStr">
        <is>
          <t>Natural Gas</t>
        </is>
      </c>
      <c r="AI8" s="37" t="inlineStr">
        <is>
          <t>No</t>
        </is>
      </c>
      <c r="AJ8" s="38" t="inlineStr">
        <is>
          <t>*RPBD* In service Oct 14, 2026 - new-build window passed (~2023-24). New-build award passed; aftermarket/MRO opportunity (first spring outage ~Apr 2027 - estimate, not sourced). Other contacts: David Borde (CEO, Entergy Texas); James Malone (Dir. Business Development, Sargent &amp; Lundy).</t>
        </is>
      </c>
      <c r="AK8" s="38" t="inlineStr">
        <is>
          <t>Aftermarket/spares with Keith Pollock and Entergy fossil ops supply chain; use TIC/S&amp;L relationship for Entergy program plants.</t>
        </is>
      </c>
      <c r="AL8" s="38" t="inlineStr">
        <is>
          <t>*RPBD* OVERVIEW: 1,215 MW natural-gas COMBINED-CYCLE plant, Entergy Texas' newest unit; entered commercial service Oct 14, 2026; serves ~230,000 homes in industrial Southeast Texas. TECHNOLOGY &amp; EQUIPMENT: Mitsubishi Power powertrain - 2x M501JAC gas turbines, HRSGs and steam turbine (2x1 configuration); dual-fuel, hydrogen-capable (30% H2 at start, designed for up to 100%). SITE: BROWNFIELD - ~26.2-acre footprint inside/adjacent to Entergy Texas' existing Sabine Power Plant in Bridge City, Orange County (existing gas plant with transmission and water infrastructure). OWNERSHIP/EPC: Entergy Texas; EPC consortium Mitsubishi Power (powertrain), Sargent &amp; Lundy (engineer of record), TIC - The Industrial Company (constructor). STATUS: Construction Apr 2023-2026, first fire Apr 2026, in service Oct 2026. INVESTMENT: Total project investment ~$1.2B (power-eng.com); Yes Energy $555M not confirmed; est. W&amp;C value $9,720,000 ($8/kW). W&amp;C NEEDS: New-build cable scope complete. Remaining: MRO/spares (MV, 600V, tray &amp; instrumentation cable), outage and warranty/punch-list work; reference project for the same TIC/S&amp;L/Mitsubishi team now building Entergy's LA/MS/AR plants. Ref: https://www.click2houston.com/news/local/2026/10/14/entergy-texas-orange-county-advanced-power-station-now-delivering-power-to-southeast-texas/ | https://www.power-eng.com/gas/turbines/entergy-texas-1-2-gw-ccgt-plant-is-now-online/ | https://www.sargentlundy.com/projects/orange-county-advanced-power-station/</t>
        </is>
      </c>
      <c r="AM8" s="40" t="n"/>
      <c r="AN8" s="40" t="n"/>
      <c r="AO8" s="43" t="n"/>
      <c r="AP8" s="39" t="n"/>
      <c r="AQ8" s="39" t="n"/>
      <c r="AR8" s="39" t="n"/>
      <c r="AS8" s="36" t="inlineStr">
        <is>
          <t>10017200239</t>
        </is>
      </c>
      <c r="AT8" s="39" t="n"/>
      <c r="AU8" s="39" t="n"/>
      <c r="AV8" s="39" t="n"/>
      <c r="AW8" s="39" t="n"/>
    </row>
    <row r="9" ht="23" customHeight="1">
      <c r="A9" s="38" t="inlineStr">
        <is>
          <t>Vast Sands Power I (Vistra Permian Basin expansion)</t>
        </is>
      </c>
      <c r="B9" s="36" t="inlineStr">
        <is>
          <t>Vistra Corp (Luminant)</t>
        </is>
      </c>
      <c r="C9" s="37" t="inlineStr">
        <is>
          <t>Open</t>
        </is>
      </c>
      <c r="D9" s="38" t="inlineStr">
        <is>
          <t>Vast Sands Power I (TEF - Due Diligence) (Yes Energy); ERCOT 28INR0105 (+ Vast Sands II 28INR0109); Permian Power I &amp; II; Permian Power I LLC</t>
        </is>
      </c>
      <c r="E9" s="37" t="inlineStr">
        <is>
          <t>IPP</t>
        </is>
      </c>
      <c r="F9" s="36" t="inlineStr">
        <is>
          <t>Jim Burke, President &amp; CEO</t>
        </is>
      </c>
      <c r="G9" s="36" t="inlineStr">
        <is>
          <t>Vistra / Luminant Generation Co</t>
        </is>
      </c>
      <c r="H9" s="39" t="n"/>
      <c r="I9" s="37" t="inlineStr">
        <is>
          <t>IPP</t>
        </is>
      </c>
      <c r="J9" s="40" t="n"/>
      <c r="K9" s="38" t="inlineStr">
        <is>
          <t>Advanced Development - FID Sep 2025; TEF loan Jun 2026</t>
        </is>
      </c>
      <c r="L9" s="40" t="n"/>
      <c r="M9" s="41">
        <f>P9*1000*Guide!$B$81</f>
        <v/>
      </c>
      <c r="N9" s="42" t="n"/>
      <c r="O9" s="43" t="n"/>
      <c r="P9" s="44" t="n">
        <v>440</v>
      </c>
      <c r="Q9" s="43" t="n"/>
      <c r="R9" s="36" t="inlineStr">
        <is>
          <t>Monahans</t>
        </is>
      </c>
      <c r="S9" s="36" t="inlineStr">
        <is>
          <t>Ward</t>
        </is>
      </c>
      <c r="T9" s="36" t="inlineStr">
        <is>
          <t>TX</t>
        </is>
      </c>
      <c r="U9" s="37" t="inlineStr">
        <is>
          <t>United States</t>
        </is>
      </c>
      <c r="V9" s="40" t="n"/>
      <c r="W9" s="45" t="n">
        <v>46874</v>
      </c>
      <c r="X9" s="45" t="n">
        <v>47058</v>
      </c>
      <c r="Y9" s="45" t="n">
        <v>46418</v>
      </c>
      <c r="Z9" s="37" t="inlineStr">
        <is>
          <t>Power Generation</t>
        </is>
      </c>
      <c r="AA9" s="37" t="inlineStr">
        <is>
          <t>Generation</t>
        </is>
      </c>
      <c r="AB9" s="37" t="inlineStr">
        <is>
          <t>New Capacity/New Build</t>
        </is>
      </c>
      <c r="AC9" s="37" t="inlineStr">
        <is>
          <t>New Load Growth</t>
        </is>
      </c>
      <c r="AD9" s="37" t="inlineStr">
        <is>
          <t>Generation</t>
        </is>
      </c>
      <c r="AE9" s="38" t="inlineStr">
        <is>
          <t>Natural gas generation - electrical BoP (MV/LV power, tray/control &amp; instrumentation cable, substation)</t>
        </is>
      </c>
      <c r="AF9" s="37" t="inlineStr">
        <is>
          <t>Brownfield</t>
        </is>
      </c>
      <c r="AG9" s="37" t="inlineStr">
        <is>
          <t>Traditional</t>
        </is>
      </c>
      <c r="AH9" s="37" t="inlineStr">
        <is>
          <t>Natural Gas</t>
        </is>
      </c>
      <c r="AI9" s="37" t="inlineStr">
        <is>
          <t>No</t>
        </is>
      </c>
      <c r="AJ9" s="38" t="inlineStr">
        <is>
          <t>*RPBD* AWARD (PO) DATE BASIS: FID Sep 2025; $583M TEF loan (Jun 2026) with $172M drawn by 6/30/26 = heavy early spend; COD May/Jun 2028 -&gt; cable window Dec 2026-Jun 2027, early packages may already be placed. EPC/OEM not public. No project-level contact public - Jim Burke is exec-level only (quoted in releases). TCEQ NAPD for permit 178462 should list applicant contact (Luminant Generation Co).</t>
        </is>
      </c>
      <c r="AK9" s="38" t="inlineStr">
        <is>
          <t>URGENT: identify EPC via TCEQ 178462 NAPD / Industrial Info; find Luminant project contact; quote both units (880 MW).</t>
        </is>
      </c>
      <c r="AL9" s="38" t="inlineStr">
        <is>
          <t>*RPBD* OVERVIEW: Vistra/Luminant expansion of the existing Permian Basin Power Plant in Monahans - two new large natural-gas SIMPLE-CYCLE units totaling 860 MW (ERCOT queue: Vast Sands Power I 28INR0105 and II 28INR0109, ~440 MW each), taking the site from 325 MW to 1,185 MW. Driven by Permian oil &amp; gas load growth. TECHNOLOGY &amp; EQUIPMENT: 2x dual-fuel (gas/oil) advanced-class combustion turbine generators with SCR and oxidation catalyst (TCEQ permit 178462); ~440 MW per unit implies H/J-class frames (OEM not published). SITE: BROWNFIELD - existing operating gas plant at 600 N Yucca Dr, Monahans, Ward County (existing 5x 65 MW CTs, gas supply and ERCOT interconnection in place); acreage not published. OWNERSHIP/STATUS: Permian Power I LLC (Vistra). FID Sep 29, 2025; $583M Texas Energy Fund loan Jun 2026 ($172M drawn by Jun 30, 2026); COD May/Jun 2028. EPC not public. INVESTMENT: Total project investment Not disclosed; financed in part by $583M Texas Energy Fund loan (3.0%, Jun 2026); est. W&amp;C value $3,520,000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Dual-fuel adds fuel-oil system cabling. Ref: https://gov.texas.gov/news/post/governor-abbott-announces-texas-energy-fund-loan-for-860-mw-of-new-power-in-west-texas | https://investor.vistracorp.com/2025-09-29-Vistra-Announces-Plans-to-Build-New-Gas-Fueled-Dispatchable-Power-Units-in-the-Permian-Basin | https://www.gem.wiki/Permian_Power_power_station | https://www.tceq.texas.gov/downloads/permitting/air/bilingual/pending-permit-notices/178462-pls-english.pdf</t>
        </is>
      </c>
      <c r="AM9" s="40" t="n"/>
      <c r="AN9" s="40" t="n"/>
      <c r="AO9" s="43" t="n"/>
      <c r="AP9" s="39" t="n"/>
      <c r="AQ9" s="39" t="n"/>
      <c r="AR9" s="39" t="n"/>
      <c r="AS9" s="36" t="inlineStr">
        <is>
          <t>10018470514</t>
        </is>
      </c>
      <c r="AT9" s="39" t="n"/>
      <c r="AU9" s="39" t="n"/>
      <c r="AV9" s="39" t="n"/>
      <c r="AW9" s="39" t="n"/>
    </row>
    <row r="10" ht="23" customHeight="1">
      <c r="A10" s="36" t="inlineStr">
        <is>
          <t>Plant Yates Unit 9 (Yates CT Units 8-10)</t>
        </is>
      </c>
      <c r="B10" s="36" t="inlineStr">
        <is>
          <t>Georgia Power (Southern Company)</t>
        </is>
      </c>
      <c r="C10" s="37" t="inlineStr">
        <is>
          <t>In Progress</t>
        </is>
      </c>
      <c r="D10" s="38" t="inlineStr">
        <is>
          <t>Plant Yates Project (June 2027) (Yes Energy); Yates CT Units 8, 9, 10</t>
        </is>
      </c>
      <c r="E10" s="37" t="inlineStr">
        <is>
          <t>IOU</t>
        </is>
      </c>
      <c r="F10" s="38" t="inlineStr">
        <is>
          <t>Rick Anderson, SVP &amp; Senior Production Officer</t>
        </is>
      </c>
      <c r="G10" s="36" t="inlineStr">
        <is>
          <t>Georgia Power</t>
        </is>
      </c>
      <c r="H10" s="39" t="n"/>
      <c r="I10" s="37" t="inlineStr">
        <is>
          <t>EPC</t>
        </is>
      </c>
      <c r="J10" s="40" t="n"/>
      <c r="K10" s="38" t="inlineStr">
        <is>
          <t>Under Construction - Unit 9 equipment on site Dec 2025</t>
        </is>
      </c>
      <c r="L10" s="40" t="n"/>
      <c r="M10" s="41">
        <f>P10*1000*Guide!$B$81</f>
        <v/>
      </c>
      <c r="N10" s="42" t="n"/>
      <c r="O10" s="43" t="n"/>
      <c r="P10" s="44" t="n">
        <v>482.8</v>
      </c>
      <c r="Q10" s="43" t="n"/>
      <c r="R10" s="36" t="inlineStr">
        <is>
          <t>Newnan</t>
        </is>
      </c>
      <c r="S10" s="36" t="inlineStr">
        <is>
          <t>Coweta</t>
        </is>
      </c>
      <c r="T10" s="36" t="inlineStr">
        <is>
          <t>GA</t>
        </is>
      </c>
      <c r="U10" s="37" t="inlineStr">
        <is>
          <t>United States</t>
        </is>
      </c>
      <c r="V10" s="40" t="n"/>
      <c r="W10" s="45" t="n">
        <v>46568</v>
      </c>
      <c r="X10" s="45" t="n">
        <v>46751</v>
      </c>
      <c r="Y10" s="45" t="n">
        <v>46203</v>
      </c>
      <c r="Z10" s="37" t="inlineStr">
        <is>
          <t>Power Generation</t>
        </is>
      </c>
      <c r="AA10" s="37" t="inlineStr">
        <is>
          <t>Generation</t>
        </is>
      </c>
      <c r="AB10" s="37" t="inlineStr">
        <is>
          <t>New Capacity/New Build</t>
        </is>
      </c>
      <c r="AC10" s="37" t="inlineStr">
        <is>
          <t>New Load Growth</t>
        </is>
      </c>
      <c r="AD10" s="37" t="inlineStr">
        <is>
          <t>Generation</t>
        </is>
      </c>
      <c r="AE10" s="38" t="inlineStr">
        <is>
          <t>Natural gas generation - electrical BoP (MV/LV power, tray/control &amp; instrumentation cable, substation)</t>
        </is>
      </c>
      <c r="AF10" s="37" t="inlineStr">
        <is>
          <t>Brownfield</t>
        </is>
      </c>
      <c r="AG10" s="37" t="inlineStr">
        <is>
          <t>Traditional</t>
        </is>
      </c>
      <c r="AH10" s="37" t="inlineStr">
        <is>
          <t>Natural Gas</t>
        </is>
      </c>
      <c r="AI10" s="37" t="inlineStr">
        <is>
          <t>No</t>
        </is>
      </c>
      <c r="AJ10" s="38" t="inlineStr">
        <is>
          <t>*RPBD* LOW PROBABILITY: Unit 8 COD Q4 2026, Unit 9 Q2 2027, Unit 10 Q3 2027 (Southern Q2 2026 10-Q). Bulk cable likely bought 2024-25 by Mitsubishi/B&amp;V consortium (award date set to COD-12 mo; already passed). Remaining: Unit 10 top-ups, change orders, spares. Other contacts: Cheryl Boddiford (SVP Mfg &amp; Supply Chain, Mitsubishi Power); Rick Janik (B&amp;V PM on Plant Barry Unit 8 - same EPC pairing, not confirmed for Yates). GA PSC docket 55931.</t>
        </is>
      </c>
      <c r="AK10" s="38" t="inlineStr">
        <is>
          <t>Relationship/spares play via B&amp;V site procurement; position with Mitsubishi/B&amp;V for next Georgia Power CT/CC builds.</t>
        </is>
      </c>
      <c r="AL10" s="38" t="inlineStr">
        <is>
          <t>*RPBD* OVERVIEW: Georgia Power's first new gas turbines in a decade - three simple-cycle PEAKING units (~1,300 MW total, ~442-463 MW each) at Plant Yates; this record is Unit 9 (COD Q2 2027). Unit 8 Q4 2026, Unit 10 Q3 2027. ~600 construction jobs. Driven by Georgia load growth (data centers/industrial). TECHNOLOGY &amp; EQUIPMENT: 3x Mitsubishi Power M501JAC air-cooled combustion turbines with Mitsubishi Electric VP-X generators (assembled in Savannah, GA); dual-fuel gas/oil; ~30-minute start; hydrogen-capable with modifications. SITE: BROWNFIELD - existing Plant Yates generating site (former coal/gas station on the Chattahoochee River), Newnan, Coweta County, with existing transmission yard. OWNERSHIP/EPC: Georgia Power (Southern Company); EPC consortium Mitsubishi Power Americas + Black &amp; Veatch Construction (contract Jan 12, 2024). Cost not public (PSC staff ~$1B for 3 units). GA PSC monitoring docket 55931. INVESTMENT: Total project investment Not public; PSC staff ~$1B for 3 units; est. W&amp;C value $3,862,400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Window: bulk cable for all 3 units most likely purchased 2024-25; remaining top-ups, change orders, spares. Ref: https://www.georgiapower.com/news-hub/press-releases/turbine-generator-unit-9-plant-yates.html | https://www.energy.gov/sites/default/files/2026-07/20260622_EnvReview_Completion_Yates.pdf | https://www.modernpowersystems.com/news/progress-at-1-3-gw-plant-yates-gas-fired-plant/</t>
        </is>
      </c>
      <c r="AM10" s="40" t="n"/>
      <c r="AN10" s="40" t="n"/>
      <c r="AO10" s="43" t="n"/>
      <c r="AP10" s="39" t="n"/>
      <c r="AQ10" s="39" t="n"/>
      <c r="AR10" s="39" t="n"/>
      <c r="AS10" s="36" t="inlineStr">
        <is>
          <t>10018823691</t>
        </is>
      </c>
      <c r="AT10" s="39" t="n"/>
      <c r="AU10" s="39" t="n"/>
      <c r="AV10" s="39" t="n"/>
      <c r="AW10" s="39" t="n"/>
    </row>
    <row r="11" ht="23" customHeight="1">
      <c r="A11" s="36" t="inlineStr">
        <is>
          <t>Ironwood Power Station</t>
        </is>
      </c>
      <c r="B11" s="36" t="inlineStr">
        <is>
          <t>Entergy Arkansas</t>
        </is>
      </c>
      <c r="C11" s="37" t="inlineStr">
        <is>
          <t>In Progress</t>
        </is>
      </c>
      <c r="D11" s="38" t="inlineStr">
        <is>
          <t>Ironwood Power Station 1A Project (Yes Energy); Lake Catherine 5 (LC5); EIA 69750</t>
        </is>
      </c>
      <c r="E11" s="37" t="inlineStr">
        <is>
          <t>IOU</t>
        </is>
      </c>
      <c r="F11" s="38" t="inlineStr">
        <is>
          <t>Carlos Ruiz, VP, Power Development - New Generation</t>
        </is>
      </c>
      <c r="G11" s="36" t="inlineStr">
        <is>
          <t>Entergy Arkansas</t>
        </is>
      </c>
      <c r="H11" s="39" t="n"/>
      <c r="I11" s="37" t="inlineStr">
        <is>
          <t>EPC</t>
        </is>
      </c>
      <c r="J11" s="40" t="n"/>
      <c r="K11" s="38" t="inlineStr">
        <is>
          <t>Under Construction - groundbreaking Aug 20, 2026</t>
        </is>
      </c>
      <c r="L11" s="40" t="n"/>
      <c r="M11" s="41">
        <f>P11*1000*Guide!$B$81</f>
        <v/>
      </c>
      <c r="N11" s="42" t="n"/>
      <c r="O11" s="43" t="n"/>
      <c r="P11" s="44" t="n">
        <v>446</v>
      </c>
      <c r="Q11" s="43" t="n"/>
      <c r="R11" s="36" t="inlineStr">
        <is>
          <t>Jones Mill (Malvern)</t>
        </is>
      </c>
      <c r="S11" s="36" t="inlineStr">
        <is>
          <t>Hot Spring</t>
        </is>
      </c>
      <c r="T11" s="36" t="inlineStr">
        <is>
          <t>AR</t>
        </is>
      </c>
      <c r="U11" s="37" t="inlineStr">
        <is>
          <t>United States</t>
        </is>
      </c>
      <c r="V11" s="40" t="n"/>
      <c r="W11" s="45" t="n">
        <v>47118</v>
      </c>
      <c r="X11" s="45" t="n">
        <v>47299</v>
      </c>
      <c r="Y11" s="45" t="n">
        <v>46477</v>
      </c>
      <c r="Z11" s="37" t="inlineStr">
        <is>
          <t>Power Generation</t>
        </is>
      </c>
      <c r="AA11" s="37" t="inlineStr">
        <is>
          <t>Generation</t>
        </is>
      </c>
      <c r="AB11" s="37" t="inlineStr">
        <is>
          <t>New Capacity/New Build</t>
        </is>
      </c>
      <c r="AC11" s="37" t="inlineStr">
        <is>
          <t>Replacement / End-of-Life</t>
        </is>
      </c>
      <c r="AD11" s="37" t="inlineStr">
        <is>
          <t>Generation</t>
        </is>
      </c>
      <c r="AE11" s="38" t="inlineStr">
        <is>
          <t>Natural gas generation - electrical BoP (MV/LV power, tray/control &amp; instrumentation cable, substation)</t>
        </is>
      </c>
      <c r="AF11" s="37" t="inlineStr">
        <is>
          <t>Brownfield</t>
        </is>
      </c>
      <c r="AG11" s="37" t="inlineStr">
        <is>
          <t>Traditional</t>
        </is>
      </c>
      <c r="AH11" s="37" t="inlineStr">
        <is>
          <t>Natural Gas</t>
        </is>
      </c>
      <c r="AI11" s="37" t="inlineStr">
        <is>
          <t>No</t>
        </is>
      </c>
      <c r="AJ11" s="38" t="inlineStr">
        <is>
          <t>*RPBD* AWARD (PO) DATE BASIS: site construction Q2 2026-Q2 2028, groundbreaking Aug 20 2026, COD Q4 2028 -&gt; bulk cable after underground/foundations ~Q1-Q2 2027. Best new-buy opportunity. TSL procures in its own name; S&amp;L writes cable specs/BOMs. TSL address: 8900 Renner Blvd, Lenexa KS 66219. Other contacts: Laura Landreaux (CEO, Entergy AR); Louise Duncan (VP Power Plant Ops, Entergy AR); Jason Rees (Dir. Procurement, Entergy - LinkedIn, verify). Entergy supplier registration: esupplier@entergy.com.</t>
        </is>
      </c>
      <c r="AK11" s="38" t="inlineStr">
        <is>
          <t>Get on TSL Power Partners bidder list (Kiewit/TIC Lenexa) and S&amp;L approved-manufacturer list; register with Entergy supplier program.</t>
        </is>
      </c>
      <c r="AL11" s="38" t="inlineStr">
        <is>
          <t>*RPBD* OVERVIEW: 446 MW natural-gas SIMPLE-CYCLE combustion turbine (Entergy Arkansas 'Next Generation Arkansas'), replacing the 50+ year-old Lake Catherine Unit 4 (retiring end-2027). Formerly 'Lake Catherine 5'. ~260 peak construction jobs; Entergy prioritizing Arkansas contractors (vendor fair Mar 18, 2026). TECHNOLOGY &amp; EQUIPMENT: single advanced-class combustion turbine generator, hydrogen-capable (30% co-fire, future 100% conversion); Mitsubishi implied by the TSL/Mitsubishi Entergy program. SITE: BROWNFIELD - ~20 acres within the existing Lake Catherine Power Generation site, Jones Mill near Malvern, Hot Spring County; reuses existing gas, water and transmission infrastructure. OWNERSHIP/EPC: Entergy Arkansas; EPC TSL Power Partners (TIC/Kiewit + Sargent &amp; Lundy) with Mitsubishi Power Americas (per TIC Entergy Program page). APSC CCN approved Apr 2025; site construction Q2 2026-Q2 2028; groundbreaking Aug 20, 2026; COD Q4 2028. Cost recovered via GAJA rider (not disclosed). INVESTMENT: Total project investment Not disclosed (GAJA rider); est. W&amp;C value $3,568,000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Ref: https://www.entergy.com/news/entergy-arkansas-breaks-ground-on-ironwood-power-station | https://www.modernpowersystems.com/news/entergy-arkansas-starts-construction-on-446-mw-ironwood-power-station/ | https://www.entergy.com/news/ironwood-power-plant-vendor-fair-for-arkansas-contractors-announced</t>
        </is>
      </c>
      <c r="AM11" s="40" t="n"/>
      <c r="AN11" s="40" t="n"/>
      <c r="AO11" s="43" t="n"/>
      <c r="AP11" s="39" t="n"/>
      <c r="AQ11" s="39" t="n"/>
      <c r="AR11" s="39" t="n"/>
      <c r="AS11" s="36" t="inlineStr">
        <is>
          <t>10019705142</t>
        </is>
      </c>
      <c r="AT11" s="39" t="n"/>
      <c r="AU11" s="39" t="n"/>
      <c r="AV11" s="39" t="n"/>
      <c r="AW11" s="39" t="n"/>
    </row>
    <row r="12" ht="23" customHeight="1">
      <c r="A12" s="36" t="inlineStr">
        <is>
          <t>Person County Combined Cycle 1 (CC1)</t>
        </is>
      </c>
      <c r="B12" s="36" t="inlineStr">
        <is>
          <t>Duke Energy Progress</t>
        </is>
      </c>
      <c r="C12" s="37" t="inlineStr">
        <is>
          <t>In Progress</t>
        </is>
      </c>
      <c r="D12" s="38" t="inlineStr">
        <is>
          <t>Person County Advanced CC1 (Yes Energy); Person County Energy Complex (Roxboro site); NCUC E-2 Sub 1318; sister CC2 E-2 Sub 1349</t>
        </is>
      </c>
      <c r="E12" s="37" t="inlineStr">
        <is>
          <t>IOU</t>
        </is>
      </c>
      <c r="F12" s="38" t="inlineStr">
        <is>
          <t>John Robert Smith Jr., General Manager, New Gas Generation Development</t>
        </is>
      </c>
      <c r="G12" s="38" t="inlineStr">
        <is>
          <t>Duke Energy Progress / NCEMC (co-owner ~225 MW)</t>
        </is>
      </c>
      <c r="H12" s="39" t="n"/>
      <c r="I12" s="37" t="inlineStr">
        <is>
          <t>EPC</t>
        </is>
      </c>
      <c r="J12" s="40" t="n"/>
      <c r="K12" s="38" t="inlineStr">
        <is>
          <t>Under Construction - groundbreaking Feb 2026; GTs arriving 2026</t>
        </is>
      </c>
      <c r="L12" s="40" t="n"/>
      <c r="M12" s="41">
        <f>P12*1000*Guide!$B$81</f>
        <v/>
      </c>
      <c r="N12" s="42" t="n"/>
      <c r="O12" s="43" t="n"/>
      <c r="P12" s="44" t="n">
        <v>1360</v>
      </c>
      <c r="Q12" s="43" t="n"/>
      <c r="R12" s="36" t="inlineStr">
        <is>
          <t>Semora (Roxboro)</t>
        </is>
      </c>
      <c r="S12" s="36" t="inlineStr">
        <is>
          <t>Person</t>
        </is>
      </c>
      <c r="T12" s="36" t="inlineStr">
        <is>
          <t>NC</t>
        </is>
      </c>
      <c r="U12" s="37" t="inlineStr">
        <is>
          <t>United States</t>
        </is>
      </c>
      <c r="V12" s="40" t="n"/>
      <c r="W12" s="45" t="n">
        <v>47118</v>
      </c>
      <c r="X12" s="45" t="n">
        <v>47299</v>
      </c>
      <c r="Y12" s="45" t="n">
        <v>46416</v>
      </c>
      <c r="Z12" s="37" t="inlineStr">
        <is>
          <t>Power Generation</t>
        </is>
      </c>
      <c r="AA12" s="37" t="inlineStr">
        <is>
          <t>Generation</t>
        </is>
      </c>
      <c r="AB12" s="37" t="inlineStr">
        <is>
          <t>New Capacity/New Build</t>
        </is>
      </c>
      <c r="AC12" s="37" t="inlineStr">
        <is>
          <t>New Load Growth</t>
        </is>
      </c>
      <c r="AD12" s="37" t="inlineStr">
        <is>
          <t>Generation</t>
        </is>
      </c>
      <c r="AE12" s="38" t="inlineStr">
        <is>
          <t>Natural gas generation - electrical BoP (MV/LV power, tray/control &amp; instrumentation cable, substation)</t>
        </is>
      </c>
      <c r="AF12" s="37" t="inlineStr">
        <is>
          <t>Brownfield</t>
        </is>
      </c>
      <c r="AG12" s="37" t="inlineStr">
        <is>
          <t>Traditional</t>
        </is>
      </c>
      <c r="AH12" s="37" t="inlineStr">
        <is>
          <t>Natural Gas</t>
        </is>
      </c>
      <c r="AI12" s="37" t="inlineStr">
        <is>
          <t>No</t>
        </is>
      </c>
      <c r="AJ12" s="38" t="inlineStr">
        <is>
          <t>*RPBD* AWARD (PO) DATE BASIS: Zachry EPC Aug 2025, groundbreaking Feb 13 2026, first GE Vernova GT on site Jul 23 2026, Zachry craft hiring from Jul 2026; COD Q4 2028 (SC ORS) -&gt; bulk MV/600V/tray bid likely now; act immediately. CC2 (Q4 2029, likely Zachry) -&gt; separate close ~12/15/2027. Other contacts: Ralph Biediger (EPC Group President, Zachry); Bill Norton (Duke spokesperson). Utility is Duke Energy Progress (not DEC).</t>
        </is>
      </c>
      <c r="AK12" s="38" t="inlineStr">
        <is>
          <t>Engage Zachry procurement now for CC1 (+CC2 combined buy); contact John Robert Smith Jr. (Duke PM&amp;C).</t>
        </is>
      </c>
      <c r="AL12" s="38" t="inlineStr">
        <is>
          <t>*RPBD* OVERVIEW: 1,360 MW natural-gas COMBINED-CYCLE block (first of two identical blocks, 2,720 MW total) at Duke's 'Person County Energy Complex' (Roxboro plant), enabling retirement of Roxboro coal units 1 &amp; 4. NCEMC co-owns ~225 MW. Nearby Microsoft-owned Person County Mega Park (~1,350 acres). TECHNOLOGY &amp; EQUIPMENT: 2x1 advanced-class, hydrogen-capable CC - 2x GE Vernova gas turbines, 2x HRSGs, 1x GE Vernova steam turbine generator (~450 tons); first GT on site Jul 23, 2026. SITE: BROWNFIELD - ~50 acres of undeveloped land within the existing Roxboro coal plant property, Semora Road side, Semora/Roxboro, Person County. OWNERSHIP/EPC: Duke Energy Progress (majority) + NCEMC; full EPC Zachry Group (awarded Aug 2025). NCUC CPCN Oct 2025; groundbreaking Feb 13, 2026; COD Q4 2028 (CC2 Q4 2029). Cost ~$2.13B (CC1). Two new tie lines from the site. INVESTMENT: Total project investment ~$2.13B (CC1, DEP Class 3 estimate); est. W&amp;C value $10,880,000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CC2 doubles the scope ~1 year later with the same EPC. Ref: https://zachrygroup.com/press-releases/Duke_Energy_Awards_EPC_Contract_for_the_first_Person_County_Combined_Cycle_Project_to_Zachry_Group.html | https://www.duke-energy.com/info/person | https://www.theassemblync.com/news/business/person-county-microsoft-data-center-nondisclosure-agreements/</t>
        </is>
      </c>
      <c r="AM12" s="40" t="n"/>
      <c r="AN12" s="40" t="n"/>
      <c r="AO12" s="43" t="n"/>
      <c r="AP12" s="36" t="inlineStr">
        <is>
          <t>Person County CC1</t>
        </is>
      </c>
      <c r="AQ12" s="38" t="inlineStr">
        <is>
          <t>Duke Energy Progress grid (two new tie lines)</t>
        </is>
      </c>
      <c r="AR12" s="39" t="n"/>
      <c r="AS12" s="36" t="inlineStr">
        <is>
          <t>10017400436</t>
        </is>
      </c>
      <c r="AT12" s="39" t="n"/>
      <c r="AU12" s="39" t="n"/>
      <c r="AV12" s="39" t="n"/>
      <c r="AW12" s="39" t="n"/>
    </row>
    <row r="13" ht="23" customHeight="1">
      <c r="A13" s="36" t="inlineStr">
        <is>
          <t>Delta Blues Advanced Power Station</t>
        </is>
      </c>
      <c r="B13" s="36" t="inlineStr">
        <is>
          <t>Entergy Mississippi</t>
        </is>
      </c>
      <c r="C13" s="37" t="inlineStr">
        <is>
          <t>In Progress</t>
        </is>
      </c>
      <c r="D13" s="38" t="inlineStr">
        <is>
          <t>Delta Blues Power Project (May 2028) (Yes Energy); EIA 67914; Superpower Mississippi; replaces Gerald Andrus plant</t>
        </is>
      </c>
      <c r="E13" s="37" t="inlineStr">
        <is>
          <t>IOU</t>
        </is>
      </c>
      <c r="F13" s="38" t="inlineStr">
        <is>
          <t>Ernest Rufus, Senior Manager, Capital Projects (Delta Blues &amp; Vicksburg)</t>
        </is>
      </c>
      <c r="G13" s="36" t="inlineStr">
        <is>
          <t>Entergy Mississippi</t>
        </is>
      </c>
      <c r="H13" s="39" t="n"/>
      <c r="I13" s="37" t="inlineStr">
        <is>
          <t>EPC</t>
        </is>
      </c>
      <c r="J13" s="40" t="n"/>
      <c r="K13" s="38" t="inlineStr">
        <is>
          <t>Under Construction - HRSG erection underway</t>
        </is>
      </c>
      <c r="L13" s="40" t="n"/>
      <c r="M13" s="41">
        <f>P13*1000*Guide!$B$81</f>
        <v/>
      </c>
      <c r="N13" s="42" t="n"/>
      <c r="O13" s="43" t="n"/>
      <c r="P13" s="44" t="n">
        <v>754</v>
      </c>
      <c r="Q13" s="43" t="n"/>
      <c r="R13" s="36" t="inlineStr">
        <is>
          <t>Greenville</t>
        </is>
      </c>
      <c r="S13" s="36" t="inlineStr">
        <is>
          <t>Washington</t>
        </is>
      </c>
      <c r="T13" s="36" t="inlineStr">
        <is>
          <t>MS</t>
        </is>
      </c>
      <c r="U13" s="37" t="inlineStr">
        <is>
          <t>United States</t>
        </is>
      </c>
      <c r="V13" s="40" t="n"/>
      <c r="W13" s="45" t="n">
        <v>46874</v>
      </c>
      <c r="X13" s="45" t="n">
        <v>47058</v>
      </c>
      <c r="Y13" s="45" t="n">
        <v>46356</v>
      </c>
      <c r="Z13" s="37" t="inlineStr">
        <is>
          <t>Power Generation</t>
        </is>
      </c>
      <c r="AA13" s="37" t="inlineStr">
        <is>
          <t>Generation</t>
        </is>
      </c>
      <c r="AB13" s="37" t="inlineStr">
        <is>
          <t>New Capacity/New Build</t>
        </is>
      </c>
      <c r="AC13" s="37" t="inlineStr">
        <is>
          <t>Replacement / End-of-Life</t>
        </is>
      </c>
      <c r="AD13" s="37" t="inlineStr">
        <is>
          <t>Generation</t>
        </is>
      </c>
      <c r="AE13" s="38" t="inlineStr">
        <is>
          <t>Natural gas generation - electrical BoP (MV/LV power, tray/control &amp; instrumentation cable, substation)</t>
        </is>
      </c>
      <c r="AF13" s="37" t="inlineStr">
        <is>
          <t>Brownfield</t>
        </is>
      </c>
      <c r="AG13" s="37" t="inlineStr">
        <is>
          <t>Traditional</t>
        </is>
      </c>
      <c r="AH13" s="37" t="inlineStr">
        <is>
          <t>Natural Gas</t>
        </is>
      </c>
      <c r="AI13" s="37" t="inlineStr">
        <is>
          <t>No</t>
        </is>
      </c>
      <c r="AJ13" s="38" t="inlineStr">
        <is>
          <t>*RPBD* MAIN WINDOW LIKELY PASSED: HRSG erection May 2026 ("anchor bolts up"), COD May 2028 -&gt; bulk cable likely bought; remaining late releases, change orders, I&amp;C top-ups. EPC TSL Power Partners (Kiewit/TIC), Kiewit 200+ on site. Use as entry to TSL Entergy program buy for sister plants. Yes Energy 879 MW/$651M vs Entergy 754 MW/$1.2B.</t>
        </is>
      </c>
      <c r="AK13" s="38" t="inlineStr">
        <is>
          <t>Contact Ernest Rufus and TSL/TIC procurement now - target program buy for Vicksburg/Ironwood/Waterford.</t>
        </is>
      </c>
      <c r="AL13" s="38" t="inlineStr">
        <is>
          <t>*RPBD* OVERVIEW: 754 MW natural-gas COMBINED-CYCLE plant ('Superpower Mississippi'), replacing the aging Gerald Andrus Steam Electric Station; serves ~385,000 homes across Entergy Mississippi's 45 counties. TECHNOLOGY &amp; EQUIPMENT: 1x1 combined cycle - Mitsubishi Power M501JAC gas turbine (per GEM), HRSG (modules being lifted May 2026), steam turbine; dual-fuel, hydrogen-blend capable. SITE: BROWNFIELD-ADJACENT - new footprint within ~1 mile of the Andrus plant, 85 Stokes King Road, Greenville, Washington County; reuses Andrus transmission and gas infrastructure (acreage not published). INTERCONNECTION: ~1.5 miles of new transmission line to the existing substation next to Andrus; new Delta Blues substation. OWNERSHIP/EPC: Entergy Mississippi; EPC TSL Power Partners (Kiewit Power Constructors / TIC; Kiewit 200+ on site). Groundbreaking Nov 2024; COD May 2028; ~$1.2B. INVESTMENT: Total project investment ~$1.2B (Entergy); Yes Energy $651M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Plus ~1.5 mi transmission line conductor and substation cable. Status: above-ground erection since May 2026 - bulk cable likely ordered. Ref: https://www.power-eng.com/gas/combined-cycle/entergy-mississippi-breaks-ground-on-754-mw-combined-cycle-plant/ | https://www.entergy.com/blog/delta-blues-reaches-important-milestone-in-construction | https://www.gem.wiki/Delta_Blues_Advanced_Power_Station | https://opcgis.deq.state.ms.us/ensearchonline/ai_info.aspx?ai=86260</t>
        </is>
      </c>
      <c r="AM13" s="40" t="n"/>
      <c r="AN13" s="40" t="n"/>
      <c r="AO13" s="44" t="n">
        <v>1.5</v>
      </c>
      <c r="AP13" s="36" t="inlineStr">
        <is>
          <t>Delta Blues Advanced Power Station</t>
        </is>
      </c>
      <c r="AQ13" s="38" t="inlineStr">
        <is>
          <t>Existing substation at Gerald Andrus station</t>
        </is>
      </c>
      <c r="AR13" s="39" t="n"/>
      <c r="AS13" s="36" t="inlineStr">
        <is>
          <t>10018299981</t>
        </is>
      </c>
      <c r="AT13" s="39" t="n"/>
      <c r="AU13" s="39" t="n"/>
      <c r="AV13" s="39" t="n"/>
      <c r="AW13" s="39" t="n"/>
    </row>
    <row r="14" ht="23" customHeight="1">
      <c r="A14" s="36" t="inlineStr">
        <is>
          <t>Vicksburg Advanced Power Station</t>
        </is>
      </c>
      <c r="B14" s="36" t="inlineStr">
        <is>
          <t>Entergy Mississippi</t>
        </is>
      </c>
      <c r="C14" s="37" t="inlineStr">
        <is>
          <t>In Progress</t>
        </is>
      </c>
      <c r="D14" s="38" t="inlineStr">
        <is>
          <t>Vicksburg Advanced Power Project (Aug 2028) (Yes Energy); EIA 69223; former Baxter Wilson site; Superpower Mississippi</t>
        </is>
      </c>
      <c r="E14" s="37" t="inlineStr">
        <is>
          <t>IOU</t>
        </is>
      </c>
      <c r="F14" s="38" t="inlineStr">
        <is>
          <t>Ernest Rufus, Senior Manager, Capital Projects (Vicksburg role to confirm)</t>
        </is>
      </c>
      <c r="G14" s="36" t="inlineStr">
        <is>
          <t>Entergy Mississippi</t>
        </is>
      </c>
      <c r="H14" s="39" t="n"/>
      <c r="I14" s="37" t="inlineStr">
        <is>
          <t>EPC</t>
        </is>
      </c>
      <c r="J14" s="40" t="n"/>
      <c r="K14" s="38" t="inlineStr">
        <is>
          <t>Under Construction - groundbreaking Oct 2025</t>
        </is>
      </c>
      <c r="L14" s="40" t="n"/>
      <c r="M14" s="41">
        <f>P14*1000*Guide!$B$81</f>
        <v/>
      </c>
      <c r="N14" s="42" t="n"/>
      <c r="O14" s="43" t="n"/>
      <c r="P14" s="44" t="n">
        <v>754</v>
      </c>
      <c r="Q14" s="43" t="n"/>
      <c r="R14" s="36" t="inlineStr">
        <is>
          <t>Vicksburg</t>
        </is>
      </c>
      <c r="S14" s="36" t="inlineStr">
        <is>
          <t>Warren</t>
        </is>
      </c>
      <c r="T14" s="36" t="inlineStr">
        <is>
          <t>MS</t>
        </is>
      </c>
      <c r="U14" s="37" t="inlineStr">
        <is>
          <t>United States</t>
        </is>
      </c>
      <c r="V14" s="40" t="n"/>
      <c r="W14" s="45" t="n">
        <v>46966</v>
      </c>
      <c r="X14" s="45" t="n">
        <v>47150</v>
      </c>
      <c r="Y14" s="45" t="n">
        <v>46371</v>
      </c>
      <c r="Z14" s="37" t="inlineStr">
        <is>
          <t>Power Generation</t>
        </is>
      </c>
      <c r="AA14" s="37" t="inlineStr">
        <is>
          <t>Generation</t>
        </is>
      </c>
      <c r="AB14" s="37" t="inlineStr">
        <is>
          <t>New Capacity/New Build</t>
        </is>
      </c>
      <c r="AC14" s="37" t="inlineStr">
        <is>
          <t>New Load Growth</t>
        </is>
      </c>
      <c r="AD14" s="37" t="inlineStr">
        <is>
          <t>Generation</t>
        </is>
      </c>
      <c r="AE14" s="38" t="inlineStr">
        <is>
          <t>Natural gas generation - electrical BoP (MV/LV power, tray/control &amp; instrumentation cable, substation)</t>
        </is>
      </c>
      <c r="AF14" s="37" t="inlineStr">
        <is>
          <t>Brownfield</t>
        </is>
      </c>
      <c r="AG14" s="37" t="inlineStr">
        <is>
          <t>Traditional</t>
        </is>
      </c>
      <c r="AH14" s="37" t="inlineStr">
        <is>
          <t>Natural Gas</t>
        </is>
      </c>
      <c r="AI14" s="37" t="inlineStr">
        <is>
          <t>No</t>
        </is>
      </c>
      <c r="AJ14" s="38" t="inlineStr">
        <is>
          <t>*RPBD* URGENT: groundbreaking Oct 21 2025, Baxter Wilson demolition Dec 2025, COD Aug 2028 -&gt; cable window now through ~Feb 2027; may be partly placed if TSL bought with Delta Blues. Linked contextually to AWS $3B Vicksburg campus. Entergy MS media line 769-262-0745.</t>
        </is>
      </c>
      <c r="AK14" s="38" t="inlineStr">
        <is>
          <t>Engage TSL/TIC procurement now; confirm Ernest Rufus covers Vicksburg (confirmed on Delta Blues only) and ask for the named project buyer.</t>
        </is>
      </c>
      <c r="AL14" s="38" t="inlineStr">
        <is>
          <t>*RPBD* OVERVIEW: 754 MW natural-gas COMBINED-CYCLE plant, next phase of 'Superpower Mississippi'; ~560 construction jobs, 21 permanent. Contextually linked to Amazon/AWS's $3B Vicksburg data-center campus (AWS covers its service-extension costs). TECHNOLOGY &amp; EQUIPMENT: combined cycle (gas turbine + HRSG + steam turbine), hydrogen-blend capable and carbon-capture enabled; turbine OEM not confirmed (Mitsubishi likely via TSL/Mitsubishi Entergy program). SITE: BROWNFIELD - former Baxter Wilson Steam Electric Station (1960s gas/oil plant, retired 2022; large structures demolished Dec 17, 2025), 770 Kemp Bottom Rd, Vicksburg, Warren County, on the Mississippi River; existing transmission/gas corridors (acreage not published). OWNERSHIP/EPC: Entergy Mississippi; EPC TSL Power Partners (TIC/Kiewit + Sargent &amp; Lundy) with Mitsubishi Power Americas (per TIC Entergy Program page). Groundbreaking Oct 21, 2025; COD Aug 2028; ~$1.2B. INVESTMENT: Total project investment ~$1.2B (Entergy); Yes Energy $700M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Ref: https://www.entergymississippi.com/generation/vicksburg | https://www.powermag.com/entergy-mississippi-adding-third-gas-fired-power-plant-to-superpower-strategy/ | https://www.datacenterdynamics.com/en/news/amazon-to-build-3bn-data-center-campus-in-vicksburg-mississippi/</t>
        </is>
      </c>
      <c r="AM14" s="40" t="n"/>
      <c r="AN14" s="40" t="n"/>
      <c r="AO14" s="43" t="n"/>
      <c r="AP14" s="39" t="n"/>
      <c r="AQ14" s="39" t="n"/>
      <c r="AR14" s="39" t="n"/>
      <c r="AS14" s="36" t="inlineStr">
        <is>
          <t>10019088992</t>
        </is>
      </c>
      <c r="AT14" s="39" t="n"/>
      <c r="AU14" s="39" t="n"/>
      <c r="AV14" s="39" t="n"/>
      <c r="AW14" s="39" t="n"/>
    </row>
    <row r="15" ht="23" customHeight="1">
      <c r="A15" s="36" t="inlineStr">
        <is>
          <t>Sycamore Riverside Energy Center</t>
        </is>
      </c>
      <c r="B15" s="36" t="inlineStr">
        <is>
          <t>Indiana Michigan Power (AEP)</t>
        </is>
      </c>
      <c r="C15" s="37" t="inlineStr">
        <is>
          <t>Open</t>
        </is>
      </c>
      <c r="D15" s="38" t="inlineStr">
        <is>
          <t>Sullivan Generating Station (May 2027) (Yes Energy); Sullivan Generating Station 1 &amp; 2 (PJM AB1-087/AB1-088); IURC Cause 46389</t>
        </is>
      </c>
      <c r="E15" s="37" t="inlineStr">
        <is>
          <t>IOU</t>
        </is>
      </c>
      <c r="F15" s="38" t="inlineStr">
        <is>
          <t>John E. Niland, VP, New Technology &amp; Thermal Development</t>
        </is>
      </c>
      <c r="G15" s="36" t="inlineStr">
        <is>
          <t>Invenergy (to be acquired by I&amp;M at COD)</t>
        </is>
      </c>
      <c r="H15" s="39" t="n"/>
      <c r="I15" s="37" t="inlineStr">
        <is>
          <t>Developer</t>
        </is>
      </c>
      <c r="J15" s="40" t="n"/>
      <c r="K15" s="38" t="inlineStr">
        <is>
          <t>Advanced Development - IURC CPCN order expected end-2026</t>
        </is>
      </c>
      <c r="L15" s="40" t="n"/>
      <c r="M15" s="41">
        <f>P15*1000*Guide!$B$81</f>
        <v/>
      </c>
      <c r="N15" s="42" t="n"/>
      <c r="O15" s="43" t="n"/>
      <c r="P15" s="44" t="n">
        <v>918</v>
      </c>
      <c r="Q15" s="44" t="n">
        <v>345</v>
      </c>
      <c r="R15" s="36" t="inlineStr">
        <is>
          <t>Fairbanks Township</t>
        </is>
      </c>
      <c r="S15" s="36" t="inlineStr">
        <is>
          <t>Sullivan</t>
        </is>
      </c>
      <c r="T15" s="36" t="inlineStr">
        <is>
          <t>IN</t>
        </is>
      </c>
      <c r="U15" s="37" t="inlineStr">
        <is>
          <t>United States</t>
        </is>
      </c>
      <c r="V15" s="40" t="n"/>
      <c r="W15" s="45" t="n">
        <v>47208</v>
      </c>
      <c r="X15" s="45" t="n">
        <v>47391</v>
      </c>
      <c r="Y15" s="45" t="n">
        <v>46568</v>
      </c>
      <c r="Z15" s="37" t="inlineStr">
        <is>
          <t>Power Generation</t>
        </is>
      </c>
      <c r="AA15" s="37" t="inlineStr">
        <is>
          <t>Generation</t>
        </is>
      </c>
      <c r="AB15" s="37" t="inlineStr">
        <is>
          <t>New Capacity/New Build</t>
        </is>
      </c>
      <c r="AC15" s="37" t="inlineStr">
        <is>
          <t>New Load Growth</t>
        </is>
      </c>
      <c r="AD15" s="37" t="inlineStr">
        <is>
          <t>Generation</t>
        </is>
      </c>
      <c r="AE15" s="38" t="inlineStr">
        <is>
          <t>Natural gas generation - electrical BoP (MV/LV power, tray/control &amp; instrumentation cable, substation)</t>
        </is>
      </c>
      <c r="AF15" s="37" t="inlineStr">
        <is>
          <t>Brownfield</t>
        </is>
      </c>
      <c r="AG15" s="37" t="inlineStr">
        <is>
          <t>Traditional</t>
        </is>
      </c>
      <c r="AH15" s="37" t="inlineStr">
        <is>
          <t>Natural Gas</t>
        </is>
      </c>
      <c r="AI15" s="37" t="inlineStr">
        <is>
          <t>No</t>
        </is>
      </c>
      <c r="AJ15" s="38" t="inlineStr">
        <is>
          <t>*RPBD* AWARD (PO) DATE BASIS: Boldt lists construction Sep 2026-Feb 2029 (built at risk before IURC order expected end-2026); COD Mar 31 2029 -&gt; cable window Q1-Q3 2027; Invenergy/Boldt buy, not I&amp;M. Other contacts: Daniel Runyan (SVP Development, Invenergy); Steve Baker (President &amp; COO, I&amp;M); Timothy B. Gaul (Dir. Regulated Infrastructure Development, AEPSC); Timothy C. Kerns (Sterling Industrial - owner's engineer witness). PJM (not MISO), 918 MW SC (not 1,150 MW CC). Existing Salesforce opportunity (CRM: 930 MW combined cycle, award 10/1/2026) - update CRM to 918 MW simple cycle; merge Sullivan Generating Station 1 &amp; 2 duplicates.</t>
        </is>
      </c>
      <c r="AK15" s="38" t="inlineStr">
        <is>
          <t>Engage Boldt procurement and Invenergy thermal construction now (Q4 2026-Q1 2027) for MV/600V/tray bid lists.</t>
        </is>
      </c>
      <c r="AL15" s="38" t="inlineStr">
        <is>
          <t>*RPBD* OVERVIEW: ~918-935 MW natural-gas SIMPLE-CYCLE PEAKING plant developed by Invenergy and to be acquired by Indiana Michigan Power (AEP) at COD (Mar 31, 2029) to meet data-center-driven load growth (AWS, Google, Microsoft). Formerly queued as Sullivan Generating Station 1 &amp; 2 (1,150 MW CC concept). TECHNOLOGY &amp; EQUIPMENT: 4x GE Vernova 7F.05 combustion turbines (~232 MW each), dual-fuel natural gas with ultra-low-sulfur distillate backup; gas via ~5.5-mile 24-inch ONEOK lateral. SITE: BROWNFIELD-ADJACENT - next to I&amp;M's retired, demolished Breed coal plant, CR 925N, Fairbanks Township, Sullivan County; ~64-acre plant footprint within ~356-acre parcel (local meeting summary - verify). Invenergy holds land under purchase option. INTERCONNECTION: AEP/I&amp;M Sullivan 345 kV station (new 345 kV breakers), PJM. OWNERSHIP/STATUS: Invenergy (developer) -&gt; I&amp;M; IURC Cause 46389 order expected end-2026; constructor The Boldt Company lists construction Sep 2026-Feb 2029; ~$500M capital (Invenergy). INVESTMENT: Total project investment ~$500M capital investment (Invenergy); est. W&amp;C value $7,344,000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Dual-fuel adds fuel-oil system cabling. Ref: https://www.aep.com/news/stories/view/11850/ | https://sycamoreriverside.invenergy.com/about-project | https://www.pjm.com/pub/planning/project-queues/facilities/ab1087_fac.pdf | https://www.gem.wiki/Sycamore_Riverside_Energy_Center</t>
        </is>
      </c>
      <c r="AM15" s="40" t="n"/>
      <c r="AN15" s="40" t="n"/>
      <c r="AO15" s="43" t="n"/>
      <c r="AP15" s="39" t="n"/>
      <c r="AQ15" s="39" t="n"/>
      <c r="AR15" s="39" t="n"/>
      <c r="AS15" s="36" t="inlineStr">
        <is>
          <t>10019254864</t>
        </is>
      </c>
      <c r="AT15" s="39" t="n"/>
      <c r="AU15" s="39" t="n"/>
      <c r="AV15" s="39" t="n"/>
      <c r="AW15" s="39" t="n"/>
    </row>
    <row r="16" ht="23" customHeight="1">
      <c r="A16" s="38" t="inlineStr">
        <is>
          <t>Franklin Farms Power Station (Units 1 &amp; 2)</t>
        </is>
      </c>
      <c r="B16" s="36" t="inlineStr">
        <is>
          <t>Entergy Louisiana</t>
        </is>
      </c>
      <c r="C16" s="37" t="inlineStr">
        <is>
          <t>In Progress</t>
        </is>
      </c>
      <c r="D16" s="38" t="inlineStr">
        <is>
          <t>Titanium Advanced Power Station CCCT Project (Yes Energy / air permit); EIA 68214; MISO E0014; LPSC U-37425</t>
        </is>
      </c>
      <c r="E16" s="37" t="inlineStr">
        <is>
          <t>IOU</t>
        </is>
      </c>
      <c r="F16" s="38" t="inlineStr">
        <is>
          <t>Nicholas D. Pressler, Director, Power Development</t>
        </is>
      </c>
      <c r="G16" s="38" t="inlineStr">
        <is>
          <t>Entergy Louisiana (state-owned Franklin Farms site)</t>
        </is>
      </c>
      <c r="H16" s="39" t="n"/>
      <c r="I16" s="37" t="inlineStr">
        <is>
          <t>EPC</t>
        </is>
      </c>
      <c r="J16" s="40" t="n"/>
      <c r="K16" s="38" t="inlineStr">
        <is>
          <t>Under Construction - groundbreaking Dec 1, 2025</t>
        </is>
      </c>
      <c r="L16" s="40" t="n"/>
      <c r="M16" s="41">
        <f>P16*1000*Guide!$B$81</f>
        <v/>
      </c>
      <c r="N16" s="42" t="n"/>
      <c r="O16" s="43" t="n"/>
      <c r="P16" s="44" t="n">
        <v>1508</v>
      </c>
      <c r="Q16" s="44" t="n">
        <v>500</v>
      </c>
      <c r="R16" s="36" t="inlineStr">
        <is>
          <t>Holly Ridge</t>
        </is>
      </c>
      <c r="S16" s="36" t="inlineStr">
        <is>
          <t>Richland Parish</t>
        </is>
      </c>
      <c r="T16" s="36" t="inlineStr">
        <is>
          <t>LA</t>
        </is>
      </c>
      <c r="U16" s="37" t="inlineStr">
        <is>
          <t>United States</t>
        </is>
      </c>
      <c r="V16" s="40" t="n"/>
      <c r="W16" s="45" t="n">
        <v>47088</v>
      </c>
      <c r="X16" s="45" t="n">
        <v>47270</v>
      </c>
      <c r="Y16" s="45" t="n">
        <v>46416</v>
      </c>
      <c r="Z16" s="37" t="inlineStr">
        <is>
          <t>Power Generation</t>
        </is>
      </c>
      <c r="AA16" s="37" t="inlineStr">
        <is>
          <t>Generation</t>
        </is>
      </c>
      <c r="AB16" s="37" t="inlineStr">
        <is>
          <t>New Capacity/New Build</t>
        </is>
      </c>
      <c r="AC16" s="37" t="inlineStr">
        <is>
          <t>Load Interconnection</t>
        </is>
      </c>
      <c r="AD16" s="37" t="inlineStr">
        <is>
          <t>Generation</t>
        </is>
      </c>
      <c r="AE16" s="38" t="inlineStr">
        <is>
          <t>Natural gas generation - electrical BoP (MV/LV power, tray/control &amp; instrumentation cable, substation)</t>
        </is>
      </c>
      <c r="AF16" s="37" t="inlineStr">
        <is>
          <t>Greenfield</t>
        </is>
      </c>
      <c r="AG16" s="37" t="inlineStr">
        <is>
          <t>Traditional</t>
        </is>
      </c>
      <c r="AH16" s="37" t="inlineStr">
        <is>
          <t>Natural Gas</t>
        </is>
      </c>
      <c r="AI16" s="37" t="inlineStr">
        <is>
          <t>Yes</t>
        </is>
      </c>
      <c r="AJ16" s="38" t="inlineStr">
        <is>
          <t>*RPBD* AWARD (PO) DATE BASIS: groundbreaking Dec 1 2025, COD Dec 2028; IMI valve order Sep 2026 says detailed engineering still active -&gt; cable window Dec 2026-Jun 2027, early MV/grounding packages possibly Q4 2026. EPC TSL Power Partners/Kiewit + Mitsubishi. Other contacts: Phillip May (CEO, Entergy LA); Carlos Ruiz (VP Power Development, Entergy); Jim Niemiec (VP &amp; Chief Supply Chain Officer, Entergy); media Brandon Scardigli 504-576-4132. Separate 500 kV transmission opportunity.</t>
        </is>
      </c>
      <c r="AK16" s="38" t="inlineStr">
        <is>
          <t>Engage TSL/TIC procurement now; contact Nicholas Pressler; open separate 500 kV transmission opportunity.</t>
        </is>
      </c>
      <c r="AL16" s="38" t="inlineStr">
        <is>
          <t>*RPBD* OVERVIEW: ~1,508 MW natural-gas COMBINED-CYCLE station (two units) built to power Meta's Hyperion AI data-center campus; Meta pays the plants' full revenue requirement for 15 years. Air permit name 'Titanium Advanced Power Station'. ~7 more Hyperion plants (~5.2 GW) proposed, LPSC vote Dec 2026. TECHNOLOGY &amp; EQUIPMENT: 2x 1x1 combined-cycle blocks - Mitsubishi Power M501JAC gas turbines, HRSGs, steam turbines (~754-780 MW each); hydrogen-capable (30% co-fire), carbon-capture ready; IMI valve package (Sep 2026). SITE: GREENFIELD - former agricultural land on the state-owned Franklin Farms megasite (~1,400-2,250 acres total incl. Meta campus) along LA Hwy 183 near Holly Ridge, Richland Parish. INTERCONNECTION: Entergy 500 kV system - ~100 miles of new 500 kV lines (~$1.2B), eight new 230 kV lines, Sterlington 500 kV upgrades. OWNERSHIP/EPC: Entergy Louisiana; EPC TSL Power Partners (TIC/Kiewit + Sargent &amp; Lundy) with Mitsubishi Power. LPSC approval Aug 2025; groundbreaking Dec 1, 2025; COD Dec 2028; ~$2.39B for both units. INVESTMENT: Total project investment ~$2.39B (Franklin Farms 1 &amp; 2, LPSC testimony); est. W&amp;C value $12,064,000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Separate opportunity: HV/500 kV transmission conductor and substation cable. Ref: https://www.entergy.com/news/entergy-louisiana-breaks-ground-on-new-state-of-the-art-generation-facilities-to-power-reliability-growth-and-innovation | https://www.ticus.com/entergy-program/ | https://www.gem.wiki/Franklin_Farms_power_station | https://www.datacenterdynamics.com/en/news/entergy-breaks-ground-on-two-natural-gas-plants-for-metas-2gw-data-center-in-richland-parish-louisiana/</t>
        </is>
      </c>
      <c r="AM16" s="40" t="n"/>
      <c r="AN16" s="40" t="n"/>
      <c r="AO16" s="43" t="n"/>
      <c r="AP16" s="39" t="n"/>
      <c r="AQ16" s="39" t="n"/>
      <c r="AR16" s="39" t="n"/>
      <c r="AS16" s="36" t="inlineStr">
        <is>
          <t>10019228423</t>
        </is>
      </c>
      <c r="AT16" s="39" t="n"/>
      <c r="AU16" s="39" t="n"/>
      <c r="AV16" s="39" t="n"/>
      <c r="AW16" s="39" t="n"/>
    </row>
    <row r="17" ht="23" customHeight="1">
      <c r="A17" s="36" t="inlineStr">
        <is>
          <t>Waterford 5 Power Station</t>
        </is>
      </c>
      <c r="B17" s="36" t="inlineStr">
        <is>
          <t>Entergy Louisiana</t>
        </is>
      </c>
      <c r="C17" s="37" t="inlineStr">
        <is>
          <t>Open</t>
        </is>
      </c>
      <c r="D17" s="38" t="inlineStr">
        <is>
          <t>Waterford 5 Project (June 2029) (Yes Energy); EIA 69184; MISO E0029; Waterford 5 &amp; 6</t>
        </is>
      </c>
      <c r="E17" s="37" t="inlineStr">
        <is>
          <t>IOU</t>
        </is>
      </c>
      <c r="F17" s="38" t="inlineStr">
        <is>
          <t>Nicholas D. Pressler, Director, Power Development</t>
        </is>
      </c>
      <c r="G17" s="36" t="inlineStr">
        <is>
          <t>Entergy Louisiana</t>
        </is>
      </c>
      <c r="H17" s="39" t="n"/>
      <c r="I17" s="37" t="inlineStr">
        <is>
          <t>EPC</t>
        </is>
      </c>
      <c r="J17" s="40" t="n"/>
      <c r="K17" s="38" t="inlineStr">
        <is>
          <t>Advanced Development - site prep since Nov 2025; construction late 2026</t>
        </is>
      </c>
      <c r="L17" s="40" t="n"/>
      <c r="M17" s="41">
        <f>P17*1000*Guide!$B$81</f>
        <v/>
      </c>
      <c r="N17" s="42" t="n"/>
      <c r="O17" s="43" t="n"/>
      <c r="P17" s="44" t="n">
        <v>754</v>
      </c>
      <c r="Q17" s="44" t="n">
        <v>500</v>
      </c>
      <c r="R17" s="36" t="inlineStr">
        <is>
          <t>Killona / Taft</t>
        </is>
      </c>
      <c r="S17" s="36" t="inlineStr">
        <is>
          <t>St. Charles Parish</t>
        </is>
      </c>
      <c r="T17" s="36" t="inlineStr">
        <is>
          <t>LA</t>
        </is>
      </c>
      <c r="U17" s="37" t="inlineStr">
        <is>
          <t>United States</t>
        </is>
      </c>
      <c r="V17" s="40" t="n"/>
      <c r="W17" s="45" t="n">
        <v>47270</v>
      </c>
      <c r="X17" s="45" t="n">
        <v>47453</v>
      </c>
      <c r="Y17" s="45" t="n">
        <v>46660</v>
      </c>
      <c r="Z17" s="37" t="inlineStr">
        <is>
          <t>Power Generation</t>
        </is>
      </c>
      <c r="AA17" s="37" t="inlineStr">
        <is>
          <t>Generation</t>
        </is>
      </c>
      <c r="AB17" s="37" t="inlineStr">
        <is>
          <t>New Capacity/New Build</t>
        </is>
      </c>
      <c r="AC17" s="37" t="inlineStr">
        <is>
          <t>Load Interconnection</t>
        </is>
      </c>
      <c r="AD17" s="37" t="inlineStr">
        <is>
          <t>Generation</t>
        </is>
      </c>
      <c r="AE17" s="38" t="inlineStr">
        <is>
          <t>Natural gas generation - electrical BoP (MV/LV power, tray/control &amp; instrumentation cable, substation)</t>
        </is>
      </c>
      <c r="AF17" s="37" t="inlineStr">
        <is>
          <t>Brownfield</t>
        </is>
      </c>
      <c r="AG17" s="37" t="inlineStr">
        <is>
          <t>Traditional</t>
        </is>
      </c>
      <c r="AH17" s="37" t="inlineStr">
        <is>
          <t>Natural Gas</t>
        </is>
      </c>
      <c r="AI17" s="37" t="inlineStr">
        <is>
          <t>Yes</t>
        </is>
      </c>
      <c r="AJ17" s="38" t="inlineStr">
        <is>
          <t>*RPBD* AWARD (PO) DATE BASIS: site prep since Nov 2025, main construction late 2026, COD 2029 -&gt; cable window mid-2027-mid-2028. Waterford 6 (754 MW, ~Jul 2030, LPSC vote Dec 16 2026, same EPC) - pitch combined WF5+6 buy (~$3.75B program). Other contact: Michelle Berg (Entergy, parish council briefing - secondary source).</t>
        </is>
      </c>
      <c r="AK17" s="38" t="inlineStr">
        <is>
          <t>Pitch combined Waterford 5+6 cable package to TSL; contact Nicholas Pressler.</t>
        </is>
      </c>
      <c r="AL17" s="38" t="inlineStr">
        <is>
          <t>*RPBD* OVERVIEW: ~754-820 MW natural-gas COMBINED-CYCLE unit approved with Franklin Farms to support Meta's Hyperion load; paired with proposed Waterford 6 (754 MW, ~Jul 2030, LPSC vote Dec 16, 2026) - ~$3.75B WF5+6 program, 700+ construction jobs 2026-2030. TECHNOLOGY &amp; EQUIPMENT: 1x1 combined cycle - Mitsubishi Power M501JAC gas turbine, HRSG, steam turbine (EIA: 2 generators, 820 MW nameplate). SITE: BROWNFIELD - existing Entergy Waterford generating complex at Killona/Taft, St. Charles Parish, on the Mississippi River (home to Waterford 1 &amp; 2 gas/oil units and Waterford 3 nuclear); soft soils require ~100,000 truckloads of surcharge fill (site prep since Nov 2025). INTERCONNECTION: Waterford 500 kV substation via ~0.25-mile 500 kV gen-tie (MISO E0029). OWNERSHIP/EPC: Entergy Louisiana; EPC TSL Power Partners (TIC + Sargent &amp; Lundy) per LPSC Waterford 6 filing. Main construction late 2026; COD 2029. Cost ~ $1.2B implied. INVESTMENT: Total project investment ~$1.2B implied (similar to each Franklin Farms unit); Yes Energy $1.75B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Plus 500 kV gen-tie; bundle Waterford 5 + 6 as one cable package. Ref: https://www.entergylouisiana.com/waterford5-6 | https://www.interconnection.fyi/project/miso-e0029 | https://www.entergy.com/blog/the-dirt-on-dirt-from-digging-soil-to-boosting-louisianas-economy</t>
        </is>
      </c>
      <c r="AM17" s="40" t="n"/>
      <c r="AN17" s="40" t="n"/>
      <c r="AO17" s="44" t="n">
        <v>0.25</v>
      </c>
      <c r="AP17" s="36" t="inlineStr">
        <is>
          <t>Waterford 5 Power Station</t>
        </is>
      </c>
      <c r="AQ17" s="36" t="inlineStr">
        <is>
          <t>Waterford 500 kV Substation</t>
        </is>
      </c>
      <c r="AR17" s="39" t="n"/>
      <c r="AS17" s="36" t="inlineStr">
        <is>
          <t>10019089005</t>
        </is>
      </c>
      <c r="AT17" s="39" t="n"/>
      <c r="AU17" s="39" t="n"/>
      <c r="AV17" s="39" t="n"/>
      <c r="AW17" s="39" t="n"/>
    </row>
    <row r="18" ht="23" customHeight="1">
      <c r="A18" s="36" t="inlineStr">
        <is>
          <t>AES Petersburg Unit 4 Repowered</t>
        </is>
      </c>
      <c r="B18" s="36" t="inlineStr">
        <is>
          <t>AES Indiana</t>
        </is>
      </c>
      <c r="C18" s="37" t="inlineStr">
        <is>
          <t>In Progress</t>
        </is>
      </c>
      <c r="D18" s="38" t="inlineStr">
        <is>
          <t>Petersburg Generating Station Unit 4 coal-to-gas conversion; IURC Cause 46022 (Units 3 &amp; 4)</t>
        </is>
      </c>
      <c r="E18" s="37" t="inlineStr">
        <is>
          <t>IOU</t>
        </is>
      </c>
      <c r="F18" s="36" t="inlineStr">
        <is>
          <t>Brandi Davis-Handy, President</t>
        </is>
      </c>
      <c r="G18" s="36" t="inlineStr">
        <is>
          <t>AES Indiana</t>
        </is>
      </c>
      <c r="H18" s="39" t="n"/>
      <c r="I18" s="37" t="inlineStr">
        <is>
          <t>EPC</t>
        </is>
      </c>
      <c r="J18" s="40" t="n"/>
      <c r="K18" s="38" t="inlineStr">
        <is>
          <t>Under Construction - Unit 4 conversion outage 2026</t>
        </is>
      </c>
      <c r="L18" s="40" t="n"/>
      <c r="M18" s="41">
        <f>P18*1000*Guide!$B$81</f>
        <v/>
      </c>
      <c r="N18" s="42" t="n"/>
      <c r="O18" s="43" t="n"/>
      <c r="P18" s="44" t="n">
        <v>526</v>
      </c>
      <c r="Q18" s="43" t="n"/>
      <c r="R18" s="36" t="inlineStr">
        <is>
          <t>Petersburg</t>
        </is>
      </c>
      <c r="S18" s="36" t="inlineStr">
        <is>
          <t>Pike</t>
        </is>
      </c>
      <c r="T18" s="36" t="inlineStr">
        <is>
          <t>IN</t>
        </is>
      </c>
      <c r="U18" s="37" t="inlineStr">
        <is>
          <t>United States</t>
        </is>
      </c>
      <c r="V18" s="40" t="n"/>
      <c r="W18" s="45" t="n">
        <v>46387</v>
      </c>
      <c r="X18" s="45" t="n">
        <v>46568</v>
      </c>
      <c r="Y18" s="45" t="n">
        <v>45930</v>
      </c>
      <c r="Z18" s="37" t="inlineStr">
        <is>
          <t>Power Generation</t>
        </is>
      </c>
      <c r="AA18" s="37" t="inlineStr">
        <is>
          <t>Generation</t>
        </is>
      </c>
      <c r="AB18" s="37" t="inlineStr">
        <is>
          <t>New Capacity/New Build</t>
        </is>
      </c>
      <c r="AC18" s="37" t="inlineStr">
        <is>
          <t>Regulatory / Policy</t>
        </is>
      </c>
      <c r="AD18" s="37" t="inlineStr">
        <is>
          <t>Generation</t>
        </is>
      </c>
      <c r="AE18" s="38" t="inlineStr">
        <is>
          <t>Natural gas generation - electrical BoP (MV/LV power, tray/control &amp; instrumentation cable, substation)</t>
        </is>
      </c>
      <c r="AF18" s="37" t="inlineStr">
        <is>
          <t>Brownfield</t>
        </is>
      </c>
      <c r="AG18" s="37" t="inlineStr">
        <is>
          <t>Traditional</t>
        </is>
      </c>
      <c r="AH18" s="37" t="inlineStr">
        <is>
          <t>Natural Gas</t>
        </is>
      </c>
      <c r="AI18" s="37" t="inlineStr">
        <is>
          <t>No</t>
        </is>
      </c>
      <c r="AJ18" s="38" t="inlineStr">
        <is>
          <t>AWARD (PO) DATE BASIS: B&amp;W full NTP Nov 2024, CDM Smith BOP NTP Aug 2025; Unit 4 outage Jun-Oct 2026, COD end-2026 (B&amp;W: Q1 2027) -&gt; BOP cable likely bought Q3-Q4 2025; window passed. Remaining: Unit 4 punch-list/change orders. MW (526) from CRM - unverified. Other contacts: Chris Riker (SVP, B&amp;W Thermal); Todd Hillman (SVP, AES Indiana).</t>
        </is>
      </c>
      <c r="AK18" s="38" t="inlineStr">
        <is>
          <t>Chase remaining Unit 4 fill-in orders via B&amp;W Construction / CDM Smith; leverage for future B&amp;W coal-to-gas conversions.</t>
        </is>
      </c>
      <c r="AL18" s="38" t="inlineStr">
        <is>
          <t>OVERVIEW: Coal-to-natural-gas repowering of AES Indiana's Petersburg Unit 4 (with Unit 3), ending coal at the plant; IURC approved 5-0 Nov 2024 within AES's ~$1.1B Pike County package (incl. nearby 250 MW solar + 180 MWh storage). TECHNOLOGY &amp; EQUIPMENT: boiler fuel switch on existing 1986 coal unit (not new CTs) - new B&amp;W gas burners, ignitors and controls; gas heaters, flue-gas recirculation for NOx, process piping; new 1-mile Midwestern Gas Transmission lateral. SITE: BROWNFIELD - existing Petersburg coal generating station on the White River, Petersburg, Pike County. INTERCONNECTION: existing unit interconnection (no new gen-tie), MISO. OWNERSHIP/STATUS: AES Indiana; EPC Babcock &amp; Wilcox (B&amp;W Construction Co.), BOP by CDM Smith; Unit 3 outage Feb-May 2026, Unit 4 outage Jun-Oct 2026, COD end-2026/Q1 2027. INVESTMENT: ~$293M (excl. AFUDC). W&amp;C NEEDS (coal-to-gas boiler conversion): MV power cable for new gas heaters, FGR fans and modified auxiliaries; 600V power &amp; TC-ER tray cable for new burner management, ignitors, valves and BOP; shielded instrumentation &amp; control cable for burner management system/DCS tie-ins; grounding for new gas yard. Retrofit scope - smaller than a new build, outage-driven buying. Ref: https://www.babcock.com/home/about/corporate/news/babcock-and-wilcox-receives-full-notice-to-proceed-on-246-million-contract-for-indiana-power-plant-coal-to-gas-fuel-switching-project | https://www.cdmsmith.com/en/projects/aes-coal-to-gas | https://aesindiana.com/press-release/aes-indiana-receives-approval-repower-remaining-petersburg-units-coal-natural-gas</t>
        </is>
      </c>
      <c r="AM18" s="40" t="n"/>
      <c r="AN18" s="40" t="n"/>
      <c r="AO18" s="43" t="n"/>
      <c r="AP18" s="39" t="n"/>
      <c r="AQ18" s="39" t="n"/>
      <c r="AR18" s="39" t="n"/>
      <c r="AS18" s="39" t="n"/>
      <c r="AT18" s="39" t="n"/>
      <c r="AU18" s="39" t="n"/>
      <c r="AV18" s="39" t="n"/>
      <c r="AW18" s="39" t="n"/>
    </row>
    <row r="19" ht="23" customHeight="1">
      <c r="A19" s="36" t="inlineStr">
        <is>
          <t>Trumbull Energy Center</t>
        </is>
      </c>
      <c r="B19" s="38" t="inlineStr">
        <is>
          <t>Clean Energy Future, LLC (KOSPO / KIND / Siemens Energy owners)</t>
        </is>
      </c>
      <c r="C19" s="37" t="inlineStr">
        <is>
          <t>Closed</t>
        </is>
      </c>
      <c r="D19" s="38" t="inlineStr">
        <is>
          <t>Trumbull Energy Center (adjacent to Lordstown Energy Center); Clean Energy Future-Trumbull; PJM AB1-105</t>
        </is>
      </c>
      <c r="E19" s="37" t="inlineStr">
        <is>
          <t>IPP</t>
        </is>
      </c>
      <c r="F19" s="36" t="inlineStr">
        <is>
          <t>Logan Choi, President &amp; CEO</t>
        </is>
      </c>
      <c r="G19" s="38" t="inlineStr">
        <is>
          <t>Trumbull Energy Center owners (KOSPO, KIND, Siemens Energy)</t>
        </is>
      </c>
      <c r="H19" s="39" t="n"/>
      <c r="I19" s="37" t="inlineStr">
        <is>
          <t>EPC</t>
        </is>
      </c>
      <c r="J19" s="40" t="n"/>
      <c r="K19" s="38" t="inlineStr">
        <is>
          <t>Operating - COD Jan 2026; completion ceremony Jun 24, 2026</t>
        </is>
      </c>
      <c r="L19" s="40" t="n"/>
      <c r="M19" s="41">
        <f>P19*1000*Guide!$B$81</f>
        <v/>
      </c>
      <c r="N19" s="42" t="n"/>
      <c r="O19" s="43" t="n"/>
      <c r="P19" s="44" t="n">
        <v>950</v>
      </c>
      <c r="Q19" s="44" t="n">
        <v>345</v>
      </c>
      <c r="R19" s="36" t="inlineStr">
        <is>
          <t>Lordstown</t>
        </is>
      </c>
      <c r="S19" s="36" t="inlineStr">
        <is>
          <t>Trumbull</t>
        </is>
      </c>
      <c r="T19" s="36" t="inlineStr">
        <is>
          <t>OH</t>
        </is>
      </c>
      <c r="U19" s="37" t="inlineStr">
        <is>
          <t>United States</t>
        </is>
      </c>
      <c r="V19" s="40" t="n"/>
      <c r="W19" s="45" t="n">
        <v>46053</v>
      </c>
      <c r="X19" s="45" t="n">
        <v>46234</v>
      </c>
      <c r="Y19" s="45" t="n">
        <v>45322</v>
      </c>
      <c r="Z19" s="37" t="inlineStr">
        <is>
          <t>Power Generation</t>
        </is>
      </c>
      <c r="AA19" s="37" t="inlineStr">
        <is>
          <t>Generation</t>
        </is>
      </c>
      <c r="AB19" s="37" t="inlineStr">
        <is>
          <t>New Capacity/New Build</t>
        </is>
      </c>
      <c r="AC19" s="37" t="inlineStr">
        <is>
          <t>New Load Growth</t>
        </is>
      </c>
      <c r="AD19" s="37" t="inlineStr">
        <is>
          <t>Generation</t>
        </is>
      </c>
      <c r="AE19" s="38" t="inlineStr">
        <is>
          <t>Natural gas generation - electrical BoP (MV/LV power, tray/control &amp; instrumentation cable, substation)</t>
        </is>
      </c>
      <c r="AF19" s="37" t="inlineStr">
        <is>
          <t>Greenfield</t>
        </is>
      </c>
      <c r="AG19" s="37" t="inlineStr">
        <is>
          <t>Traditional</t>
        </is>
      </c>
      <c r="AH19" s="37" t="inlineStr">
        <is>
          <t>Natural Gas</t>
        </is>
      </c>
      <c r="AI19" s="37" t="inlineStr">
        <is>
          <t>No</t>
        </is>
      </c>
      <c r="AJ19" s="38" t="inlineStr">
        <is>
          <t>Operating since Jan 2026 - new-build window passed (cable bought ~2023 after Nov 2022 NTP). Re-target as MRO/outage account (Hanwha/Siemens O&amp;M) and use Gemma relationship for Argan pipeline (CPV Basin Ranch, Sandow Lakes). Developer is Clean Energy Future (William Siderewicz), not CPV. MW 940-977 by source.</t>
        </is>
      </c>
      <c r="AK19" s="38" t="inlineStr">
        <is>
          <t>Move to Closed/Operating; pursue MRO with plant team; leverage Gemma for current CCGT jobs.</t>
        </is>
      </c>
      <c r="AL19" s="38" t="inlineStr">
        <is>
          <t>OVERVIEW: ~940-953 MW (EIA 977 MW nameplate) baseload merchant combined-cycle plant next to the Lordstown Energy Center; commercial operation Jan 2026, completion celebrated Jun 24, 2026; framed around Midwest AI/data-center demand (no named offtaker). TECHNOLOGY &amp; EQUIPMENT: dual-fuel 2x2x1 combined cycle - 2x Siemens Energy SGT6-8000H gas turbines, 2x HRSGs, 1x Siemens SST6-5000 steam turbine; 3x Hanwha fuel-gas compressors (9-yr maintenance contract). SITE: ~127 acres in Lordstown, Trumbull County (7733 Tod Ave SW, Warren OH 44481 - third-party). INTERCONNECTION: PJM AB1-105, Highland-Hanna 345 kV line (ATSI/FirstEnergy). OWNERSHIP/STATUS: owners KOSPO, KIND and Siemens Energy; developer Clean Energy Future LLC; EPC Gemma Power Systems (full NTP Nov 2022). INVESTMENT: ~$1.2B. W&amp;C NEEDS: new-build scope complete; MRO/spares (MV, 600V, tray, instrumentation cable) for outages. Ref: https://www.tribtoday.com/news/local-news/2026/06/trumbull-energy-center-complete/ | https://www.gemmapower.com/our-work/combined-cycle/trumbull-energy-center/ | https://www.interconnection.fyi/project/pjm-ab1-105</t>
        </is>
      </c>
      <c r="AM19" s="40" t="n"/>
      <c r="AN19" s="40" t="n"/>
      <c r="AO19" s="43" t="n"/>
      <c r="AP19" s="39" t="n"/>
      <c r="AQ19" s="39" t="n"/>
      <c r="AR19" s="39" t="n"/>
      <c r="AS19" s="39" t="n"/>
      <c r="AT19" s="39" t="n"/>
      <c r="AU19" s="39" t="n"/>
      <c r="AV19" s="39" t="n"/>
      <c r="AW19" s="39" t="n"/>
    </row>
    <row r="20" ht="23" customHeight="1">
      <c r="A20" s="36" t="inlineStr">
        <is>
          <t>Socrates South Power Generation</t>
        </is>
      </c>
      <c r="B20" s="36" t="inlineStr">
        <is>
          <t>Will-Power OH, LLC (Williams)</t>
        </is>
      </c>
      <c r="C20" s="37" t="inlineStr">
        <is>
          <t>Closed</t>
        </is>
      </c>
      <c r="D20" s="38" t="inlineStr">
        <is>
          <t>Socrates South (Williams Power Innovation); OPSB 25-0185-EL-BLN</t>
        </is>
      </c>
      <c r="E20" s="37" t="inlineStr">
        <is>
          <t>IPP</t>
        </is>
      </c>
      <c r="F20" s="36" t="inlineStr">
        <is>
          <t>Chad Zamarin, President &amp; CEO</t>
        </is>
      </c>
      <c r="G20" s="36" t="inlineStr">
        <is>
          <t>Will-Power OH, LLC</t>
        </is>
      </c>
      <c r="H20" s="39" t="n"/>
      <c r="I20" s="37" t="inlineStr">
        <is>
          <t>Owner/End User</t>
        </is>
      </c>
      <c r="J20" s="40" t="n"/>
      <c r="K20" s="38" t="inlineStr">
        <is>
          <t>Operating - placed in service late Jul 2026</t>
        </is>
      </c>
      <c r="L20" s="40" t="n"/>
      <c r="M20" s="41">
        <f>P20*1000*Guide!$B$81</f>
        <v/>
      </c>
      <c r="N20" s="42" t="n"/>
      <c r="O20" s="43" t="n"/>
      <c r="P20" s="44" t="n">
        <v>200</v>
      </c>
      <c r="Q20" s="43" t="n"/>
      <c r="R20" s="36" t="inlineStr">
        <is>
          <t>New Albany</t>
        </is>
      </c>
      <c r="S20" s="36" t="inlineStr">
        <is>
          <t>Licking</t>
        </is>
      </c>
      <c r="T20" s="36" t="inlineStr">
        <is>
          <t>OH</t>
        </is>
      </c>
      <c r="U20" s="37" t="inlineStr">
        <is>
          <t>United States</t>
        </is>
      </c>
      <c r="V20" s="40" t="n"/>
      <c r="W20" s="45" t="n">
        <v>46234</v>
      </c>
      <c r="X20" s="45" t="n">
        <v>46418</v>
      </c>
      <c r="Y20" s="45" t="n">
        <v>45838</v>
      </c>
      <c r="Z20" s="37" t="inlineStr">
        <is>
          <t>Power Generation</t>
        </is>
      </c>
      <c r="AA20" s="37" t="inlineStr">
        <is>
          <t>Generation</t>
        </is>
      </c>
      <c r="AB20" s="37" t="inlineStr">
        <is>
          <t>New Capacity/New Build</t>
        </is>
      </c>
      <c r="AC20" s="37" t="inlineStr">
        <is>
          <t>Load Interconnection</t>
        </is>
      </c>
      <c r="AD20" s="37" t="inlineStr">
        <is>
          <t>Generation</t>
        </is>
      </c>
      <c r="AE20" s="38" t="inlineStr">
        <is>
          <t>Natural gas generation - electrical BoP (MV/LV power, tray/control &amp; instrumentation cable, substation)</t>
        </is>
      </c>
      <c r="AF20" s="37" t="inlineStr">
        <is>
          <t>Greenfield</t>
        </is>
      </c>
      <c r="AG20" s="37" t="inlineStr">
        <is>
          <t>Traditional</t>
        </is>
      </c>
      <c r="AH20" s="37" t="inlineStr">
        <is>
          <t>Natural Gas</t>
        </is>
      </c>
      <c r="AI20" s="37" t="inlineStr">
        <is>
          <t>Yes</t>
        </is>
      </c>
      <c r="AJ20" s="38" t="inlineStr">
        <is>
          <t>Operating since late Jul 2026 (~14 months site-to-power) - window passed. Use as reference case to get on Williams approved-vendor list for its next Power Innovation behind-the-meter projects (Blackstone JV covers 5 projects). EPC not public (check OPSB dockets).</t>
        </is>
      </c>
      <c r="AK20" s="38" t="inlineStr">
        <is>
          <t>Mark Closed; pursue Williams Power Innovation follow-on sites; find EPC via OPSB 25-0185 docket.</t>
        </is>
      </c>
      <c r="AL20" s="38" t="inlineStr">
        <is>
          <t>OVERVIEW: 200 MW behind-the-meter gas generation plant dedicated to Meta (Sidecat LLC) at the New Albany data-center campus (Prometheus AI cluster) under a 10-yr fixed-price deal (+5-yr option); in service late Jul 2026, on time and on budget. TECHNOLOGY &amp; EQUIPMENT: simple-cycle aeroderivative/industrial turbines + reciprocating engines - filed fleet 3x Solar Titan 250, 9x PGM 130, 3x Siemens SGT-400, 15x Caterpillar 3520 engines, 8x Cat C15 500 kW diesel backup (split between North/South not public). SITE: GREENFIELD - ~20 acres in New Albany International Business Park, Licking County; two 24-inch gas laterals. INTERCONNECTION: no grid connection (OPSB condition) - on-site switching/internal substations feed Meta's adjacent campus. OWNERSHIP/STATUS: Will-Power OH LLC (Williams); Blackstone holds 49% of Power Innovation JV. INVESTMENT: ~$1.6B (North + South + pipeline).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Status: built - MRO and follow-on sites. Ref: https://www.sec.gov/Archives/edgar/data/0000107263/000010726326000026/wmb-20260630.htm | https://www.power-eng.com/onsite-power/onsite-gas-turbines-reciprocating-engines-to-power-meta-data-center/ | https://www.williams.com/wp-content/uploads/sites/14/2026/02/Socrates-North-and-South-Fact-Sheet-1.pdf</t>
        </is>
      </c>
      <c r="AM20" s="40" t="n"/>
      <c r="AN20" s="40" t="n"/>
      <c r="AO20" s="43" t="n"/>
      <c r="AP20" s="39" t="n"/>
      <c r="AQ20" s="39" t="n"/>
      <c r="AR20" s="39" t="n"/>
      <c r="AS20" s="39" t="n"/>
      <c r="AT20" s="39" t="n"/>
      <c r="AU20" s="39" t="n"/>
      <c r="AV20" s="39" t="n"/>
      <c r="AW20" s="39" t="n"/>
    </row>
    <row r="21" ht="23" customHeight="1">
      <c r="A21" s="36" t="inlineStr">
        <is>
          <t>Socrates North Power Generation</t>
        </is>
      </c>
      <c r="B21" s="36" t="inlineStr">
        <is>
          <t>Will-Power OH, LLC (Williams)</t>
        </is>
      </c>
      <c r="C21" s="37" t="inlineStr">
        <is>
          <t>In Progress</t>
        </is>
      </c>
      <c r="D21" s="38" t="inlineStr">
        <is>
          <t>Socrates North (Williams Power Innovation); OPSB 25-0188-EL-BGN</t>
        </is>
      </c>
      <c r="E21" s="37" t="inlineStr">
        <is>
          <t>IPP</t>
        </is>
      </c>
      <c r="F21" s="36" t="inlineStr">
        <is>
          <t>Chad Zamarin, President &amp; CEO</t>
        </is>
      </c>
      <c r="G21" s="36" t="inlineStr">
        <is>
          <t>Will-Power OH, LLC</t>
        </is>
      </c>
      <c r="H21" s="39" t="n"/>
      <c r="I21" s="37" t="inlineStr">
        <is>
          <t>Owner/End User</t>
        </is>
      </c>
      <c r="J21" s="40" t="n"/>
      <c r="K21" s="38" t="inlineStr">
        <is>
          <t>Under Construction - in service expected Q4 2026</t>
        </is>
      </c>
      <c r="L21" s="40" t="n"/>
      <c r="M21" s="41">
        <f>P21*1000*Guide!$B$81</f>
        <v/>
      </c>
      <c r="N21" s="42" t="n"/>
      <c r="O21" s="43" t="n"/>
      <c r="P21" s="44" t="n">
        <v>200</v>
      </c>
      <c r="Q21" s="43" t="n"/>
      <c r="R21" s="36" t="inlineStr">
        <is>
          <t>New Albany</t>
        </is>
      </c>
      <c r="S21" s="36" t="inlineStr">
        <is>
          <t>Licking</t>
        </is>
      </c>
      <c r="T21" s="36" t="inlineStr">
        <is>
          <t>OH</t>
        </is>
      </c>
      <c r="U21" s="37" t="inlineStr">
        <is>
          <t>United States</t>
        </is>
      </c>
      <c r="V21" s="40" t="n"/>
      <c r="W21" s="45" t="n">
        <v>46387</v>
      </c>
      <c r="X21" s="45" t="n">
        <v>46568</v>
      </c>
      <c r="Y21" s="45" t="n">
        <v>45961</v>
      </c>
      <c r="Z21" s="37" t="inlineStr">
        <is>
          <t>Power Generation</t>
        </is>
      </c>
      <c r="AA21" s="37" t="inlineStr">
        <is>
          <t>Generation</t>
        </is>
      </c>
      <c r="AB21" s="37" t="inlineStr">
        <is>
          <t>New Capacity/New Build</t>
        </is>
      </c>
      <c r="AC21" s="37" t="inlineStr">
        <is>
          <t>Load Interconnection</t>
        </is>
      </c>
      <c r="AD21" s="37" t="inlineStr">
        <is>
          <t>Generation</t>
        </is>
      </c>
      <c r="AE21" s="38" t="inlineStr">
        <is>
          <t>Natural gas generation - electrical BoP (MV/LV power, tray/control &amp; instrumentation cable, substation)</t>
        </is>
      </c>
      <c r="AF21" s="37" t="inlineStr">
        <is>
          <t>Greenfield</t>
        </is>
      </c>
      <c r="AG21" s="37" t="inlineStr">
        <is>
          <t>Traditional</t>
        </is>
      </c>
      <c r="AH21" s="37" t="inlineStr">
        <is>
          <t>Natural Gas</t>
        </is>
      </c>
      <c r="AI21" s="37" t="inlineStr">
        <is>
          <t>Yes</t>
        </is>
      </c>
      <c r="AJ21" s="38" t="inlineStr">
        <is>
          <t>AWARD (PO) DATE BASIS: OPSB approval Sep 18, 2025 + ~14-month fast track -&gt; main cable likely awarded Q3-Q4 2025; window passed. Only possible open scope: BESS amendment (check OPSB docket timing). Williams 10-Q gives 556 MW combined North+South.</t>
        </is>
      </c>
      <c r="AK21" s="38" t="inlineStr">
        <is>
          <t>Check OPSB 25-0188 BESS amendment for remaining cable; target Williams next Power Innovation sites.</t>
        </is>
      </c>
      <c r="AL21" s="38" t="inlineStr">
        <is>
          <t>OVERVIEW: second 200 MW behind-the-meter gas plant for Meta's New Albany campus (Phase 2), on track for Q4 2026 per Williams; BESS amendment pending. TECHNOLOGY &amp; EQUIPMENT: simple-cycle aeroderivative/industrial gas turbines + reciprocating engines (same design as Socrates South) plus planned battery storage (~173 MW reported across project). SITE: GREENFIELD - ~20 acres, New Albany, Licking County. INTERCONNECTION: behind the meter, no grid connection; on-site substation. OWNERSHIP/STATUS: Will-Power OH LLC (Williams); OPSB approved Sep 18, 2025. INVESTMENT: part of ~$1.6B program.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Plus BESS DC/AC collection cable if amendment proceeds. Ref: https://opsb.ohio.gov/cases/25-0188-el-bgn | https://investor.williams.com/news-releases/news-release-details/williams-delivers-strong-second-quarter-2026-results-announces</t>
        </is>
      </c>
      <c r="AM21" s="40" t="n"/>
      <c r="AN21" s="40" t="n"/>
      <c r="AO21" s="43" t="n"/>
      <c r="AP21" s="39" t="n"/>
      <c r="AQ21" s="39" t="n"/>
      <c r="AR21" s="39" t="n"/>
      <c r="AS21" s="39" t="n"/>
      <c r="AT21" s="39" t="n"/>
      <c r="AU21" s="39" t="n"/>
      <c r="AV21" s="39" t="n"/>
      <c r="AW21" s="39" t="n"/>
    </row>
    <row r="22" ht="23" customHeight="1">
      <c r="A22" s="36" t="inlineStr">
        <is>
          <t>Homer City Energy Campus</t>
        </is>
      </c>
      <c r="B22" s="38" t="inlineStr">
        <is>
          <t>Homer City Redevelopment (Homer City Generation, L.P.)</t>
        </is>
      </c>
      <c r="C22" s="37" t="inlineStr">
        <is>
          <t>In Progress</t>
        </is>
      </c>
      <c r="D22" s="38" t="inlineStr">
        <is>
          <t>Homer City Generation, L.P.; legacy Homer City Generating Station site</t>
        </is>
      </c>
      <c r="E22" s="37" t="inlineStr">
        <is>
          <t>IPP</t>
        </is>
      </c>
      <c r="F22" s="36" t="inlineStr">
        <is>
          <t>Corey Hessen, CEO</t>
        </is>
      </c>
      <c r="G22" s="38" t="inlineStr">
        <is>
          <t>Homer City Redevelopment (Knighthead Capital-led)</t>
        </is>
      </c>
      <c r="H22" s="39" t="n"/>
      <c r="I22" s="37" t="inlineStr">
        <is>
          <t>EPC</t>
        </is>
      </c>
      <c r="J22" s="40" t="n"/>
      <c r="K22" s="38" t="inlineStr">
        <is>
          <t>Under Construction - HRSGs installed, first GT set Oct 2026; 2,000+ workers</t>
        </is>
      </c>
      <c r="L22" s="40" t="n"/>
      <c r="M22" s="41">
        <f>P22*1000*Guide!$B$81</f>
        <v/>
      </c>
      <c r="N22" s="42" t="n"/>
      <c r="O22" s="43" t="n"/>
      <c r="P22" s="44" t="n">
        <v>4400</v>
      </c>
      <c r="Q22" s="43" t="n"/>
      <c r="R22" s="36" t="inlineStr">
        <is>
          <t>Homer City</t>
        </is>
      </c>
      <c r="S22" s="36" t="inlineStr">
        <is>
          <t>Indiana</t>
        </is>
      </c>
      <c r="T22" s="36" t="inlineStr">
        <is>
          <t>PA</t>
        </is>
      </c>
      <c r="U22" s="37" t="inlineStr">
        <is>
          <t>United States</t>
        </is>
      </c>
      <c r="V22" s="40" t="n"/>
      <c r="W22" s="45" t="n">
        <v>46752</v>
      </c>
      <c r="X22" s="45" t="n">
        <v>46934</v>
      </c>
      <c r="Y22" s="45" t="n">
        <v>46203</v>
      </c>
      <c r="Z22" s="37" t="inlineStr">
        <is>
          <t>Power Generation</t>
        </is>
      </c>
      <c r="AA22" s="37" t="inlineStr">
        <is>
          <t>Generation</t>
        </is>
      </c>
      <c r="AB22" s="37" t="inlineStr">
        <is>
          <t>New Capacity/New Build</t>
        </is>
      </c>
      <c r="AC22" s="37" t="inlineStr">
        <is>
          <t>Load Interconnection</t>
        </is>
      </c>
      <c r="AD22" s="37" t="inlineStr">
        <is>
          <t>Generation</t>
        </is>
      </c>
      <c r="AE22" s="38" t="inlineStr">
        <is>
          <t>Natural gas generation - electrical BoP (MV/LV power, tray/control &amp; instrumentation cable, substation)</t>
        </is>
      </c>
      <c r="AF22" s="37" t="inlineStr">
        <is>
          <t>Brownfield</t>
        </is>
      </c>
      <c r="AG22" s="37" t="inlineStr">
        <is>
          <t>Traditional</t>
        </is>
      </c>
      <c r="AH22" s="37" t="inlineStr">
        <is>
          <t>Natural Gas</t>
        </is>
      </c>
      <c r="AI22" s="37" t="inlineStr">
        <is>
          <t>Yes</t>
        </is>
      </c>
      <c r="AJ22" s="38" t="inlineStr">
        <is>
          <t>AWARD (PO) DATE BASIS: Kiewit on site since Oct 2025, HRSG delivery Sep-Oct 2026, first GT set Oct 2026, first power late 2027/early 2028 -&gt; main power-block cable POs very likely placed; remaining releases/change orders through Q1 2027. Bigger long-tail: Amazon 36-building data-center campus plan (construction from Dec 2026, build-out to 2036; tabled by county Sep 2026). Other contacts: Brian Reinhart (VP, Kiewit Power Constructors); Kiewit vendor inbox HomerCity.Info@Kiewit.com; press@homercityredevelopment.com.</t>
        </is>
      </c>
      <c r="AK22" s="38" t="inlineStr">
        <is>
          <t>Call Kiewit procurement for remaining power-block MV/LV/control releases; pivot to Amazon data-center phases.</t>
        </is>
      </c>
      <c r="AL22" s="38" t="inlineStr">
        <is>
          <t>OVERVIEW: ~4.4-4.5 GW natural-gas power plant + AI data-center campus - the largest gas-powered data-center campus in the U.S. - on the former Homer City coal station; Amazon Data Services has filed a preliminary plan for a 36-building data-center campus (phased Dec 2026-2036). TECHNOLOGY &amp; EQUIPMENT: 7x GE Vernova 7HA.02 hydrogen-capable gas turbines in combined cycle with HRSGs (15 HRSG components delivered Sep-Oct 2026); GIS switchgear building (first steel Apr 2026); possible additional simple-cycle units (unverified). SITE: BROWNFIELD - ~3,200-acre former Homer City coal generating station, Indiana County; demolition/excavation completed Jun 2026; reuses legacy transmission lines and substations. INTERCONNECTION: PJM via new GIS switchyard (existing PJM/NYISO ties); supplies campus behind-the-meter and grid. OWNERSHIP/STATUS: Homer City Redevelopment (Knighthead Capital), EQT gas supply; EPC Kiewit Power Constructors (on site Oct 2025, 1,000 workers Mar 2026, 2,000+ Oct 2026); first power late 2027/early 2028. INVESTMENT: &gt;$10B. W&amp;C NEEDS (combined cycle, 7 blocks): MV power cable to aux transformers, MV switchgear and large motors; 600V power &amp; TC-ER tray cable for HRSG/ST auxiliaries and BOP; shielded I&amp;C cable; bare copper grounding; GIS/switchyard control cable; building wire - plus data-center campus MV distribution, building wire and grounding for 36 buildings (separate long-tail opportunity). Ref: https://www.businesswire.com/news/home/20260401716982/en/Homer-City-Redevelopment-Crosses-the-First-Steel-Threshold | https://www.gevernova.com/news/press-releases/homer-city-redevelopment-kiewit-announce-country-largest-natural-gas-powered-data-center-support-ai-hpc-demand | https://marcellusdrilling.com/2026/10/homer-city-update-first-turbine-set-amazon-plan-now-under-review/</t>
        </is>
      </c>
      <c r="AM22" s="40" t="n"/>
      <c r="AN22" s="40" t="n"/>
      <c r="AO22" s="43" t="n"/>
      <c r="AP22" s="39" t="n"/>
      <c r="AQ22" s="39" t="n"/>
      <c r="AR22" s="39" t="n"/>
      <c r="AS22" s="39" t="n"/>
      <c r="AT22" s="39" t="n"/>
      <c r="AU22" s="39" t="n"/>
      <c r="AV22" s="39" t="n"/>
      <c r="AW22" s="39" t="n"/>
    </row>
    <row r="23" ht="23" customHeight="1">
      <c r="A23" s="36" t="inlineStr">
        <is>
          <t>Sandow Lakes Energy Station</t>
        </is>
      </c>
      <c r="B23" s="36" t="inlineStr">
        <is>
          <t>Sandow Lakes Energy Company (SLEC)</t>
        </is>
      </c>
      <c r="C23" s="37" t="inlineStr">
        <is>
          <t>Open</t>
        </is>
      </c>
      <c r="D23" s="38" t="inlineStr">
        <is>
          <t>SL Energy Power Plant I, LLC; ERCOT/EIA 68504; Sandow Lakes CC (CRM Luminant Phase 1/2 duplicates)</t>
        </is>
      </c>
      <c r="E23" s="37" t="inlineStr">
        <is>
          <t>IPP</t>
        </is>
      </c>
      <c r="F23" s="38" t="inlineStr">
        <is>
          <t>Edward "Ned" Ross III, Executive Vice President</t>
        </is>
      </c>
      <c r="G23" s="38" t="inlineStr">
        <is>
          <t>SLEC / Xebec (project reportedly sold Apr 2026 - buyer not public)</t>
        </is>
      </c>
      <c r="H23" s="39" t="n"/>
      <c r="I23" s="37" t="inlineStr">
        <is>
          <t>EPC</t>
        </is>
      </c>
      <c r="J23" s="40" t="n"/>
      <c r="K23" s="38" t="inlineStr">
        <is>
          <t>EPC NTP Apr 2025; construction status unclear (sold Apr 2026 per Xebec bio)</t>
        </is>
      </c>
      <c r="L23" s="40" t="n"/>
      <c r="M23" s="41">
        <f>P23*1000*Guide!$B$81</f>
        <v/>
      </c>
      <c r="N23" s="42" t="n"/>
      <c r="O23" s="43" t="n"/>
      <c r="P23" s="44" t="n">
        <v>1200</v>
      </c>
      <c r="Q23" s="44" t="n">
        <v>345</v>
      </c>
      <c r="R23" s="36" t="inlineStr">
        <is>
          <t>Rockdale</t>
        </is>
      </c>
      <c r="S23" s="36" t="inlineStr">
        <is>
          <t>Lee / Milam</t>
        </is>
      </c>
      <c r="T23" s="36" t="inlineStr">
        <is>
          <t>TX</t>
        </is>
      </c>
      <c r="U23" s="37" t="inlineStr">
        <is>
          <t>United States</t>
        </is>
      </c>
      <c r="V23" s="40" t="n"/>
      <c r="W23" s="45" t="n">
        <v>47088</v>
      </c>
      <c r="X23" s="45" t="n">
        <v>47270</v>
      </c>
      <c r="Y23" s="45" t="n">
        <v>46477</v>
      </c>
      <c r="Z23" s="37" t="inlineStr">
        <is>
          <t>Power Generation</t>
        </is>
      </c>
      <c r="AA23" s="37" t="inlineStr">
        <is>
          <t>Generation</t>
        </is>
      </c>
      <c r="AB23" s="37" t="inlineStr">
        <is>
          <t>New Capacity/New Build</t>
        </is>
      </c>
      <c r="AC23" s="37" t="inlineStr">
        <is>
          <t>Load Interconnection</t>
        </is>
      </c>
      <c r="AD23" s="37" t="inlineStr">
        <is>
          <t>Generation</t>
        </is>
      </c>
      <c r="AE23" s="38" t="inlineStr">
        <is>
          <t>Natural gas generation - electrical BoP (MV/LV power, tray/control &amp; instrumentation cable, substation)</t>
        </is>
      </c>
      <c r="AF23" s="37" t="inlineStr">
        <is>
          <t>Brownfield</t>
        </is>
      </c>
      <c r="AG23" s="37" t="inlineStr">
        <is>
          <t>Traditional</t>
        </is>
      </c>
      <c r="AH23" s="37" t="inlineStr">
        <is>
          <t>Natural Gas</t>
        </is>
      </c>
      <c r="AI23" s="37" t="inlineStr">
        <is>
          <t>Yes</t>
        </is>
      </c>
      <c r="AJ23" s="38" t="inlineStr">
        <is>
          <t>AWARD (PO) DATE BASIS: Gemma EPC Feb 2025, NTP Apr 2025, completion 2028 -&gt; cable window Dec 2026-Dec 2027, target ~Q1 2027. RISK: Xebec bio says project sold Apr 2026 (buyer unknown) - confirm owner/schedule. Luminant link only historical (old Sandow coal plant) - merge CRM Luminant duplicates. Other contacts: Tommy Hodges (COO, SL Energy Power Plant I LLC - tommyh@slenergyco.com, TCEQ 2025 filing); Charles E. Collins IV (CEO, Gemma).</t>
        </is>
      </c>
      <c r="AK23" s="38" t="inlineStr">
        <is>
          <t>Ask Gemma Power Systems who owns the project now and current schedule; position for MV/LV/control packages Q1 2027.</t>
        </is>
      </c>
      <c r="AL23" s="38" t="inlineStr">
        <is>
          <t>OVERVIEW: 1,200 MW net natural-gas combined-cycle plant built mainly to serve private (likely data-center/industrial) customers in the 'Texas Triangle'; only ~80 MW temporary grid export in permits. TECHNOLOGY &amp; EQUIPMENT: 2x Siemens Energy SGT6-9000HL H-class, hydrogen-adaptable gas turbines (two ~645 MW units / 1x1 blocks), NEM Energy HRSGs (Siemens Energy USA client), steam turbines. SITE: BROWNFIELD/industrial - former Alcoa Sandow aluminum smelter and Luminant Sandow coal plant area on the Sandow Lakes Ranch (~33,000 acres, ~28,800 after Apr 2026 sale), Rockdale area, Lee/Milam County. INTERCONNECTION: ERCOT; nearest 345 kV line ~12.2 miles (estimate); Oncor territory. OWNERSHIP/STATUS: SLEC (SL Energy Power Plant I LLC), Xebec affiliate - reportedly sold Apr 2026; EPC Gemma Power Systems (NTP Apr 2025); COD Dec 2028. INVESTMENT: ~$1.2B. W&amp;C NEEDS (combined cycle): MV power cable to aux transformers, MV switchgear and large motors; 600V power &amp; TC-ER tray cable for HRSG/ST auxiliaries and BOP; shielded I&amp;C cable; bare copper grounding; switchyard control cable; private-customer MV feeders; possible 345 kV line. Ref: https://www.businesswire.com/news/home/20250206210188/en/Argan-Inc.s-Gemma-Power-Systems-Executes-EPC-Contract-for-a-1.2-GW-Power-Project-in-Texas | https://www.powermag.com/new-1-2-gw-natural-gas-fired-plant-announced-for-texas/ | https://interchange.puc.texas.gov/Documents/56455_62_1398423.PDF</t>
        </is>
      </c>
      <c r="AM23" s="40" t="n"/>
      <c r="AN23" s="40" t="n"/>
      <c r="AO23" s="44" t="n">
        <v>12.2</v>
      </c>
      <c r="AP23" s="36" t="inlineStr">
        <is>
          <t>Sandow Lakes Energy Station</t>
        </is>
      </c>
      <c r="AQ23" s="36" t="inlineStr">
        <is>
          <t>Nearest 345 kV line (~12.2 mi est.)</t>
        </is>
      </c>
      <c r="AR23" s="39" t="n"/>
      <c r="AS23" s="39" t="n"/>
      <c r="AT23" s="39" t="n"/>
      <c r="AU23" s="39" t="n"/>
      <c r="AV23" s="39" t="n"/>
      <c r="AW23" s="39" t="n"/>
    </row>
    <row r="24" ht="23" customHeight="1">
      <c r="A24" s="36" t="inlineStr">
        <is>
          <t>Wolf Summit Energy Center</t>
        </is>
      </c>
      <c r="B24" s="38" t="inlineStr">
        <is>
          <t>Kindle Energy (Blackstone Energy Transition Partners)</t>
        </is>
      </c>
      <c r="C24" s="37" t="inlineStr">
        <is>
          <t>In Progress</t>
        </is>
      </c>
      <c r="D24" s="38" t="inlineStr">
        <is>
          <t>ESC Harrison County; Kindle Energy / Blackstone Energy Transition Partners</t>
        </is>
      </c>
      <c r="E24" s="37" t="inlineStr">
        <is>
          <t>IPP</t>
        </is>
      </c>
      <c r="F24" s="36" t="inlineStr">
        <is>
          <t>Lee Davis, CEO</t>
        </is>
      </c>
      <c r="G24" s="36" t="inlineStr">
        <is>
          <t>Kindle Energy / Blackstone</t>
        </is>
      </c>
      <c r="H24" s="39" t="n"/>
      <c r="I24" s="37" t="inlineStr">
        <is>
          <t>Developer</t>
        </is>
      </c>
      <c r="J24" s="40" t="n"/>
      <c r="K24" s="38" t="inlineStr">
        <is>
          <t>Under Construction - groundbreaking Apr 22, 2026; concrete phase mid-2026</t>
        </is>
      </c>
      <c r="L24" s="40" t="n"/>
      <c r="M24" s="41">
        <f>P24*1000*Guide!$B$81</f>
        <v/>
      </c>
      <c r="N24" s="42" t="n"/>
      <c r="O24" s="43" t="n"/>
      <c r="P24" s="44" t="n">
        <v>610</v>
      </c>
      <c r="Q24" s="43" t="n"/>
      <c r="R24" s="36" t="inlineStr">
        <is>
          <t>Clarksburg (Wolf Summit)</t>
        </is>
      </c>
      <c r="S24" s="36" t="inlineStr">
        <is>
          <t>Harrison</t>
        </is>
      </c>
      <c r="T24" s="36" t="inlineStr">
        <is>
          <t>WV</t>
        </is>
      </c>
      <c r="U24" s="37" t="inlineStr">
        <is>
          <t>United States</t>
        </is>
      </c>
      <c r="V24" s="40" t="n"/>
      <c r="W24" s="45" t="n">
        <v>46934</v>
      </c>
      <c r="X24" s="45" t="n">
        <v>47117</v>
      </c>
      <c r="Y24" s="45" t="n">
        <v>46418</v>
      </c>
      <c r="Z24" s="37" t="inlineStr">
        <is>
          <t>Power Generation</t>
        </is>
      </c>
      <c r="AA24" s="37" t="inlineStr">
        <is>
          <t>Generation</t>
        </is>
      </c>
      <c r="AB24" s="37" t="inlineStr">
        <is>
          <t>New Capacity/New Build</t>
        </is>
      </c>
      <c r="AC24" s="37" t="inlineStr">
        <is>
          <t>New Load Growth</t>
        </is>
      </c>
      <c r="AD24" s="37" t="inlineStr">
        <is>
          <t>Generation</t>
        </is>
      </c>
      <c r="AE24" s="38" t="inlineStr">
        <is>
          <t>Natural gas generation - electrical BoP (MV/LV power, tray/control &amp; instrumentation cable, substation)</t>
        </is>
      </c>
      <c r="AF24" s="37" t="inlineStr">
        <is>
          <t>Greenfield</t>
        </is>
      </c>
      <c r="AG24" s="37" t="inlineStr">
        <is>
          <t>Traditional</t>
        </is>
      </c>
      <c r="AH24" s="37" t="inlineStr">
        <is>
          <t>Natural Gas</t>
        </is>
      </c>
      <c r="AI24" s="37" t="inlineStr">
        <is>
          <t>No</t>
        </is>
      </c>
      <c r="AJ24" s="38" t="inlineStr">
        <is>
          <t>AWARD (PO) DATE BASIS: FID Nov 2025, groundbreaking Apr 2026, concrete pours mid-2026, COD 2028 -&gt; cable window open now, target Dec 2026-Mar 2027 (if COD 2027 per ENR, act immediately). Delivered as Kindle EPCM with four principal contractors (names not published) - identify the electrical contractor. CRM 579 MW not supported; sources say ~600-625 MW (610 MW used). Project contact: info@wolf-summit.com, (304) 576-8717. Other: Chris Cosby (CEO, ODEC); Bilal Khan (SMD, Blackstone).</t>
        </is>
      </c>
      <c r="AK24" s="38" t="inlineStr">
        <is>
          <t>Ask Kindle (EPCM) which principal contractor holds electrical; use Kindle Energy / project line (304) 576-8717 / WV Building Trades; position MV, control &amp; I&amp;C cable before bulk electrical buy.</t>
        </is>
      </c>
      <c r="AL24" s="38" t="inlineStr">
        <is>
          <t>OVERVIEW: ~600 MW natural-gas combined-cycle plant - West Virginia's first gas power plant - backed by $1.2B from Blackstone Energy Transition Partners, developed/operated by Kindle Energy, fully contracted to Old Dominion Electric Cooperative; ~500 construction jobs. TECHNOLOGY &amp; EQUIPMENT: GE Vernova 7HA.02 gas turbine in combined cycle (likely 1x1 with HRSG and steam turbine - inferred); GE Vernova Financial Services also financing. SITE: Pinnickinnick Hill area near Clarksburg/Wolf Summit, Harrison County (PILOT/lease Jan 2025); acreage not published. INTERCONNECTION: PJM grid sale to ODEC; substation/voltage not published. OWNERSHIP/STATUS: FID Nov 2025; groundbreaking Apr 22, 2026; site prep and roadwork Jun 2026; COD 2028. Kindle EPCM with four principal contractors (not published). INVESTMENT: $1.2B. W&amp;C NEEDS (combined cycle): MV power cable to aux transformers, MV switchgear and large motors; 600V power &amp; TC-ER tray cable for HRSG/ST auxiliaries and BOP; shielded I&amp;C cable; bare copper grounding; switchyard control cable; building wire. Ref: https://www.businesswire.com/news/home/20260422186042/en/Kindle-Energy-Breaks-Ground-on-Blackstone-Backed-$1.2-Billion-Natural-Gas-Power-Generation-Facility-in-West-Virginia | https://wolf-summit.com/ | https://www.powermag.com/blackstone-investing-1-2-billion-for-600-mw-gas-fired-plant-in-west-virginia/</t>
        </is>
      </c>
      <c r="AM24" s="40" t="n"/>
      <c r="AN24" s="40" t="n"/>
      <c r="AO24" s="43" t="n"/>
      <c r="AP24" s="39" t="n"/>
      <c r="AQ24" s="39" t="n"/>
      <c r="AR24" s="39" t="n"/>
      <c r="AS24" s="39" t="n"/>
      <c r="AT24" s="39" t="n"/>
      <c r="AU24" s="39" t="n"/>
      <c r="AV24" s="39" t="n"/>
      <c r="AW24" s="39" t="n"/>
    </row>
    <row r="25" ht="23" customHeight="1">
      <c r="A25" s="36" t="inlineStr">
        <is>
          <t>Cedar Bayou Unit 5</t>
        </is>
      </c>
      <c r="B25" s="36" t="inlineStr">
        <is>
          <t>NRG Energy</t>
        </is>
      </c>
      <c r="C25" s="37" t="inlineStr">
        <is>
          <t>In Progress</t>
        </is>
      </c>
      <c r="D25" s="38" t="inlineStr">
        <is>
          <t>Cedar Bayou 5; NRG Cedar Bayou Generating Station expansion</t>
        </is>
      </c>
      <c r="E25" s="37" t="inlineStr">
        <is>
          <t>IPP</t>
        </is>
      </c>
      <c r="F25" s="38" t="inlineStr">
        <is>
          <t>Robert J. Gaudette, EVP &amp; President, Business &amp; Wholesale Operations</t>
        </is>
      </c>
      <c r="G25" s="36" t="inlineStr">
        <is>
          <t>NRG Energy</t>
        </is>
      </c>
      <c r="H25" s="39" t="n"/>
      <c r="I25" s="37" t="inlineStr">
        <is>
          <t>Owner/End User</t>
        </is>
      </c>
      <c r="J25" s="40" t="n"/>
      <c r="K25" s="38" t="inlineStr">
        <is>
          <t>Under Construction - on track (NRG Q1 2026); TEF loan closed</t>
        </is>
      </c>
      <c r="L25" s="40" t="n"/>
      <c r="M25" s="41">
        <f>P25*1000*Guide!$B$81</f>
        <v/>
      </c>
      <c r="N25" s="42" t="n"/>
      <c r="O25" s="43" t="n"/>
      <c r="P25" s="44" t="n">
        <v>689</v>
      </c>
      <c r="Q25" s="43" t="n"/>
      <c r="R25" s="36" t="inlineStr">
        <is>
          <t>Baytown</t>
        </is>
      </c>
      <c r="S25" s="36" t="inlineStr">
        <is>
          <t>Chambers</t>
        </is>
      </c>
      <c r="T25" s="36" t="inlineStr">
        <is>
          <t>TX</t>
        </is>
      </c>
      <c r="U25" s="37" t="inlineStr">
        <is>
          <t>United States</t>
        </is>
      </c>
      <c r="V25" s="40" t="n"/>
      <c r="W25" s="45" t="n">
        <v>46965</v>
      </c>
      <c r="X25" s="45" t="n">
        <v>47149</v>
      </c>
      <c r="Y25" s="45" t="n">
        <v>46418</v>
      </c>
      <c r="Z25" s="37" t="inlineStr">
        <is>
          <t>Power Generation</t>
        </is>
      </c>
      <c r="AA25" s="37" t="inlineStr">
        <is>
          <t>Generation</t>
        </is>
      </c>
      <c r="AB25" s="37" t="inlineStr">
        <is>
          <t>New Capacity/New Build</t>
        </is>
      </c>
      <c r="AC25" s="37" t="inlineStr">
        <is>
          <t>New Load Growth</t>
        </is>
      </c>
      <c r="AD25" s="37" t="inlineStr">
        <is>
          <t>Generation</t>
        </is>
      </c>
      <c r="AE25" s="38" t="inlineStr">
        <is>
          <t>Natural gas generation - electrical BoP (MV/LV power, tray/control &amp; instrumentation cable, substation)</t>
        </is>
      </c>
      <c r="AF25" s="37" t="inlineStr">
        <is>
          <t>Brownfield</t>
        </is>
      </c>
      <c r="AG25" s="37" t="inlineStr">
        <is>
          <t>Traditional</t>
        </is>
      </c>
      <c r="AH25" s="37" t="inlineStr">
        <is>
          <t>Natural Gas</t>
        </is>
      </c>
      <c r="AI25" s="37" t="inlineStr">
        <is>
          <t>No</t>
        </is>
      </c>
      <c r="AJ25" s="38" t="inlineStr">
        <is>
          <t>AWARD (PO) DATE BASIS: TEF loan closed Q3 2025, under construction, COD mid-2028 (NRG) -&gt; cable window Jul 2026-Jul 2027, target Nov 2026-Feb 2027. EPC not public (NRG GE Vernova/Kiewit venture is for 7HA units, not this Mitsubishi unit). CRM correction: 689 MW (NRG) vs 721 MW (state), Mitsubishi not GE, COD mid-2028 not 2029. Owner contact on 2026 TDLR project registration: Dudley D. Zahn (NRG / Cedar Bayou 5 LLC, 713-537-3290; email historical).</t>
        </is>
      </c>
      <c r="AK25" s="38" t="inlineStr">
        <is>
          <t>Engage NRG construction/procurement to identify Cedar Bayou 5 EPC/BOP electrical contractor now.</t>
        </is>
      </c>
      <c r="AL25" s="38" t="inlineStr">
        <is>
          <t>OVERVIEW: 689 MW (NRG; state cites 721 MW) natural-gas combined-cycle unit added at NRG's existing Cedar Bayou Generating Station, one of NRG's largest Texas assets, backed by a Texas Energy Fund loan. TECHNOLOGY &amp; EQUIPMENT: 1x1 combined cycle - Mitsubishi Power M501JAC J-class gas turbine (TCEQ permit), HRSG and steam turbine (OEMs not published). SITE: BROWNFIELD - existing operating Cedar Bayou plant on Galveston Bay, Baytown, Chambers County (existing gas, water and transmission). INTERCONNECTION: ERCOT grid unit; voltage not published. OWNERSHIP/STATUS: NRG Energy; TEF loan announced Sep 26, 2025; under construction; COD mid/summer 2028. INVESTMENT: $936M. W&amp;C NEEDS (combined cycle): MV power cable to aux transformers, MV switchgear and large motors; 600V power &amp; TC-ER tray cable for HRSG/ST auxiliaries and BOP; shielded I&amp;C cable; bare copper grounding; switchyard control cable. Ref: https://gov.texas.gov/news/post/governor-abbott-announces-texas-energy-fund-loan-to-721-mw-natural-gas-facility-in-southeast-texas | https://www.utilitydive.com/news/nrg-close-to-completing-415-mw-gas-plant-backed-by-texas-energy-fund/819587/ | https://www.texastribune.org/2025/09/26/texas-energy-fund-loan-nrg-baytown</t>
        </is>
      </c>
      <c r="AM25" s="40" t="n"/>
      <c r="AN25" s="40" t="n"/>
      <c r="AO25" s="43" t="n"/>
      <c r="AP25" s="39" t="n"/>
      <c r="AQ25" s="39" t="n"/>
      <c r="AR25" s="39" t="n"/>
      <c r="AS25" s="39" t="n"/>
      <c r="AT25" s="39" t="n"/>
      <c r="AU25" s="39" t="n"/>
      <c r="AV25" s="39" t="n"/>
      <c r="AW25" s="39" t="n"/>
    </row>
    <row r="26" ht="23" customHeight="1">
      <c r="A26" s="36" t="inlineStr">
        <is>
          <t>CPV Basin Ranch Energy Center</t>
        </is>
      </c>
      <c r="B26" s="36" t="inlineStr">
        <is>
          <t>CPV Group (OPC Energy / Kenon)</t>
        </is>
      </c>
      <c r="C26" s="37" t="inlineStr">
        <is>
          <t>In Progress</t>
        </is>
      </c>
      <c r="D26" s="38" t="inlineStr">
        <is>
          <t>CPV Basin Ranch Holdings LLC; ERCOT 25INR0008 (BASRANCH)</t>
        </is>
      </c>
      <c r="E26" s="37" t="inlineStr">
        <is>
          <t>IPP</t>
        </is>
      </c>
      <c r="F26" s="38" t="inlineStr">
        <is>
          <t>Peter Podurgiel, President, Low Carbon Generation</t>
        </is>
      </c>
      <c r="G26" s="36" t="inlineStr">
        <is>
          <t>CPV Basin Ranch Holdings LLC (CPV 100%)</t>
        </is>
      </c>
      <c r="H26" s="39" t="n"/>
      <c r="I26" s="37" t="inlineStr">
        <is>
          <t>EPC</t>
        </is>
      </c>
      <c r="J26" s="40" t="n"/>
      <c r="K26" s="38" t="inlineStr">
        <is>
          <t>Under Construction - Gemma full NTP Oct 30, 2025; groundbreaking Nov 20, 2025</t>
        </is>
      </c>
      <c r="L26" s="40" t="n"/>
      <c r="M26" s="41">
        <f>P26*1000*Guide!$B$81</f>
        <v/>
      </c>
      <c r="N26" s="42" t="n"/>
      <c r="O26" s="43" t="n"/>
      <c r="P26" s="44" t="n">
        <v>1350</v>
      </c>
      <c r="Q26" s="44" t="n">
        <v>345</v>
      </c>
      <c r="R26" s="36" t="inlineStr">
        <is>
          <t>Barstow</t>
        </is>
      </c>
      <c r="S26" s="36" t="inlineStr">
        <is>
          <t>Ward</t>
        </is>
      </c>
      <c r="T26" s="36" t="inlineStr">
        <is>
          <t>TX</t>
        </is>
      </c>
      <c r="U26" s="37" t="inlineStr">
        <is>
          <t>United States</t>
        </is>
      </c>
      <c r="V26" s="40" t="n"/>
      <c r="W26" s="45" t="n">
        <v>47088</v>
      </c>
      <c r="X26" s="45" t="n">
        <v>47270</v>
      </c>
      <c r="Y26" s="45" t="n">
        <v>46477</v>
      </c>
      <c r="Z26" s="37" t="inlineStr">
        <is>
          <t>Power Generation</t>
        </is>
      </c>
      <c r="AA26" s="37" t="inlineStr">
        <is>
          <t>Generation</t>
        </is>
      </c>
      <c r="AB26" s="37" t="inlineStr">
        <is>
          <t>New Capacity/New Build</t>
        </is>
      </c>
      <c r="AC26" s="37" t="inlineStr">
        <is>
          <t>New Load Growth</t>
        </is>
      </c>
      <c r="AD26" s="37" t="inlineStr">
        <is>
          <t>Generation</t>
        </is>
      </c>
      <c r="AE26" s="38" t="inlineStr">
        <is>
          <t>Natural gas generation - electrical BoP (MV/LV power, tray/control &amp; instrumentation cable, substation)</t>
        </is>
      </c>
      <c r="AF26" s="37" t="inlineStr">
        <is>
          <t>Greenfield</t>
        </is>
      </c>
      <c r="AG26" s="37" t="inlineStr">
        <is>
          <t>Traditional</t>
        </is>
      </c>
      <c r="AH26" s="37" t="inlineStr">
        <is>
          <t>Natural Gas</t>
        </is>
      </c>
      <c r="AI26" s="37" t="inlineStr">
        <is>
          <t>No</t>
        </is>
      </c>
      <c r="AJ26" s="38" t="inlineStr">
        <is>
          <t>AWARD (PO) DATE BASIS: full NTP Oct 2025, construction since Nov 2025, COD Dec 2028 (ERCOT; CPV says 2029) -&gt; target Q1 2027; early packages may already be placed. CRM correction: utility is Oncor (not AEP Texas). Other contacts: Sherman Knight (CEO, CPV); Charles E. Collins IV (CEO, Gemma); David Watson (Argan company contact, 301-315-0027).</t>
        </is>
      </c>
      <c r="AK26" s="38" t="inlineStr">
        <is>
          <t>Get in front of Gemma procurement now for MV/LV power, control &amp; I&amp;C packages before Q1 2027.</t>
        </is>
      </c>
      <c r="AL26" s="38" t="inlineStr">
        <is>
          <t>OVERVIEW: 1,350 MW natural-gas combined-cycle plant in the Permian Basin, CPV's first Texas project, backed by a ~$1.1B Texas Energy Fund loan; CPV bought the remaining 30% in Feb 2026 (100% owner). TECHNOLOGY &amp; EQUIPMENT: two 1x1 combined-cycle blocks with GE Vernova 7HA.03 gas turbines, HRSGs and steam turbines; permitted carbon-capture option for later phases (CPV Basin Ranch Capture LLC). SITE: GREENFIELD - near Barstow, Ward County (acreage not published). INTERCONNECTION: 345 kV into an Oncor switchyard tapping the Riverton-Sand Lake 345 kV line; ERCOT. OWNERSHIP/STATUS: CPV Group (OPC Energy/Kenon); EPC Gemma Power Systems, detailed engineering POWER Engineers; groundbreaking Nov 20, 2025; COD Dec 2028-2029. INVESTMENT: ~$2B. W&amp;C NEEDS (combined cycle): MV power cable to aux transformers, MV switchgear and large motors; 600V power &amp; TC-ER tray cable for HRSG/ST auxiliaries and BOP; shielded I&amp;C cable; bare copper grounding; 345 kV switchyard control cable; future carbon-capture plant cabling. Ref: https://cpv.com/2025/11/20/cpv-basin-ranch-energy-center-breaks-ground-in-ward-county-texas/ | https://www.businesswire.com/news/home/20251030500209/en/Argan-Inc.s-Gemma-Power-Systems-Receives-Full-Notice-to-Proceed-on-EPC-Contract-for-1350-MW-Combined-Cycle-Power-Plant-in-Texas | https://cpv.com/our-fleet/cpv-basin-ranch-energy-center/</t>
        </is>
      </c>
      <c r="AM26" s="40" t="n"/>
      <c r="AN26" s="40" t="n"/>
      <c r="AO26" s="43" t="n"/>
      <c r="AP26" s="36" t="inlineStr">
        <is>
          <t>CPV Basin Ranch Energy Center</t>
        </is>
      </c>
      <c r="AQ26" s="38" t="inlineStr">
        <is>
          <t>Oncor 345 kV switchyard (tap Riverton-Sand Lake 345 kV)</t>
        </is>
      </c>
      <c r="AR26" s="39" t="n"/>
      <c r="AS26" s="39" t="n"/>
      <c r="AT26" s="39" t="n"/>
      <c r="AU26" s="39" t="n"/>
      <c r="AV26" s="39" t="n"/>
      <c r="AW26" s="39" t="n"/>
    </row>
    <row r="27" ht="23" customHeight="1">
      <c r="A27" s="36" t="inlineStr">
        <is>
          <t>CPV Shay Energy Center</t>
        </is>
      </c>
      <c r="B27" s="36" t="inlineStr">
        <is>
          <t>CPV Group (OPC Energy / Kenon)</t>
        </is>
      </c>
      <c r="C27" s="37" t="inlineStr">
        <is>
          <t>Open</t>
        </is>
      </c>
      <c r="D27" s="38" t="inlineStr">
        <is>
          <t>CPV Shay, LLC; CPV Shay Clean Energy Center</t>
        </is>
      </c>
      <c r="E27" s="37" t="inlineStr">
        <is>
          <t>IPP</t>
        </is>
      </c>
      <c r="F27" s="38" t="inlineStr">
        <is>
          <t>Peter Podurgiel, President (per Aug 2026 release)</t>
        </is>
      </c>
      <c r="G27" s="36" t="inlineStr">
        <is>
          <t>CPV Shay, LLC</t>
        </is>
      </c>
      <c r="H27" s="39" t="n"/>
      <c r="I27" s="37" t="inlineStr">
        <is>
          <t>Developer</t>
        </is>
      </c>
      <c r="J27" s="40" t="n"/>
      <c r="K27" s="38" t="inlineStr">
        <is>
          <t>Development - WV PSC siting Apr 2024; air permit applied Jan 2026; EQT gas deal Aug 2026</t>
        </is>
      </c>
      <c r="L27" s="40" t="n"/>
      <c r="M27" s="41">
        <f>P27*1000*Guide!$B$81</f>
        <v/>
      </c>
      <c r="N27" s="42" t="n"/>
      <c r="O27" s="43" t="n"/>
      <c r="P27" s="44" t="n">
        <v>2100</v>
      </c>
      <c r="Q27" s="44" t="n">
        <v>500</v>
      </c>
      <c r="R27" s="36" t="inlineStr">
        <is>
          <t>West Union (Blandville)</t>
        </is>
      </c>
      <c r="S27" s="36" t="inlineStr">
        <is>
          <t>Doddridge</t>
        </is>
      </c>
      <c r="T27" s="36" t="inlineStr">
        <is>
          <t>WV</t>
        </is>
      </c>
      <c r="U27" s="37" t="inlineStr">
        <is>
          <t>United States</t>
        </is>
      </c>
      <c r="V27" s="40" t="n"/>
      <c r="W27" s="45" t="n">
        <v>48213</v>
      </c>
      <c r="X27" s="45" t="n">
        <v>48395</v>
      </c>
      <c r="Y27" s="45" t="n">
        <v>47483</v>
      </c>
      <c r="Z27" s="37" t="inlineStr">
        <is>
          <t>Power Generation</t>
        </is>
      </c>
      <c r="AA27" s="37" t="inlineStr">
        <is>
          <t>Generation</t>
        </is>
      </c>
      <c r="AB27" s="37" t="inlineStr">
        <is>
          <t>New Capacity/New Build</t>
        </is>
      </c>
      <c r="AC27" s="37" t="inlineStr">
        <is>
          <t>New Load Growth</t>
        </is>
      </c>
      <c r="AD27" s="37" t="inlineStr">
        <is>
          <t>Generation</t>
        </is>
      </c>
      <c r="AE27" s="38" t="inlineStr">
        <is>
          <t>Natural gas generation - electrical BoP (MV/LV power, tray/control &amp; instrumentation cable, substation)</t>
        </is>
      </c>
      <c r="AF27" s="37" t="inlineStr">
        <is>
          <t>Greenfield</t>
        </is>
      </c>
      <c r="AG27" s="37" t="inlineStr">
        <is>
          <t>Traditional</t>
        </is>
      </c>
      <c r="AH27" s="37" t="inlineStr">
        <is>
          <t>Natural Gas</t>
        </is>
      </c>
      <c r="AI27" s="37" t="inlineStr">
        <is>
          <t>No</t>
        </is>
      </c>
      <c r="AJ27" s="38" t="inlineStr">
        <is>
          <t>AWARD (PO) DATE BASIS: construction start est. Q1 2027, COD est. 2031 (CPV fact sheet Mar 2026) -&gt; award window ~2029-2030. Could accelerate if selected in PJM Reliability Backstop procurement (auction postponed after FERC order Sep 29, 2026). EPC not yet named. CRM COD 12/31/2029 updated to 2031. Other: Toby Rice (CEO, EQT).</t>
        </is>
      </c>
      <c r="AK27" s="38" t="inlineStr">
        <is>
          <t>Track WVDEP air permit and EPC award (likely 2027); spec in early with engineer.</t>
        </is>
      </c>
      <c r="AL27" s="38" t="inlineStr">
        <is>
          <t>OVERVIEW: ~2,060-2,100 MW natural-gas combined-cycle plant with amine-based carbon capture capability (90-95% capture target), one of the largest gas plants planned in PJM; 10-yr EQT gas supply (&gt;100 BCF/yr) signed Aug 2026. TECHNOLOGY &amp; EQUIPMENT: three 1x1 combined-cycle blocks with GE Vernova 7HA.03 gas turbines (~687 MW each), HRSGs and steam turbines; post-combustion amine carbon capture plant (can run with or without capture). SITE: GREENFIELD - 54-acre footprint within a 230-acre parcel along WV Route 18, ~5 miles SE of West Union, Doddridge County. INTERCONNECTION: new ~9-mile 500 kV line to Mon Power's Flint Run 500 kV substation; PJM. OWNERSHIP/STATUS: CPV Shay LLC; WV PSC siting certificate Apr 2024; WVDEP air permit application Jan 2026; construction start est. 2027; COD est. 2031. INVESTMENT: ~$3-3.3B. W&amp;C NEEDS (combined cycle x3 + carbon capture): MV power cable to aux transformers, MV switchgear and large motors (incl. capture-plant compressors/blowers/pumps); 600V power &amp; TC-ER tray cable; shielded I&amp;C cable; bare copper grounding; 500 kV switchyard control cable; 9-mile 500 kV transmission conductor. Ref: https://cpv.com/our-fleet/cpv-shay-energy-center/ | https://cpv.com/2026/08/12/cpv-secures-10-year-gas-netback-with-eqt-to-supply-2-gw-cpv-shay-energy-center/ | https://cpv.com/wp-content/uploads/2026/03/CPV-Shay-Energy-Center-Project-Fact-Sheet-March-2026-1.pdf</t>
        </is>
      </c>
      <c r="AM27" s="40" t="n"/>
      <c r="AN27" s="40" t="n"/>
      <c r="AO27" s="44" t="n">
        <v>9</v>
      </c>
      <c r="AP27" s="36" t="inlineStr">
        <is>
          <t>CPV Shay Energy Center</t>
        </is>
      </c>
      <c r="AQ27" s="36" t="inlineStr">
        <is>
          <t>Mon Power Flint Run 500 kV Substation</t>
        </is>
      </c>
      <c r="AR27" s="39" t="n"/>
      <c r="AS27" s="39" t="n"/>
      <c r="AT27" s="39" t="n"/>
      <c r="AU27" s="39" t="n"/>
      <c r="AV27" s="39" t="n"/>
      <c r="AW27" s="39" t="n"/>
    </row>
    <row r="28" ht="23" customHeight="1">
      <c r="A28" s="38" t="inlineStr">
        <is>
          <t>CPV Clean Energy Future - Oregon (Oregon Energy Center)</t>
        </is>
      </c>
      <c r="B28" s="36" t="inlineStr">
        <is>
          <t>CPV Group (CPV Oregon Holdings)</t>
        </is>
      </c>
      <c r="C28" s="37" t="inlineStr">
        <is>
          <t>Delayed</t>
        </is>
      </c>
      <c r="D28" s="38" t="inlineStr">
        <is>
          <t>CPV Oregon Energy Center; Clean Energy Future - Oregon; OPSB 17-0530-EL-BGN</t>
        </is>
      </c>
      <c r="E28" s="37" t="inlineStr">
        <is>
          <t>IPP</t>
        </is>
      </c>
      <c r="F28" s="36" t="inlineStr">
        <is>
          <t>TBD</t>
        </is>
      </c>
      <c r="G28" s="36" t="inlineStr">
        <is>
          <t>CPV Oregon Holdings</t>
        </is>
      </c>
      <c r="H28" s="39" t="n"/>
      <c r="I28" s="37" t="inlineStr">
        <is>
          <t>Developer</t>
        </is>
      </c>
      <c r="J28" s="40" t="n"/>
      <c r="K28" s="38" t="inlineStr">
        <is>
          <t>Stalled / at risk - PJM queue reportedly withdrawn (Aurora, Feb 2026); OPSB certificate may have lapsed</t>
        </is>
      </c>
      <c r="L28" s="40" t="n"/>
      <c r="M28" s="41">
        <f>P28*1000*Guide!$B$81</f>
        <v/>
      </c>
      <c r="N28" s="42" t="n"/>
      <c r="O28" s="43" t="n"/>
      <c r="P28" s="44" t="n">
        <v>1475</v>
      </c>
      <c r="Q28" s="44" t="n">
        <v>345</v>
      </c>
      <c r="R28" s="36" t="inlineStr">
        <is>
          <t>Oregon</t>
        </is>
      </c>
      <c r="S28" s="36" t="inlineStr">
        <is>
          <t>Lucas</t>
        </is>
      </c>
      <c r="T28" s="36" t="inlineStr">
        <is>
          <t>OH</t>
        </is>
      </c>
      <c r="U28" s="37" t="inlineStr">
        <is>
          <t>United States</t>
        </is>
      </c>
      <c r="V28" s="40" t="n"/>
      <c r="W28" s="45" t="n">
        <v>48213</v>
      </c>
      <c r="X28" s="45" t="n">
        <v>48395</v>
      </c>
      <c r="Y28" s="45" t="n">
        <v>47483</v>
      </c>
      <c r="Z28" s="37" t="inlineStr">
        <is>
          <t>Power Generation</t>
        </is>
      </c>
      <c r="AA28" s="37" t="inlineStr">
        <is>
          <t>Generation</t>
        </is>
      </c>
      <c r="AB28" s="37" t="inlineStr">
        <is>
          <t>New Capacity/New Build</t>
        </is>
      </c>
      <c r="AC28" s="37" t="inlineStr">
        <is>
          <t>New Load Growth</t>
        </is>
      </c>
      <c r="AD28" s="37" t="inlineStr">
        <is>
          <t>Generation</t>
        </is>
      </c>
      <c r="AE28" s="38" t="inlineStr">
        <is>
          <t>Natural gas generation - electrical BoP (MV/LV power, tray/control &amp; instrumentation cable, substation)</t>
        </is>
      </c>
      <c r="AF28" s="37" t="inlineStr">
        <is>
          <t>Brownfield</t>
        </is>
      </c>
      <c r="AG28" s="37" t="inlineStr">
        <is>
          <t>Traditional</t>
        </is>
      </c>
      <c r="AH28" s="37" t="inlineStr">
        <is>
          <t>Natural Gas</t>
        </is>
      </c>
      <c r="AI28" s="37" t="inlineStr">
        <is>
          <t>No</t>
        </is>
      </c>
      <c r="AJ28" s="38" t="inlineStr">
        <is>
          <t>ON HOLD: OPSB certificate (955 MW, 2017) extended to ~mid-2026; selected for PJM RRI May 2025 and redesigned to 1,475 MW / 2031 COD; Aurora (Feb 2026) reports queue request withdrawn after $878/kW cost estimate (single source). Neighboring Oregon Clean Energy Center (870 MW) now owned by I&amp;M/AEP (Mar 2026) - not CPV. ALTERNATIVE CPV LEAD: CPV Walker Energy Center, Fayette County OH (1,450-1,465 MW CC, ~150 acres, construction Q2 2028, COD Q4 2031, AES Ohio 345 kV). Other contact: Joel Mazur (City Administrator, Oregon OH).</t>
        </is>
      </c>
      <c r="AK28" s="38" t="inlineStr">
        <is>
          <t>Confirm with CPV whether Oregon is alive; open new lead for CPV Walker Energy Center (Fayette Co., OH).</t>
        </is>
      </c>
      <c r="AL28" s="38" t="inlineStr">
        <is>
          <t>OVERVIEW: planned ~1,475 MW natural-gas combined-cycle plant (redesigned from the 955 MW certificate) by CPV, selected for PJM's Reliability Resource Initiative (May 2025) with a 2031 target - currently stalled (queue reportedly withdrawn). TECHNOLOGY &amp; EQUIPMENT: combined cycle; original design two combustion turbines + HRSGs + steam turbine; OEM for redesign not published. SITE: BROWNFIELD-ADJACENT industrial parcel next to the existing 870 MW Oregon Clean Energy Center (now I&amp;M/AEP), north of Parkway Rd, Oregon, Lucas County. INTERCONNECTION: 138 kV and 345 kV lines (955 MW case); PJM. OWNERSHIP/STATUS: CPV Oregon Holdings (transfer Jan 2024); OPSB extensions Dec 2023 and May 2025; status uncertain. INVESTMENT: not published for redesign. W&amp;C NEEDS (combined cycle, if revived): MV power cable, 600V power &amp; TC-ER tray cable, shielded I&amp;C cable, grounding, switchyard control cable. Ref: https://opsb.ohio.gov/news/opsb-extends-certificate-for-lucas-county-natural-gas-fired-power-plant | https://www.presspublications.com/stories/natural-gas-power-plant-oregon-ohio-reliability-resource-initiative-pjm,58407 | https://www.recordherald.com/2026/05/04/cpv-walker-energy-center-begins-state-review-for-new-power-plant/</t>
        </is>
      </c>
      <c r="AM28" s="40" t="n"/>
      <c r="AN28" s="40" t="n"/>
      <c r="AO28" s="43" t="n"/>
      <c r="AP28" s="39" t="n"/>
      <c r="AQ28" s="39" t="n"/>
      <c r="AR28" s="39" t="n"/>
      <c r="AS28" s="39" t="n"/>
      <c r="AT28" s="39" t="n"/>
      <c r="AU28" s="39" t="n"/>
      <c r="AV28" s="39" t="n"/>
      <c r="AW28" s="39" t="n"/>
    </row>
    <row r="29" ht="23" customHeight="1">
      <c r="A29" s="36" t="inlineStr">
        <is>
          <t>Lincoln Land Energy Center (LLEC)</t>
        </is>
      </c>
      <c r="B29" s="36" t="inlineStr">
        <is>
          <t>EmberClear Corp.</t>
        </is>
      </c>
      <c r="C29" s="37" t="inlineStr">
        <is>
          <t>Delayed</t>
        </is>
      </c>
      <c r="D29" s="38" t="inlineStr">
        <is>
          <t>Lincoln Land Energy Center LLC; MISO 62022_GEN1/GEN2</t>
        </is>
      </c>
      <c r="E29" s="37" t="inlineStr">
        <is>
          <t>IPP</t>
        </is>
      </c>
      <c r="F29" s="36" t="inlineStr">
        <is>
          <t>John Kinnamon, VP, LLEC Project Leader</t>
        </is>
      </c>
      <c r="G29" s="38" t="inlineStr">
        <is>
          <t>EmberClear (Lincoln Land Energy Center LLC)</t>
        </is>
      </c>
      <c r="H29" s="39" t="n"/>
      <c r="I29" s="37" t="inlineStr">
        <is>
          <t>Developer</t>
        </is>
      </c>
      <c r="J29" s="40" t="n"/>
      <c r="K29" s="38" t="inlineStr">
        <is>
          <t>Dormant / at risk - construction not started; IEPA permit expires Jan 1, 2027; data-center offtaker withdrew Aug 2026</t>
        </is>
      </c>
      <c r="L29" s="40" t="n"/>
      <c r="M29" s="41">
        <f>P29*1000*Guide!$B$81</f>
        <v/>
      </c>
      <c r="N29" s="42" t="n"/>
      <c r="O29" s="43" t="n"/>
      <c r="P29" s="44" t="n">
        <v>1190</v>
      </c>
      <c r="Q29" s="44" t="n">
        <v>345</v>
      </c>
      <c r="R29" s="36" t="inlineStr">
        <is>
          <t>Pawnee</t>
        </is>
      </c>
      <c r="S29" s="36" t="inlineStr">
        <is>
          <t>Sangamon</t>
        </is>
      </c>
      <c r="T29" s="36" t="inlineStr">
        <is>
          <t>IL</t>
        </is>
      </c>
      <c r="U29" s="37" t="inlineStr">
        <is>
          <t>United States</t>
        </is>
      </c>
      <c r="V29" s="40" t="n"/>
      <c r="W29" s="45" t="n">
        <v>47635</v>
      </c>
      <c r="X29" s="45" t="n">
        <v>47818</v>
      </c>
      <c r="Y29" s="45" t="n">
        <v>47118</v>
      </c>
      <c r="Z29" s="37" t="inlineStr">
        <is>
          <t>Power Generation</t>
        </is>
      </c>
      <c r="AA29" s="37" t="inlineStr">
        <is>
          <t>Generation</t>
        </is>
      </c>
      <c r="AB29" s="37" t="inlineStr">
        <is>
          <t>New Capacity/New Build</t>
        </is>
      </c>
      <c r="AC29" s="37" t="inlineStr">
        <is>
          <t>New Load Growth</t>
        </is>
      </c>
      <c r="AD29" s="37" t="inlineStr">
        <is>
          <t>Generation</t>
        </is>
      </c>
      <c r="AE29" s="38" t="inlineStr">
        <is>
          <t>Natural gas generation - electrical BoP (MV/LV power, tray/control &amp; instrumentation cable, substation)</t>
        </is>
      </c>
      <c r="AF29" s="37" t="inlineStr">
        <is>
          <t>Greenfield</t>
        </is>
      </c>
      <c r="AG29" s="37" t="inlineStr">
        <is>
          <t>Traditional</t>
        </is>
      </c>
      <c r="AH29" s="37" t="inlineStr">
        <is>
          <t>Natural Gas</t>
        </is>
      </c>
      <c r="AI29" s="37" t="inlineStr">
        <is>
          <t>No</t>
        </is>
      </c>
      <c r="AJ29" s="38" t="inlineStr">
        <is>
          <t>ON HOLD: IEPA construction permit (2022, extended twice) expires Jan 1, 2027; construction not begun; EmberClear/Kindle not responding to press; Eagle Rock Partners abandoned its Christian County data center (offtaker) Aug 12, 2026. CRM correction: RTO is MISO Zone 4 (Ameren), not PJM; EIA COD Jun 2030. Re-check after Jan 1, 2027.</t>
        </is>
      </c>
      <c r="AK29" s="38" t="inlineStr">
        <is>
          <t>Re-check IEPA permit status after Jan 1, 2027; move to dormant if not extended; watch for Kindle/Blackstone revival.</t>
        </is>
      </c>
      <c r="AL29" s="38" t="inlineStr">
        <is>
          <t>OVERVIEW: ~1,190 MW (EIA/MISO 1,277 MW) natural-gas combined-cycle plant near Pawnee, IL, developed by EmberClear with Siemens Energy, Siemens Financial Services, Bechtel (BDC Power Holdings) and Kindle Energy; designed for 30% hydrogen blend with path to 100%. Linked data-center offtaker (Eagle Rock Meridian Technology Park, ~1 GW) withdrew Aug 2026. TECHNOLOGY &amp; EQUIPMENT: two combined-cycle blocks (2x ~560-638 MW) with Siemens Energy gas turbines, HRSGs and steam turbines. SITE: GREENFIELD - 160 acres, half a mile south of the Village of Pawnee, Sangamon County. INTERCONNECTION: adjacent to Ameren's Illinois Rivers 345 kV substation; MISO Zone 4 (interconnection agreement 2023). OWNERSHIP/STATUS: EmberClear (Lincoln Land Energy Center LLC); IEPA permit expires Jan 1, 2027; EIA COD Jun 2030. INVESTMENT: ~$1.4-1.5B. W&amp;C NEEDS (combined cycle, if revived): MV power cable, 600V power &amp; TC-ER tray cable, shielded I&amp;C cable, grounding, 345 kV switchyard control cable. Ref: https://emberclear.com/lincoln-land-2/ | https://www.illinoistimes.com/news/data-center-development-linked-to-power-plant-construction/ | https://www.springfieldbusinessjournal.com/news/data-center-developer-abandons-plans-for-christian-county/</t>
        </is>
      </c>
      <c r="AM29" s="40" t="n"/>
      <c r="AN29" s="40" t="n"/>
      <c r="AO29" s="43" t="n"/>
      <c r="AP29" s="39" t="n"/>
      <c r="AQ29" s="39" t="n"/>
      <c r="AR29" s="39" t="n"/>
      <c r="AS29" s="39" t="n"/>
      <c r="AT29" s="39" t="n"/>
      <c r="AU29" s="39" t="n"/>
      <c r="AV29" s="39" t="n"/>
      <c r="AW29" s="39" t="n"/>
    </row>
    <row r="30" ht="23" customHeight="1">
      <c r="A30" s="36" t="inlineStr">
        <is>
          <t>Project Kilby (Chevron West Texas Power)</t>
        </is>
      </c>
      <c r="B30" s="38" t="inlineStr">
        <is>
          <t>Chevron (Energy Forge One LLC) / Joulent (Engine No. 1, National Grid Ventures)</t>
        </is>
      </c>
      <c r="C30" s="37" t="inlineStr">
        <is>
          <t>Open</t>
        </is>
      </c>
      <c r="D30" s="38" t="inlineStr">
        <is>
          <t>Kilby Power Plant; Energy Forge One LLC; Kilby Chevron West Texas Natural Gas (CRM); TCEQ 181895/PSDTX1684</t>
        </is>
      </c>
      <c r="E30" s="37" t="inlineStr">
        <is>
          <t>IPP</t>
        </is>
      </c>
      <c r="F30" s="36" t="inlineStr">
        <is>
          <t>Daniel Droog, VP, Power Solutions</t>
        </is>
      </c>
      <c r="G30" s="36" t="inlineStr">
        <is>
          <t>Energy Forge One LLC (Chevron)</t>
        </is>
      </c>
      <c r="H30" s="39" t="n"/>
      <c r="I30" s="37" t="inlineStr">
        <is>
          <t>Owner/End User</t>
        </is>
      </c>
      <c r="J30" s="40" t="n"/>
      <c r="K30" s="38" t="inlineStr">
        <is>
          <t>Pre-FID - Microsoft 20-yr PPA Jun 22, 2026; FID targeted end-2026; TCEQ air permit pending</t>
        </is>
      </c>
      <c r="L30" s="40" t="n"/>
      <c r="M30" s="41">
        <f>P30*1000*Guide!$B$81</f>
        <v/>
      </c>
      <c r="N30" s="42" t="n"/>
      <c r="O30" s="43" t="n"/>
      <c r="P30" s="44" t="n">
        <v>2670</v>
      </c>
      <c r="Q30" s="43" t="n"/>
      <c r="R30" s="36" t="inlineStr">
        <is>
          <t>Pecos (Verhalen area)</t>
        </is>
      </c>
      <c r="S30" s="36" t="inlineStr">
        <is>
          <t>Reeves</t>
        </is>
      </c>
      <c r="T30" s="36" t="inlineStr">
        <is>
          <t>TX</t>
        </is>
      </c>
      <c r="U30" s="37" t="inlineStr">
        <is>
          <t>United States</t>
        </is>
      </c>
      <c r="V30" s="40" t="n"/>
      <c r="W30" s="45" t="n">
        <v>46934</v>
      </c>
      <c r="X30" s="45" t="n">
        <v>47117</v>
      </c>
      <c r="Y30" s="45" t="n">
        <v>46477</v>
      </c>
      <c r="Z30" s="37" t="inlineStr">
        <is>
          <t>Power Generation</t>
        </is>
      </c>
      <c r="AA30" s="37" t="inlineStr">
        <is>
          <t>Generation</t>
        </is>
      </c>
      <c r="AB30" s="37" t="inlineStr">
        <is>
          <t>New Capacity/New Build</t>
        </is>
      </c>
      <c r="AC30" s="37" t="inlineStr">
        <is>
          <t>Load Interconnection</t>
        </is>
      </c>
      <c r="AD30" s="37" t="inlineStr">
        <is>
          <t>Generation</t>
        </is>
      </c>
      <c r="AE30" s="38" t="inlineStr">
        <is>
          <t>Natural gas generation - electrical BoP (MV/LV power, tray/control &amp; instrumentation cable, substation)</t>
        </is>
      </c>
      <c r="AF30" s="37" t="inlineStr">
        <is>
          <t>Greenfield</t>
        </is>
      </c>
      <c r="AG30" s="37" t="inlineStr">
        <is>
          <t>Traditional</t>
        </is>
      </c>
      <c r="AH30" s="37" t="inlineStr">
        <is>
          <t>Natural Gas</t>
        </is>
      </c>
      <c r="AI30" s="37" t="inlineStr">
        <is>
          <t>Yes</t>
        </is>
      </c>
      <c r="AJ30" s="38" t="inlineStr">
        <is>
          <t>AWARD (PO) DATE BASIS: PPA signed Jun 2026, FID targeted end-2026, first power 2028 with phased ramp to ~2.67 GW (~2029-30) -&gt; award window Jun 2026-Jun 2027, target ~Q1 2027 (early-power Titan 130 units drive first packages). CRM COD 6/30/2027 corrected to 2028. Bechtel May 2026 Project Opportunity Report lists Kilby job 26776 with procurement (Birju Vasani, bvasani@bechtel.com) and subcontracts (Mark Bingaman, mabingam@bechtel.com, 713-235-1662) prequalification contacts; full NTP not confirmed. Full capacity 2031 per kilby.com. Other contacts: Jeff Gustavson (President, Chevron New Energies); Chris James (Founder &amp; CEO, Engine No. 1 / Joulent).</t>
        </is>
      </c>
      <c r="AK30" s="38" t="inlineStr">
        <is>
          <t>Prequalify with Bechtel now: Birju Vasani (procurement) and Mark Bingaman (subcontracts) for Kilby job 26776; get specified before FID (Dec 2026); engage Chevron Power Solutions (Daniel Droog).</t>
        </is>
      </c>
      <c r="AL30" s="38" t="inlineStr">
        <is>
          <t>OVERVIEW: ~2.67 GW (permit ~2.87 GW, possible scale to 5 GW) off-grid natural-gas power plant dedicated to Microsoft's up-to-2 GW Pecos AI data-center campus under a 20-year PPA (Jun 22, 2026); developed by Chevron (Energy Forge One) with Engine No. 1's Joulent and National Grid Ventures ($1.75B for 35% of Joulent). TECHNOLOGY &amp; EQUIPMENT: ~46 gas turbines - GE Vernova 7HA (7 reserved; permit analysis 5x 7HA.02) plus Solar Turbines Titan 350 (12) and Titan 130 (29, added Dec 2025 for early power); SCR and oxidation catalysts; combined/simple-cycle split not confirmed. SITE: GREENFIELD - Reeves County, SE of Pecos near Verhalen (Pecos TX 79780), off US-285 / FM 112; Microsoft campus ~7,000 acres (tracker, unverified). INTERCONNECTION: behind-the-meter, co-located with Microsoft campus (ERCOT region, no grid export disclosed). OWNERSHIP/STATUS: Energy Forge One LLC (Chevron/Joulent 50:50); EPC Bechtel (job 26776, procurement/early works); pre-FID; TCEQ air permit draft Apr 2026, public meeting Jun 10, 2026, pending; FID end-2026; first power 2028. INVESTMENT: ~$7-9B (analyst estimates).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Very large scope: 46 turbine packages plus data-center campus feeders. Ref: https://www.chevron.com/newsroom/2026/q2/chevron-signs-20-year-power-agreement-with-microsoft-for-west-texas-data-center | https://www.tceq.texas.gov/downloads/permitting/air/bilingual/pending-permit-notices/181895-pls-english.pdf | https://blogs.microsoft.com/blog/2026/06/22/powering-the-next-wave-of-ai-expanding-capacity-with-our-new-datacenter-in-pecos/</t>
        </is>
      </c>
      <c r="AM30" s="40" t="n"/>
      <c r="AN30" s="40" t="n"/>
      <c r="AO30" s="43" t="n"/>
      <c r="AP30" s="39" t="n"/>
      <c r="AQ30" s="39" t="n"/>
      <c r="AR30" s="39" t="n"/>
      <c r="AS30" s="39" t="n"/>
      <c r="AT30" s="39" t="n"/>
      <c r="AU30" s="39" t="n"/>
      <c r="AV30" s="39" t="n"/>
      <c r="AW30" s="39" t="n"/>
    </row>
    <row r="31" ht="23" customHeight="1">
      <c r="A31" s="36" t="inlineStr">
        <is>
          <t>Shippingport Power Station Phase II</t>
        </is>
      </c>
      <c r="B31" s="36" t="inlineStr">
        <is>
          <t>The Frontier Group of Companies (FGC)</t>
        </is>
      </c>
      <c r="C31" s="37" t="inlineStr">
        <is>
          <t>Open</t>
        </is>
      </c>
      <c r="D31" s="38" t="inlineStr">
        <is>
          <t>Shippingport Power Station, LLC; former Bruce Mansfield Power Plant conversion; Shippingport Industrial Park</t>
        </is>
      </c>
      <c r="E31" s="37" t="inlineStr">
        <is>
          <t>IPP</t>
        </is>
      </c>
      <c r="F31" s="36" t="inlineStr">
        <is>
          <t>Chris Cox, VP, Power Generation</t>
        </is>
      </c>
      <c r="G31" s="38" t="inlineStr">
        <is>
          <t>Shippingport Power Station, LLC (Frontier)</t>
        </is>
      </c>
      <c r="H31" s="39" t="n"/>
      <c r="I31" s="37" t="inlineStr">
        <is>
          <t>Design / Build</t>
        </is>
      </c>
      <c r="J31" s="40" t="n"/>
      <c r="K31" s="38" t="inlineStr">
        <is>
          <t>Development / permitting - DEP fuel-yard stormwater permit comment to Nov 23, 2026; PJM approval expected mid-2028</t>
        </is>
      </c>
      <c r="L31" s="40" t="n"/>
      <c r="M31" s="41">
        <f>P31*1000*Guide!$B$81</f>
        <v/>
      </c>
      <c r="N31" s="42" t="n"/>
      <c r="O31" s="43" t="n"/>
      <c r="P31" s="44" t="n">
        <v>2550</v>
      </c>
      <c r="Q31" s="44" t="n">
        <v>345</v>
      </c>
      <c r="R31" s="36" t="inlineStr">
        <is>
          <t>Shippingport</t>
        </is>
      </c>
      <c r="S31" s="36" t="inlineStr">
        <is>
          <t>Beaver</t>
        </is>
      </c>
      <c r="T31" s="36" t="inlineStr">
        <is>
          <t>PA</t>
        </is>
      </c>
      <c r="U31" s="37" t="inlineStr">
        <is>
          <t>United States</t>
        </is>
      </c>
      <c r="V31" s="40" t="n"/>
      <c r="W31" s="45" t="n">
        <v>47208</v>
      </c>
      <c r="X31" s="45" t="n">
        <v>47391</v>
      </c>
      <c r="Y31" s="45" t="n">
        <v>46568</v>
      </c>
      <c r="Z31" s="37" t="inlineStr">
        <is>
          <t>Power Generation</t>
        </is>
      </c>
      <c r="AA31" s="37" t="inlineStr">
        <is>
          <t>Generation</t>
        </is>
      </c>
      <c r="AB31" s="37" t="inlineStr">
        <is>
          <t>New Capacity/New Build</t>
        </is>
      </c>
      <c r="AC31" s="37" t="inlineStr">
        <is>
          <t>Load Interconnection</t>
        </is>
      </c>
      <c r="AD31" s="37" t="inlineStr">
        <is>
          <t>Generation</t>
        </is>
      </c>
      <c r="AE31" s="38" t="inlineStr">
        <is>
          <t>Natural gas generation - electrical BoP (MV/LV power, tray/control &amp; instrumentation cable, substation)</t>
        </is>
      </c>
      <c r="AF31" s="37" t="inlineStr">
        <is>
          <t>Brownfield</t>
        </is>
      </c>
      <c r="AG31" s="37" t="inlineStr">
        <is>
          <t>Traditional</t>
        </is>
      </c>
      <c r="AH31" s="37" t="inlineStr">
        <is>
          <t>Natural Gas</t>
        </is>
      </c>
      <c r="AI31" s="37" t="inlineStr">
        <is>
          <t>Yes</t>
        </is>
      </c>
      <c r="AJ31" s="38" t="inlineStr">
        <is>
          <t>AWARD (PO) DATE BASIS: Frontier targets PJM approval mid-2028 and units online early 2029 with ~3-year construction -&gt; award window Mar 2027-Mar 2028, target ~Q2 2027. CRM COD 12/31/2030 updated to early 2029. Capacity conflicts: 2,550 MW export / 2.7 GW conversion + 900 MW Phase I = 3.6 GW. Aligned Data Centers broke ground on 2 GW Project Phoenix (~$10B) Sep 10, 2026 next door. Other contacts: David Franjoine (Founder &amp; CEO); Robert Zuchlewski (COO); Anthony Basil (Project Manager) and Peter Violante (Dir. Logistics &amp; BD) - Shippingport assignment not confirmed. Owner's engineer: Wood.</t>
        </is>
      </c>
      <c r="AK31" s="38" t="inlineStr">
        <is>
          <t>Meet Chris Cox (Frontier) on Phase II steam-unit refurbishment and 34.5 kV substation cable packages.</t>
        </is>
      </c>
      <c r="AL31" s="38" t="inlineStr">
        <is>
          <t>OVERVIEW: conversion of the former 2.5-2.7 GW Bruce Mansfield coal plant (operated 1976-2019) into a natural-gas power station; Phase I adds ~900 MW new simple-cycle gas turbines + switchyard, Phase II (this record) converts the coal units (~2.7 GW) - up to ~3.6 GW total available to the park; EQT gas supply ~800 MMcf/d via new 7.2-mile National Fuel lateral. TECHNOLOGY &amp; EQUIPMENT: refurbish 3x existing GE steam turbine-generators (~850 MW each) re-powered with new gas turbines (repowering), new cooling towers, transformers and switchgear, on-site gas receiving station and 34.5 kV substation; coal handling demolished. SITE: BROWNFIELD - former Bruce Mansfield coal plant in the 660-acre Shippingport Industrial Park, Shippingport Borough, Beaver County; 14.5-acre gas fuel yard. Aligned Data Centers' 2 GW Project Phoenix campus under construction on site. INTERCONNECTION: PJM Cycle 01 (existing Bruce Mansfield 345 kV substation, Penn Power/FirstEnergy) plus behind-the-meter supply to the park. OWNERSHIP/STATUS: Frontier Group (self-performs engineering and construction; Wood owner's engineer); permitting underway; PJM approval mid-2028; units online early 2029; &gt;1,500 construction workers. INVESTMENT: &gt;$1.8B. W&amp;C NEEDS (repowered steam units + new GTs): MV power cable for new GT/aux transformers, cooling-tower fans and pumps, 34.5 kV substation feeders; 600V power &amp; TC-ER tray cable; shielded I&amp;C cable for new controls/DCS; grounding; switchyard control cable; data-center park MV distribution. Ref: https://frontier-companies.com/shippingport-power-station-featured-in-energy-oil-gas-magazine/ | https://www.businesswire.com/news/home/20250715103342/en/The-Frontier-Group-of-Companies-to-Transform-Bruce-Mansfield-Power-Plant-into-State-of-the-Art-Natural-Gas-Power-Plant-Supporting-Americas-Energy-Goals-and-Pennsylvanias-Economic-Growth | https://aligneddc.com/press-release/project-phoenix-data-center-shippingport-pa/</t>
        </is>
      </c>
      <c r="AM31" s="40" t="n"/>
      <c r="AN31" s="40" t="n"/>
      <c r="AO31" s="43" t="n"/>
      <c r="AP31" s="39" t="n"/>
      <c r="AQ31" s="39" t="n"/>
      <c r="AR31" s="39" t="n"/>
      <c r="AS31" s="39" t="n"/>
      <c r="AT31" s="39" t="n"/>
      <c r="AU31" s="39" t="n"/>
      <c r="AV31" s="39" t="n"/>
      <c r="AW31" s="39" t="n"/>
    </row>
    <row r="32" ht="23" customHeight="1">
      <c r="A32" s="38" t="inlineStr">
        <is>
          <t>VPN 4420 Natural Gas Generation Component</t>
        </is>
      </c>
      <c r="B32" s="36" t="inlineStr">
        <is>
          <t>VPN 4420 LLC</t>
        </is>
      </c>
      <c r="C32" s="37" t="inlineStr">
        <is>
          <t>Delayed</t>
        </is>
      </c>
      <c r="D32" s="38" t="inlineStr">
        <is>
          <t>VPN 4420 LLC; Texas Comptroller Chapter 313 Application #1993 (Pecos-Barstow-Toyah ISD)</t>
        </is>
      </c>
      <c r="E32" s="37" t="inlineStr">
        <is>
          <t>IPP</t>
        </is>
      </c>
      <c r="F32" s="38" t="inlineStr">
        <is>
          <t>Mark Siffin, CEO / project business contact</t>
        </is>
      </c>
      <c r="G32" s="36" t="inlineStr">
        <is>
          <t>VPN 4420 LLC</t>
        </is>
      </c>
      <c r="H32" s="39" t="n"/>
      <c r="I32" s="37" t="inlineStr">
        <is>
          <t>Developer</t>
        </is>
      </c>
      <c r="J32" s="40" t="n"/>
      <c r="K32" s="38" t="inlineStr">
        <is>
          <t>Dormant / speculative - 2022 Chapter 313 agreement; no investment or permits reported</t>
        </is>
      </c>
      <c r="L32" s="40" t="n"/>
      <c r="M32" s="41">
        <f>P32*1000*Guide!$B$81</f>
        <v/>
      </c>
      <c r="N32" s="42" t="n"/>
      <c r="O32" s="43" t="n"/>
      <c r="P32" s="44" t="n">
        <v>1540</v>
      </c>
      <c r="Q32" s="43" t="n"/>
      <c r="R32" s="36" t="inlineStr">
        <is>
          <t>Pecos</t>
        </is>
      </c>
      <c r="S32" s="36" t="inlineStr">
        <is>
          <t>Reeves</t>
        </is>
      </c>
      <c r="T32" s="36" t="inlineStr">
        <is>
          <t>TX</t>
        </is>
      </c>
      <c r="U32" s="37" t="inlineStr">
        <is>
          <t>United States</t>
        </is>
      </c>
      <c r="V32" s="40" t="n"/>
      <c r="W32" s="45" t="n">
        <v>47848</v>
      </c>
      <c r="X32" s="45" t="n">
        <v>48029</v>
      </c>
      <c r="Y32" s="45" t="n">
        <v>47299</v>
      </c>
      <c r="Z32" s="37" t="inlineStr">
        <is>
          <t>Power Generation</t>
        </is>
      </c>
      <c r="AA32" s="37" t="inlineStr">
        <is>
          <t>Generation</t>
        </is>
      </c>
      <c r="AB32" s="37" t="inlineStr">
        <is>
          <t>New Capacity/New Build</t>
        </is>
      </c>
      <c r="AC32" s="37" t="inlineStr">
        <is>
          <t>Load Interconnection</t>
        </is>
      </c>
      <c r="AD32" s="37" t="inlineStr">
        <is>
          <t>Generation</t>
        </is>
      </c>
      <c r="AE32" s="38" t="inlineStr">
        <is>
          <t>Natural gas generation - electrical BoP (MV/LV power, tray/control &amp; instrumentation cable, substation)</t>
        </is>
      </c>
      <c r="AF32" s="37" t="inlineStr">
        <is>
          <t>Greenfield</t>
        </is>
      </c>
      <c r="AG32" s="37" t="inlineStr">
        <is>
          <t>Traditional</t>
        </is>
      </c>
      <c r="AH32" s="37" t="inlineStr">
        <is>
          <t>Natural Gas</t>
        </is>
      </c>
      <c r="AI32" s="37" t="inlineStr">
        <is>
          <t>Yes</t>
        </is>
      </c>
      <c r="AJ32" s="38" t="inlineStr">
        <is>
          <t>LOW PROBABILITY: Chapter 313 agreement executed Dec 19, 2022 ($1B, 10 jobs); 2023 report showed no jobs/investment; no TCEQ air permit found. Maefield link established via Chapter 313 filings (2024 compliance report posted 2026 lists Mark Siffin). Tentative award 6/30/2029. Same county has stronger leads: Project Kilby (Chevron/Microsoft), Prometheus Hyperscale + Istmo (1.5-2.5 GW, Aug 2026), LandBridge/NRG (1.1 GW), LandBridge/PowerBridge (2 GW).</t>
        </is>
      </c>
      <c r="AK32" s="38" t="inlineStr">
        <is>
          <t>Downgrade probability; watch for TCEQ air filings under VPN 4420; prioritize Kilby/Prometheus in Reeves County.</t>
        </is>
      </c>
      <c r="AL32" s="38" t="inlineStr">
        <is>
          <t>OVERVIEW: proposed Phase 1 technology campus (~6 million sq ft of data centers and semiconductor manufacturing) in Reeves County powered by up to three on-site natural-gas trigeneration plants (power, heating, cooling) totaling ~1.54 GW with CO2 capture equipment. TECHNOLOGY &amp; EQUIPMENT: on-site gas trigeneration plants with CO2 capture (OEMs not published). SITE: GREENFIELD - Pecos-Barstow-Toyah ISD area, Reeves County (acreage not published). INTERCONNECTION: on-site / behind the meter. OWNERSHIP/STATUS: VPN 4420 LLC / Maefield Development (Mark Siffin); Chapter 313 agreement Dec 2022; no reported investment or permits as of latest filings - likely stalled. INVESTMENT: $1B qualified investment (313).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Ref: https://comptroller.texas.gov/economy/development/prop-tax/ch313/agreement-docs-details.php?id=1993 | https://assets.comptroller.texas.gov/ch313/1993/1993-pecos-vpn-agmt.pdf</t>
        </is>
      </c>
      <c r="AM32" s="40" t="n"/>
      <c r="AN32" s="40" t="n"/>
      <c r="AO32" s="43" t="n"/>
      <c r="AP32" s="39" t="n"/>
      <c r="AQ32" s="39" t="n"/>
      <c r="AR32" s="39" t="n"/>
      <c r="AS32" s="39" t="n"/>
      <c r="AT32" s="39" t="n"/>
      <c r="AU32" s="39" t="n"/>
      <c r="AV32" s="39" t="n"/>
      <c r="AW32" s="39" t="n"/>
    </row>
    <row r="33" ht="23" customHeight="1">
      <c r="A33" s="39" t="n"/>
      <c r="B33" s="39" t="n"/>
      <c r="C33" s="40" t="n"/>
      <c r="D33" s="39" t="n"/>
      <c r="E33" s="40" t="n"/>
      <c r="F33" s="39" t="n"/>
      <c r="G33" s="39" t="n"/>
      <c r="H33" s="39" t="n"/>
      <c r="I33" s="40" t="n"/>
      <c r="J33" s="40" t="n"/>
      <c r="K33" s="39" t="n"/>
      <c r="L33" s="40" t="n"/>
      <c r="M33" s="42" t="n"/>
      <c r="N33" s="42" t="n"/>
      <c r="O33" s="43" t="n"/>
      <c r="P33" s="43" t="n"/>
      <c r="Q33" s="43" t="n"/>
      <c r="R33" s="39" t="n"/>
      <c r="S33" s="39" t="n"/>
      <c r="T33" s="39" t="n"/>
      <c r="U33" s="40" t="n"/>
      <c r="V33" s="40" t="n"/>
      <c r="W33" s="46" t="n"/>
      <c r="X33" s="46" t="n"/>
      <c r="Y33" s="46" t="n"/>
      <c r="Z33" s="40" t="n"/>
      <c r="AA33" s="40" t="n"/>
      <c r="AB33" s="40" t="n"/>
      <c r="AC33" s="40" t="n"/>
      <c r="AD33" s="40" t="n"/>
      <c r="AE33" s="47" t="n"/>
      <c r="AF33" s="40" t="n"/>
      <c r="AG33" s="40" t="n"/>
      <c r="AH33" s="40" t="n"/>
      <c r="AI33" s="40" t="n"/>
      <c r="AJ33" s="47" t="n"/>
      <c r="AK33" s="47" t="n"/>
      <c r="AL33" s="47" t="n"/>
      <c r="AM33" s="40" t="n"/>
      <c r="AN33" s="40" t="n"/>
      <c r="AO33" s="43" t="n"/>
      <c r="AP33" s="39" t="n"/>
      <c r="AQ33" s="39" t="n"/>
      <c r="AR33" s="39" t="n"/>
      <c r="AS33" s="39" t="n"/>
      <c r="AT33" s="39" t="n"/>
      <c r="AU33" s="39" t="n"/>
      <c r="AV33" s="39" t="n"/>
      <c r="AW33" s="39" t="n"/>
    </row>
    <row r="34" ht="23" customHeight="1">
      <c r="A34" s="39" t="n"/>
      <c r="B34" s="39" t="n"/>
      <c r="C34" s="40" t="n"/>
      <c r="D34" s="39" t="n"/>
      <c r="E34" s="40" t="n"/>
      <c r="F34" s="39" t="n"/>
      <c r="G34" s="39" t="n"/>
      <c r="H34" s="39" t="n"/>
      <c r="I34" s="40" t="n"/>
      <c r="J34" s="40" t="n"/>
      <c r="K34" s="39" t="n"/>
      <c r="L34" s="40" t="n"/>
      <c r="M34" s="42" t="n"/>
      <c r="N34" s="42" t="n"/>
      <c r="O34" s="43" t="n"/>
      <c r="P34" s="43" t="n"/>
      <c r="Q34" s="43" t="n"/>
      <c r="R34" s="39" t="n"/>
      <c r="S34" s="39" t="n"/>
      <c r="T34" s="39" t="n"/>
      <c r="U34" s="40" t="n"/>
      <c r="V34" s="40" t="n"/>
      <c r="W34" s="46" t="n"/>
      <c r="X34" s="46" t="n"/>
      <c r="Y34" s="46" t="n"/>
      <c r="Z34" s="40" t="n"/>
      <c r="AA34" s="40" t="n"/>
      <c r="AB34" s="40" t="n"/>
      <c r="AC34" s="40" t="n"/>
      <c r="AD34" s="40" t="n"/>
      <c r="AE34" s="47" t="n"/>
      <c r="AF34" s="40" t="n"/>
      <c r="AG34" s="40" t="n"/>
      <c r="AH34" s="40" t="n"/>
      <c r="AI34" s="40" t="n"/>
      <c r="AJ34" s="47" t="n"/>
      <c r="AK34" s="47" t="n"/>
      <c r="AL34" s="47" t="n"/>
      <c r="AM34" s="40" t="n"/>
      <c r="AN34" s="40" t="n"/>
      <c r="AO34" s="43" t="n"/>
      <c r="AP34" s="39" t="n"/>
      <c r="AQ34" s="39" t="n"/>
      <c r="AR34" s="39" t="n"/>
      <c r="AS34" s="39" t="n"/>
      <c r="AT34" s="39" t="n"/>
      <c r="AU34" s="39" t="n"/>
      <c r="AV34" s="39" t="n"/>
      <c r="AW34" s="39" t="n"/>
    </row>
    <row r="35" ht="23" customHeight="1">
      <c r="A35" s="39" t="n"/>
      <c r="B35" s="39" t="n"/>
      <c r="C35" s="40" t="n"/>
      <c r="D35" s="39" t="n"/>
      <c r="E35" s="40" t="n"/>
      <c r="F35" s="39" t="n"/>
      <c r="G35" s="39" t="n"/>
      <c r="H35" s="39" t="n"/>
      <c r="I35" s="40" t="n"/>
      <c r="J35" s="40" t="n"/>
      <c r="K35" s="39" t="n"/>
      <c r="L35" s="40" t="n"/>
      <c r="M35" s="42" t="n"/>
      <c r="N35" s="42" t="n"/>
      <c r="O35" s="43" t="n"/>
      <c r="P35" s="43" t="n"/>
      <c r="Q35" s="43" t="n"/>
      <c r="R35" s="39" t="n"/>
      <c r="S35" s="39" t="n"/>
      <c r="T35" s="39" t="n"/>
      <c r="U35" s="40" t="n"/>
      <c r="V35" s="40" t="n"/>
      <c r="W35" s="46" t="n"/>
      <c r="X35" s="46" t="n"/>
      <c r="Y35" s="46" t="n"/>
      <c r="Z35" s="40" t="n"/>
      <c r="AA35" s="40" t="n"/>
      <c r="AB35" s="40" t="n"/>
      <c r="AC35" s="40" t="n"/>
      <c r="AD35" s="40" t="n"/>
      <c r="AE35" s="47" t="n"/>
      <c r="AF35" s="40" t="n"/>
      <c r="AG35" s="40" t="n"/>
      <c r="AH35" s="40" t="n"/>
      <c r="AI35" s="40" t="n"/>
      <c r="AJ35" s="47" t="n"/>
      <c r="AK35" s="47" t="n"/>
      <c r="AL35" s="47" t="n"/>
      <c r="AM35" s="40" t="n"/>
      <c r="AN35" s="40" t="n"/>
      <c r="AO35" s="43" t="n"/>
      <c r="AP35" s="39" t="n"/>
      <c r="AQ35" s="39" t="n"/>
      <c r="AR35" s="39" t="n"/>
      <c r="AS35" s="39" t="n"/>
      <c r="AT35" s="39" t="n"/>
      <c r="AU35" s="39" t="n"/>
      <c r="AV35" s="39" t="n"/>
      <c r="AW35" s="39" t="n"/>
    </row>
    <row r="36" ht="23" customHeight="1">
      <c r="A36" s="39" t="n"/>
      <c r="B36" s="39" t="n"/>
      <c r="C36" s="40" t="n"/>
      <c r="D36" s="39" t="n"/>
      <c r="E36" s="40" t="n"/>
      <c r="F36" s="39" t="n"/>
      <c r="G36" s="39" t="n"/>
      <c r="H36" s="39" t="n"/>
      <c r="I36" s="40" t="n"/>
      <c r="J36" s="40" t="n"/>
      <c r="K36" s="39" t="n"/>
      <c r="L36" s="40" t="n"/>
      <c r="M36" s="42" t="n"/>
      <c r="N36" s="42" t="n"/>
      <c r="O36" s="43" t="n"/>
      <c r="P36" s="43" t="n"/>
      <c r="Q36" s="43" t="n"/>
      <c r="R36" s="39" t="n"/>
      <c r="S36" s="39" t="n"/>
      <c r="T36" s="39" t="n"/>
      <c r="U36" s="40" t="n"/>
      <c r="V36" s="40" t="n"/>
      <c r="W36" s="46" t="n"/>
      <c r="X36" s="46" t="n"/>
      <c r="Y36" s="46" t="n"/>
      <c r="Z36" s="40" t="n"/>
      <c r="AA36" s="40" t="n"/>
      <c r="AB36" s="40" t="n"/>
      <c r="AC36" s="40" t="n"/>
      <c r="AD36" s="40" t="n"/>
      <c r="AE36" s="47" t="n"/>
      <c r="AF36" s="40" t="n"/>
      <c r="AG36" s="40" t="n"/>
      <c r="AH36" s="40" t="n"/>
      <c r="AI36" s="40" t="n"/>
      <c r="AJ36" s="47" t="n"/>
      <c r="AK36" s="47" t="n"/>
      <c r="AL36" s="47" t="n"/>
      <c r="AM36" s="40" t="n"/>
      <c r="AN36" s="40" t="n"/>
      <c r="AO36" s="43" t="n"/>
      <c r="AP36" s="39" t="n"/>
      <c r="AQ36" s="39" t="n"/>
      <c r="AR36" s="39" t="n"/>
      <c r="AS36" s="39" t="n"/>
      <c r="AT36" s="39" t="n"/>
      <c r="AU36" s="39" t="n"/>
      <c r="AV36" s="39" t="n"/>
      <c r="AW36" s="39" t="n"/>
    </row>
    <row r="37" ht="23" customHeight="1">
      <c r="A37" s="39" t="n"/>
      <c r="B37" s="39" t="n"/>
      <c r="C37" s="40" t="n"/>
      <c r="D37" s="39" t="n"/>
      <c r="E37" s="40" t="n"/>
      <c r="F37" s="39" t="n"/>
      <c r="G37" s="39" t="n"/>
      <c r="H37" s="39" t="n"/>
      <c r="I37" s="40" t="n"/>
      <c r="J37" s="40" t="n"/>
      <c r="K37" s="39" t="n"/>
      <c r="L37" s="40" t="n"/>
      <c r="M37" s="42" t="n"/>
      <c r="N37" s="42" t="n"/>
      <c r="O37" s="43" t="n"/>
      <c r="P37" s="43" t="n"/>
      <c r="Q37" s="43" t="n"/>
      <c r="R37" s="39" t="n"/>
      <c r="S37" s="39" t="n"/>
      <c r="T37" s="39" t="n"/>
      <c r="U37" s="40" t="n"/>
      <c r="V37" s="40" t="n"/>
      <c r="W37" s="46" t="n"/>
      <c r="X37" s="46" t="n"/>
      <c r="Y37" s="46" t="n"/>
      <c r="Z37" s="40" t="n"/>
      <c r="AA37" s="40" t="n"/>
      <c r="AB37" s="40" t="n"/>
      <c r="AC37" s="40" t="n"/>
      <c r="AD37" s="40" t="n"/>
      <c r="AE37" s="47" t="n"/>
      <c r="AF37" s="40" t="n"/>
      <c r="AG37" s="40" t="n"/>
      <c r="AH37" s="40" t="n"/>
      <c r="AI37" s="40" t="n"/>
      <c r="AJ37" s="47" t="n"/>
      <c r="AK37" s="47" t="n"/>
      <c r="AL37" s="47" t="n"/>
      <c r="AM37" s="40" t="n"/>
      <c r="AN37" s="40" t="n"/>
      <c r="AO37" s="43" t="n"/>
      <c r="AP37" s="39" t="n"/>
      <c r="AQ37" s="39" t="n"/>
      <c r="AR37" s="39" t="n"/>
      <c r="AS37" s="39" t="n"/>
      <c r="AT37" s="39" t="n"/>
      <c r="AU37" s="39" t="n"/>
      <c r="AV37" s="39" t="n"/>
      <c r="AW37" s="39" t="n"/>
    </row>
    <row r="38" ht="23" customHeight="1">
      <c r="A38" s="39" t="n"/>
      <c r="B38" s="39" t="n"/>
      <c r="C38" s="40" t="n"/>
      <c r="D38" s="39" t="n"/>
      <c r="E38" s="40" t="n"/>
      <c r="F38" s="39" t="n"/>
      <c r="G38" s="39" t="n"/>
      <c r="H38" s="39" t="n"/>
      <c r="I38" s="40" t="n"/>
      <c r="J38" s="40" t="n"/>
      <c r="K38" s="39" t="n"/>
      <c r="L38" s="40" t="n"/>
      <c r="M38" s="42" t="n"/>
      <c r="N38" s="42" t="n"/>
      <c r="O38" s="43" t="n"/>
      <c r="P38" s="43" t="n"/>
      <c r="Q38" s="43" t="n"/>
      <c r="R38" s="39" t="n"/>
      <c r="S38" s="39" t="n"/>
      <c r="T38" s="39" t="n"/>
      <c r="U38" s="40" t="n"/>
      <c r="V38" s="40" t="n"/>
      <c r="W38" s="46" t="n"/>
      <c r="X38" s="46" t="n"/>
      <c r="Y38" s="46" t="n"/>
      <c r="Z38" s="40" t="n"/>
      <c r="AA38" s="40" t="n"/>
      <c r="AB38" s="40" t="n"/>
      <c r="AC38" s="40" t="n"/>
      <c r="AD38" s="40" t="n"/>
      <c r="AE38" s="47" t="n"/>
      <c r="AF38" s="40" t="n"/>
      <c r="AG38" s="40" t="n"/>
      <c r="AH38" s="40" t="n"/>
      <c r="AI38" s="40" t="n"/>
      <c r="AJ38" s="47" t="n"/>
      <c r="AK38" s="47" t="n"/>
      <c r="AL38" s="47" t="n"/>
      <c r="AM38" s="40" t="n"/>
      <c r="AN38" s="40" t="n"/>
      <c r="AO38" s="43" t="n"/>
      <c r="AP38" s="39" t="n"/>
      <c r="AQ38" s="39" t="n"/>
      <c r="AR38" s="39" t="n"/>
      <c r="AS38" s="39" t="n"/>
      <c r="AT38" s="39" t="n"/>
      <c r="AU38" s="39" t="n"/>
      <c r="AV38" s="39" t="n"/>
      <c r="AW38" s="39" t="n"/>
    </row>
    <row r="39" ht="23" customHeight="1">
      <c r="A39" s="39" t="n"/>
      <c r="B39" s="39" t="n"/>
      <c r="C39" s="40" t="n"/>
      <c r="D39" s="39" t="n"/>
      <c r="E39" s="40" t="n"/>
      <c r="F39" s="39" t="n"/>
      <c r="G39" s="39" t="n"/>
      <c r="H39" s="39" t="n"/>
      <c r="I39" s="40" t="n"/>
      <c r="J39" s="40" t="n"/>
      <c r="K39" s="39" t="n"/>
      <c r="L39" s="40" t="n"/>
      <c r="M39" s="42" t="n"/>
      <c r="N39" s="42" t="n"/>
      <c r="O39" s="43" t="n"/>
      <c r="P39" s="43" t="n"/>
      <c r="Q39" s="43" t="n"/>
      <c r="R39" s="39" t="n"/>
      <c r="S39" s="39" t="n"/>
      <c r="T39" s="39" t="n"/>
      <c r="U39" s="40" t="n"/>
      <c r="V39" s="40" t="n"/>
      <c r="W39" s="46" t="n"/>
      <c r="X39" s="46" t="n"/>
      <c r="Y39" s="46" t="n"/>
      <c r="Z39" s="40" t="n"/>
      <c r="AA39" s="40" t="n"/>
      <c r="AB39" s="40" t="n"/>
      <c r="AC39" s="40" t="n"/>
      <c r="AD39" s="40" t="n"/>
      <c r="AE39" s="47" t="n"/>
      <c r="AF39" s="40" t="n"/>
      <c r="AG39" s="40" t="n"/>
      <c r="AH39" s="40" t="n"/>
      <c r="AI39" s="40" t="n"/>
      <c r="AJ39" s="47" t="n"/>
      <c r="AK39" s="47" t="n"/>
      <c r="AL39" s="47" t="n"/>
      <c r="AM39" s="40" t="n"/>
      <c r="AN39" s="40" t="n"/>
      <c r="AO39" s="43" t="n"/>
      <c r="AP39" s="39" t="n"/>
      <c r="AQ39" s="39" t="n"/>
      <c r="AR39" s="39" t="n"/>
      <c r="AS39" s="39" t="n"/>
      <c r="AT39" s="39" t="n"/>
      <c r="AU39" s="39" t="n"/>
      <c r="AV39" s="39" t="n"/>
      <c r="AW39" s="39" t="n"/>
    </row>
    <row r="40" ht="23" customHeight="1">
      <c r="A40" s="39" t="n"/>
      <c r="B40" s="39" t="n"/>
      <c r="C40" s="40" t="n"/>
      <c r="D40" s="39" t="n"/>
      <c r="E40" s="40" t="n"/>
      <c r="F40" s="39" t="n"/>
      <c r="G40" s="39" t="n"/>
      <c r="H40" s="39" t="n"/>
      <c r="I40" s="40" t="n"/>
      <c r="J40" s="40" t="n"/>
      <c r="K40" s="39" t="n"/>
      <c r="L40" s="40" t="n"/>
      <c r="M40" s="42" t="n"/>
      <c r="N40" s="42" t="n"/>
      <c r="O40" s="43" t="n"/>
      <c r="P40" s="43" t="n"/>
      <c r="Q40" s="43" t="n"/>
      <c r="R40" s="39" t="n"/>
      <c r="S40" s="39" t="n"/>
      <c r="T40" s="39" t="n"/>
      <c r="U40" s="40" t="n"/>
      <c r="V40" s="40" t="n"/>
      <c r="W40" s="46" t="n"/>
      <c r="X40" s="46" t="n"/>
      <c r="Y40" s="46" t="n"/>
      <c r="Z40" s="40" t="n"/>
      <c r="AA40" s="40" t="n"/>
      <c r="AB40" s="40" t="n"/>
      <c r="AC40" s="40" t="n"/>
      <c r="AD40" s="40" t="n"/>
      <c r="AE40" s="47" t="n"/>
      <c r="AF40" s="40" t="n"/>
      <c r="AG40" s="40" t="n"/>
      <c r="AH40" s="40" t="n"/>
      <c r="AI40" s="40" t="n"/>
      <c r="AJ40" s="47" t="n"/>
      <c r="AK40" s="47" t="n"/>
      <c r="AL40" s="47" t="n"/>
      <c r="AM40" s="40" t="n"/>
      <c r="AN40" s="40" t="n"/>
      <c r="AO40" s="43" t="n"/>
      <c r="AP40" s="39" t="n"/>
      <c r="AQ40" s="39" t="n"/>
      <c r="AR40" s="39" t="n"/>
      <c r="AS40" s="39" t="n"/>
      <c r="AT40" s="39" t="n"/>
      <c r="AU40" s="39" t="n"/>
      <c r="AV40" s="39" t="n"/>
      <c r="AW40" s="39" t="n"/>
    </row>
    <row r="41" ht="23" customHeight="1">
      <c r="A41" s="39" t="n"/>
      <c r="B41" s="39" t="n"/>
      <c r="C41" s="40" t="n"/>
      <c r="D41" s="39" t="n"/>
      <c r="E41" s="40" t="n"/>
      <c r="F41" s="39" t="n"/>
      <c r="G41" s="39" t="n"/>
      <c r="H41" s="39" t="n"/>
      <c r="I41" s="40" t="n"/>
      <c r="J41" s="40" t="n"/>
      <c r="K41" s="39" t="n"/>
      <c r="L41" s="40" t="n"/>
      <c r="M41" s="42" t="n"/>
      <c r="N41" s="42" t="n"/>
      <c r="O41" s="43" t="n"/>
      <c r="P41" s="43" t="n"/>
      <c r="Q41" s="43" t="n"/>
      <c r="R41" s="39" t="n"/>
      <c r="S41" s="39" t="n"/>
      <c r="T41" s="39" t="n"/>
      <c r="U41" s="40" t="n"/>
      <c r="V41" s="40" t="n"/>
      <c r="W41" s="46" t="n"/>
      <c r="X41" s="46" t="n"/>
      <c r="Y41" s="46" t="n"/>
      <c r="Z41" s="40" t="n"/>
      <c r="AA41" s="40" t="n"/>
      <c r="AB41" s="40" t="n"/>
      <c r="AC41" s="40" t="n"/>
      <c r="AD41" s="40" t="n"/>
      <c r="AE41" s="47" t="n"/>
      <c r="AF41" s="40" t="n"/>
      <c r="AG41" s="40" t="n"/>
      <c r="AH41" s="40" t="n"/>
      <c r="AI41" s="40" t="n"/>
      <c r="AJ41" s="47" t="n"/>
      <c r="AK41" s="47" t="n"/>
      <c r="AL41" s="47" t="n"/>
      <c r="AM41" s="40" t="n"/>
      <c r="AN41" s="40" t="n"/>
      <c r="AO41" s="43" t="n"/>
      <c r="AP41" s="39" t="n"/>
      <c r="AQ41" s="39" t="n"/>
      <c r="AR41" s="39" t="n"/>
      <c r="AS41" s="39" t="n"/>
      <c r="AT41" s="39" t="n"/>
      <c r="AU41" s="39" t="n"/>
      <c r="AV41" s="39" t="n"/>
      <c r="AW41" s="39" t="n"/>
    </row>
    <row r="42" ht="23" customHeight="1">
      <c r="A42" s="39" t="n"/>
      <c r="B42" s="39" t="n"/>
      <c r="C42" s="40" t="n"/>
      <c r="D42" s="39" t="n"/>
      <c r="E42" s="40" t="n"/>
      <c r="F42" s="39" t="n"/>
      <c r="G42" s="39" t="n"/>
      <c r="H42" s="39" t="n"/>
      <c r="I42" s="40" t="n"/>
      <c r="J42" s="40" t="n"/>
      <c r="K42" s="39" t="n"/>
      <c r="L42" s="40" t="n"/>
      <c r="M42" s="42" t="n"/>
      <c r="N42" s="42" t="n"/>
      <c r="O42" s="43" t="n"/>
      <c r="P42" s="43" t="n"/>
      <c r="Q42" s="43" t="n"/>
      <c r="R42" s="39" t="n"/>
      <c r="S42" s="39" t="n"/>
      <c r="T42" s="39" t="n"/>
      <c r="U42" s="40" t="n"/>
      <c r="V42" s="40" t="n"/>
      <c r="W42" s="46" t="n"/>
      <c r="X42" s="46" t="n"/>
      <c r="Y42" s="46" t="n"/>
      <c r="Z42" s="40" t="n"/>
      <c r="AA42" s="40" t="n"/>
      <c r="AB42" s="40" t="n"/>
      <c r="AC42" s="40" t="n"/>
      <c r="AD42" s="40" t="n"/>
      <c r="AE42" s="47" t="n"/>
      <c r="AF42" s="40" t="n"/>
      <c r="AG42" s="40" t="n"/>
      <c r="AH42" s="40" t="n"/>
      <c r="AI42" s="40" t="n"/>
      <c r="AJ42" s="47" t="n"/>
      <c r="AK42" s="47" t="n"/>
      <c r="AL42" s="47" t="n"/>
      <c r="AM42" s="40" t="n"/>
      <c r="AN42" s="40" t="n"/>
      <c r="AO42" s="43" t="n"/>
      <c r="AP42" s="39" t="n"/>
      <c r="AQ42" s="39" t="n"/>
      <c r="AR42" s="39" t="n"/>
      <c r="AS42" s="39" t="n"/>
      <c r="AT42" s="39" t="n"/>
      <c r="AU42" s="39" t="n"/>
      <c r="AV42" s="39" t="n"/>
      <c r="AW42" s="39" t="n"/>
    </row>
    <row r="43" ht="23" customHeight="1">
      <c r="A43" s="39" t="n"/>
      <c r="B43" s="39" t="n"/>
      <c r="C43" s="40" t="n"/>
      <c r="D43" s="39" t="n"/>
      <c r="E43" s="40" t="n"/>
      <c r="F43" s="39" t="n"/>
      <c r="G43" s="39" t="n"/>
      <c r="H43" s="39" t="n"/>
      <c r="I43" s="40" t="n"/>
      <c r="J43" s="40" t="n"/>
      <c r="K43" s="39" t="n"/>
      <c r="L43" s="40" t="n"/>
      <c r="M43" s="42" t="n"/>
      <c r="N43" s="42" t="n"/>
      <c r="O43" s="43" t="n"/>
      <c r="P43" s="43" t="n"/>
      <c r="Q43" s="43" t="n"/>
      <c r="R43" s="39" t="n"/>
      <c r="S43" s="39" t="n"/>
      <c r="T43" s="39" t="n"/>
      <c r="U43" s="40" t="n"/>
      <c r="V43" s="40" t="n"/>
      <c r="W43" s="46" t="n"/>
      <c r="X43" s="46" t="n"/>
      <c r="Y43" s="46" t="n"/>
      <c r="Z43" s="40" t="n"/>
      <c r="AA43" s="40" t="n"/>
      <c r="AB43" s="40" t="n"/>
      <c r="AC43" s="40" t="n"/>
      <c r="AD43" s="40" t="n"/>
      <c r="AE43" s="47" t="n"/>
      <c r="AF43" s="40" t="n"/>
      <c r="AG43" s="40" t="n"/>
      <c r="AH43" s="40" t="n"/>
      <c r="AI43" s="40" t="n"/>
      <c r="AJ43" s="47" t="n"/>
      <c r="AK43" s="47" t="n"/>
      <c r="AL43" s="47" t="n"/>
      <c r="AM43" s="40" t="n"/>
      <c r="AN43" s="40" t="n"/>
      <c r="AO43" s="43" t="n"/>
      <c r="AP43" s="39" t="n"/>
      <c r="AQ43" s="39" t="n"/>
      <c r="AR43" s="39" t="n"/>
      <c r="AS43" s="39" t="n"/>
      <c r="AT43" s="39" t="n"/>
      <c r="AU43" s="39" t="n"/>
      <c r="AV43" s="39" t="n"/>
      <c r="AW43" s="39" t="n"/>
    </row>
    <row r="44" ht="23" customHeight="1">
      <c r="A44" s="39" t="n"/>
      <c r="B44" s="39" t="n"/>
      <c r="C44" s="40" t="n"/>
      <c r="D44" s="39" t="n"/>
      <c r="E44" s="40" t="n"/>
      <c r="F44" s="39" t="n"/>
      <c r="G44" s="39" t="n"/>
      <c r="H44" s="39" t="n"/>
      <c r="I44" s="40" t="n"/>
      <c r="J44" s="40" t="n"/>
      <c r="K44" s="39" t="n"/>
      <c r="L44" s="40" t="n"/>
      <c r="M44" s="42" t="n"/>
      <c r="N44" s="42" t="n"/>
      <c r="O44" s="43" t="n"/>
      <c r="P44" s="43" t="n"/>
      <c r="Q44" s="43" t="n"/>
      <c r="R44" s="39" t="n"/>
      <c r="S44" s="39" t="n"/>
      <c r="T44" s="39" t="n"/>
      <c r="U44" s="40" t="n"/>
      <c r="V44" s="40" t="n"/>
      <c r="W44" s="46" t="n"/>
      <c r="X44" s="46" t="n"/>
      <c r="Y44" s="46" t="n"/>
      <c r="Z44" s="40" t="n"/>
      <c r="AA44" s="40" t="n"/>
      <c r="AB44" s="40" t="n"/>
      <c r="AC44" s="40" t="n"/>
      <c r="AD44" s="40" t="n"/>
      <c r="AE44" s="47" t="n"/>
      <c r="AF44" s="40" t="n"/>
      <c r="AG44" s="40" t="n"/>
      <c r="AH44" s="40" t="n"/>
      <c r="AI44" s="40" t="n"/>
      <c r="AJ44" s="47" t="n"/>
      <c r="AK44" s="47" t="n"/>
      <c r="AL44" s="47" t="n"/>
      <c r="AM44" s="40" t="n"/>
      <c r="AN44" s="40" t="n"/>
      <c r="AO44" s="43" t="n"/>
      <c r="AP44" s="39" t="n"/>
      <c r="AQ44" s="39" t="n"/>
      <c r="AR44" s="39" t="n"/>
      <c r="AS44" s="39" t="n"/>
      <c r="AT44" s="39" t="n"/>
      <c r="AU44" s="39" t="n"/>
      <c r="AV44" s="39" t="n"/>
      <c r="AW44" s="39" t="n"/>
    </row>
    <row r="45" ht="23" customHeight="1">
      <c r="A45" s="39" t="n"/>
      <c r="B45" s="39" t="n"/>
      <c r="C45" s="40" t="n"/>
      <c r="D45" s="39" t="n"/>
      <c r="E45" s="40" t="n"/>
      <c r="F45" s="39" t="n"/>
      <c r="G45" s="39" t="n"/>
      <c r="H45" s="39" t="n"/>
      <c r="I45" s="40" t="n"/>
      <c r="J45" s="40" t="n"/>
      <c r="K45" s="39" t="n"/>
      <c r="L45" s="40" t="n"/>
      <c r="M45" s="42" t="n"/>
      <c r="N45" s="42" t="n"/>
      <c r="O45" s="43" t="n"/>
      <c r="P45" s="43" t="n"/>
      <c r="Q45" s="43" t="n"/>
      <c r="R45" s="39" t="n"/>
      <c r="S45" s="39" t="n"/>
      <c r="T45" s="39" t="n"/>
      <c r="U45" s="40" t="n"/>
      <c r="V45" s="40" t="n"/>
      <c r="W45" s="46" t="n"/>
      <c r="X45" s="46" t="n"/>
      <c r="Y45" s="46" t="n"/>
      <c r="Z45" s="40" t="n"/>
      <c r="AA45" s="40" t="n"/>
      <c r="AB45" s="40" t="n"/>
      <c r="AC45" s="40" t="n"/>
      <c r="AD45" s="40" t="n"/>
      <c r="AE45" s="47" t="n"/>
      <c r="AF45" s="40" t="n"/>
      <c r="AG45" s="40" t="n"/>
      <c r="AH45" s="40" t="n"/>
      <c r="AI45" s="40" t="n"/>
      <c r="AJ45" s="47" t="n"/>
      <c r="AK45" s="47" t="n"/>
      <c r="AL45" s="47" t="n"/>
      <c r="AM45" s="40" t="n"/>
      <c r="AN45" s="40" t="n"/>
      <c r="AO45" s="43" t="n"/>
      <c r="AP45" s="39" t="n"/>
      <c r="AQ45" s="39" t="n"/>
      <c r="AR45" s="39" t="n"/>
      <c r="AS45" s="39" t="n"/>
      <c r="AT45" s="39" t="n"/>
      <c r="AU45" s="39" t="n"/>
      <c r="AV45" s="39" t="n"/>
      <c r="AW45" s="39" t="n"/>
    </row>
    <row r="46" ht="23" customHeight="1">
      <c r="A46" s="39" t="n"/>
      <c r="B46" s="39" t="n"/>
      <c r="C46" s="40" t="n"/>
      <c r="D46" s="39" t="n"/>
      <c r="E46" s="40" t="n"/>
      <c r="F46" s="39" t="n"/>
      <c r="G46" s="39" t="n"/>
      <c r="H46" s="39" t="n"/>
      <c r="I46" s="40" t="n"/>
      <c r="J46" s="40" t="n"/>
      <c r="K46" s="39" t="n"/>
      <c r="L46" s="40" t="n"/>
      <c r="M46" s="42" t="n"/>
      <c r="N46" s="42" t="n"/>
      <c r="O46" s="43" t="n"/>
      <c r="P46" s="43" t="n"/>
      <c r="Q46" s="43" t="n"/>
      <c r="R46" s="39" t="n"/>
      <c r="S46" s="39" t="n"/>
      <c r="T46" s="39" t="n"/>
      <c r="U46" s="40" t="n"/>
      <c r="V46" s="40" t="n"/>
      <c r="W46" s="46" t="n"/>
      <c r="X46" s="46" t="n"/>
      <c r="Y46" s="46" t="n"/>
      <c r="Z46" s="40" t="n"/>
      <c r="AA46" s="40" t="n"/>
      <c r="AB46" s="40" t="n"/>
      <c r="AC46" s="40" t="n"/>
      <c r="AD46" s="40" t="n"/>
      <c r="AE46" s="47" t="n"/>
      <c r="AF46" s="40" t="n"/>
      <c r="AG46" s="40" t="n"/>
      <c r="AH46" s="40" t="n"/>
      <c r="AI46" s="40" t="n"/>
      <c r="AJ46" s="47" t="n"/>
      <c r="AK46" s="47" t="n"/>
      <c r="AL46" s="47" t="n"/>
      <c r="AM46" s="40" t="n"/>
      <c r="AN46" s="40" t="n"/>
      <c r="AO46" s="43" t="n"/>
      <c r="AP46" s="39" t="n"/>
      <c r="AQ46" s="39" t="n"/>
      <c r="AR46" s="39" t="n"/>
      <c r="AS46" s="39" t="n"/>
      <c r="AT46" s="39" t="n"/>
      <c r="AU46" s="39" t="n"/>
      <c r="AV46" s="39" t="n"/>
      <c r="AW46" s="39" t="n"/>
    </row>
    <row r="47" ht="23" customHeight="1">
      <c r="A47" s="39" t="n"/>
      <c r="B47" s="39" t="n"/>
      <c r="C47" s="40" t="n"/>
      <c r="D47" s="39" t="n"/>
      <c r="E47" s="40" t="n"/>
      <c r="F47" s="39" t="n"/>
      <c r="G47" s="39" t="n"/>
      <c r="H47" s="39" t="n"/>
      <c r="I47" s="40" t="n"/>
      <c r="J47" s="40" t="n"/>
      <c r="K47" s="39" t="n"/>
      <c r="L47" s="40" t="n"/>
      <c r="M47" s="42" t="n"/>
      <c r="N47" s="42" t="n"/>
      <c r="O47" s="43" t="n"/>
      <c r="P47" s="43" t="n"/>
      <c r="Q47" s="43" t="n"/>
      <c r="R47" s="39" t="n"/>
      <c r="S47" s="39" t="n"/>
      <c r="T47" s="39" t="n"/>
      <c r="U47" s="40" t="n"/>
      <c r="V47" s="40" t="n"/>
      <c r="W47" s="46" t="n"/>
      <c r="X47" s="46" t="n"/>
      <c r="Y47" s="46" t="n"/>
      <c r="Z47" s="40" t="n"/>
      <c r="AA47" s="40" t="n"/>
      <c r="AB47" s="40" t="n"/>
      <c r="AC47" s="40" t="n"/>
      <c r="AD47" s="40" t="n"/>
      <c r="AE47" s="47" t="n"/>
      <c r="AF47" s="40" t="n"/>
      <c r="AG47" s="40" t="n"/>
      <c r="AH47" s="40" t="n"/>
      <c r="AI47" s="40" t="n"/>
      <c r="AJ47" s="47" t="n"/>
      <c r="AK47" s="47" t="n"/>
      <c r="AL47" s="47" t="n"/>
      <c r="AM47" s="40" t="n"/>
      <c r="AN47" s="40" t="n"/>
      <c r="AO47" s="43" t="n"/>
      <c r="AP47" s="39" t="n"/>
      <c r="AQ47" s="39" t="n"/>
      <c r="AR47" s="39" t="n"/>
      <c r="AS47" s="39" t="n"/>
      <c r="AT47" s="39" t="n"/>
      <c r="AU47" s="39" t="n"/>
      <c r="AV47" s="39" t="n"/>
      <c r="AW47" s="39" t="n"/>
    </row>
    <row r="48" ht="23" customHeight="1">
      <c r="A48" s="39" t="n"/>
      <c r="B48" s="39" t="n"/>
      <c r="C48" s="40" t="n"/>
      <c r="D48" s="39" t="n"/>
      <c r="E48" s="40" t="n"/>
      <c r="F48" s="39" t="n"/>
      <c r="G48" s="39" t="n"/>
      <c r="H48" s="39" t="n"/>
      <c r="I48" s="40" t="n"/>
      <c r="J48" s="40" t="n"/>
      <c r="K48" s="39" t="n"/>
      <c r="L48" s="40" t="n"/>
      <c r="M48" s="42" t="n"/>
      <c r="N48" s="42" t="n"/>
      <c r="O48" s="43" t="n"/>
      <c r="P48" s="43" t="n"/>
      <c r="Q48" s="43" t="n"/>
      <c r="R48" s="39" t="n"/>
      <c r="S48" s="39" t="n"/>
      <c r="T48" s="39" t="n"/>
      <c r="U48" s="40" t="n"/>
      <c r="V48" s="40" t="n"/>
      <c r="W48" s="46" t="n"/>
      <c r="X48" s="46" t="n"/>
      <c r="Y48" s="46" t="n"/>
      <c r="Z48" s="40" t="n"/>
      <c r="AA48" s="40" t="n"/>
      <c r="AB48" s="40" t="n"/>
      <c r="AC48" s="40" t="n"/>
      <c r="AD48" s="40" t="n"/>
      <c r="AE48" s="47" t="n"/>
      <c r="AF48" s="40" t="n"/>
      <c r="AG48" s="40" t="n"/>
      <c r="AH48" s="40" t="n"/>
      <c r="AI48" s="40" t="n"/>
      <c r="AJ48" s="47" t="n"/>
      <c r="AK48" s="47" t="n"/>
      <c r="AL48" s="47" t="n"/>
      <c r="AM48" s="40" t="n"/>
      <c r="AN48" s="40" t="n"/>
      <c r="AO48" s="43" t="n"/>
      <c r="AP48" s="39" t="n"/>
      <c r="AQ48" s="39" t="n"/>
      <c r="AR48" s="39" t="n"/>
      <c r="AS48" s="39" t="n"/>
      <c r="AT48" s="39" t="n"/>
      <c r="AU48" s="39" t="n"/>
      <c r="AV48" s="39" t="n"/>
      <c r="AW48" s="39" t="n"/>
    </row>
    <row r="49" ht="23" customHeight="1">
      <c r="A49" s="39" t="n"/>
      <c r="B49" s="39" t="n"/>
      <c r="C49" s="40" t="n"/>
      <c r="D49" s="39" t="n"/>
      <c r="E49" s="40" t="n"/>
      <c r="F49" s="39" t="n"/>
      <c r="G49" s="39" t="n"/>
      <c r="H49" s="39" t="n"/>
      <c r="I49" s="40" t="n"/>
      <c r="J49" s="40" t="n"/>
      <c r="K49" s="39" t="n"/>
      <c r="L49" s="40" t="n"/>
      <c r="M49" s="42" t="n"/>
      <c r="N49" s="42" t="n"/>
      <c r="O49" s="43" t="n"/>
      <c r="P49" s="43" t="n"/>
      <c r="Q49" s="43" t="n"/>
      <c r="R49" s="39" t="n"/>
      <c r="S49" s="39" t="n"/>
      <c r="T49" s="39" t="n"/>
      <c r="U49" s="40" t="n"/>
      <c r="V49" s="40" t="n"/>
      <c r="W49" s="46" t="n"/>
      <c r="X49" s="46" t="n"/>
      <c r="Y49" s="46" t="n"/>
      <c r="Z49" s="40" t="n"/>
      <c r="AA49" s="40" t="n"/>
      <c r="AB49" s="40" t="n"/>
      <c r="AC49" s="40" t="n"/>
      <c r="AD49" s="40" t="n"/>
      <c r="AE49" s="47" t="n"/>
      <c r="AF49" s="40" t="n"/>
      <c r="AG49" s="40" t="n"/>
      <c r="AH49" s="40" t="n"/>
      <c r="AI49" s="40" t="n"/>
      <c r="AJ49" s="47" t="n"/>
      <c r="AK49" s="47" t="n"/>
      <c r="AL49" s="47" t="n"/>
      <c r="AM49" s="40" t="n"/>
      <c r="AN49" s="40" t="n"/>
      <c r="AO49" s="43" t="n"/>
      <c r="AP49" s="39" t="n"/>
      <c r="AQ49" s="39" t="n"/>
      <c r="AR49" s="39" t="n"/>
      <c r="AS49" s="39" t="n"/>
      <c r="AT49" s="39" t="n"/>
      <c r="AU49" s="39" t="n"/>
      <c r="AV49" s="39" t="n"/>
      <c r="AW49" s="39" t="n"/>
    </row>
    <row r="50" ht="23" customHeight="1">
      <c r="A50" s="39" t="n"/>
      <c r="B50" s="39" t="n"/>
      <c r="C50" s="40" t="n"/>
      <c r="D50" s="39" t="n"/>
      <c r="E50" s="40" t="n"/>
      <c r="F50" s="39" t="n"/>
      <c r="G50" s="39" t="n"/>
      <c r="H50" s="39" t="n"/>
      <c r="I50" s="40" t="n"/>
      <c r="J50" s="40" t="n"/>
      <c r="K50" s="39" t="n"/>
      <c r="L50" s="40" t="n"/>
      <c r="M50" s="42" t="n"/>
      <c r="N50" s="42" t="n"/>
      <c r="O50" s="43" t="n"/>
      <c r="P50" s="43" t="n"/>
      <c r="Q50" s="43" t="n"/>
      <c r="R50" s="39" t="n"/>
      <c r="S50" s="39" t="n"/>
      <c r="T50" s="39" t="n"/>
      <c r="U50" s="40" t="n"/>
      <c r="V50" s="40" t="n"/>
      <c r="W50" s="46" t="n"/>
      <c r="X50" s="46" t="n"/>
      <c r="Y50" s="46" t="n"/>
      <c r="Z50" s="40" t="n"/>
      <c r="AA50" s="40" t="n"/>
      <c r="AB50" s="40" t="n"/>
      <c r="AC50" s="40" t="n"/>
      <c r="AD50" s="40" t="n"/>
      <c r="AE50" s="47" t="n"/>
      <c r="AF50" s="40" t="n"/>
      <c r="AG50" s="40" t="n"/>
      <c r="AH50" s="40" t="n"/>
      <c r="AI50" s="40" t="n"/>
      <c r="AJ50" s="47" t="n"/>
      <c r="AK50" s="47" t="n"/>
      <c r="AL50" s="47" t="n"/>
      <c r="AM50" s="40" t="n"/>
      <c r="AN50" s="40" t="n"/>
      <c r="AO50" s="43" t="n"/>
      <c r="AP50" s="39" t="n"/>
      <c r="AQ50" s="39" t="n"/>
      <c r="AR50" s="39" t="n"/>
      <c r="AS50" s="39" t="n"/>
      <c r="AT50" s="39" t="n"/>
      <c r="AU50" s="39" t="n"/>
      <c r="AV50" s="39" t="n"/>
      <c r="AW50" s="39" t="n"/>
    </row>
    <row r="51" ht="23" customHeight="1">
      <c r="A51" s="39" t="n"/>
      <c r="B51" s="39" t="n"/>
      <c r="C51" s="40" t="n"/>
      <c r="D51" s="39" t="n"/>
      <c r="E51" s="40" t="n"/>
      <c r="F51" s="39" t="n"/>
      <c r="G51" s="39" t="n"/>
      <c r="H51" s="39" t="n"/>
      <c r="I51" s="40" t="n"/>
      <c r="J51" s="40" t="n"/>
      <c r="K51" s="39" t="n"/>
      <c r="L51" s="40" t="n"/>
      <c r="M51" s="42" t="n"/>
      <c r="N51" s="42" t="n"/>
      <c r="O51" s="43" t="n"/>
      <c r="P51" s="43" t="n"/>
      <c r="Q51" s="43" t="n"/>
      <c r="R51" s="39" t="n"/>
      <c r="S51" s="39" t="n"/>
      <c r="T51" s="39" t="n"/>
      <c r="U51" s="40" t="n"/>
      <c r="V51" s="40" t="n"/>
      <c r="W51" s="46" t="n"/>
      <c r="X51" s="46" t="n"/>
      <c r="Y51" s="46" t="n"/>
      <c r="Z51" s="40" t="n"/>
      <c r="AA51" s="40" t="n"/>
      <c r="AB51" s="40" t="n"/>
      <c r="AC51" s="40" t="n"/>
      <c r="AD51" s="40" t="n"/>
      <c r="AE51" s="47" t="n"/>
      <c r="AF51" s="40" t="n"/>
      <c r="AG51" s="40" t="n"/>
      <c r="AH51" s="40" t="n"/>
      <c r="AI51" s="40" t="n"/>
      <c r="AJ51" s="47" t="n"/>
      <c r="AK51" s="47" t="n"/>
      <c r="AL51" s="47" t="n"/>
      <c r="AM51" s="40" t="n"/>
      <c r="AN51" s="40" t="n"/>
      <c r="AO51" s="43" t="n"/>
      <c r="AP51" s="39" t="n"/>
      <c r="AQ51" s="39" t="n"/>
      <c r="AR51" s="39" t="n"/>
      <c r="AS51" s="39" t="n"/>
      <c r="AT51" s="39" t="n"/>
      <c r="AU51" s="39" t="n"/>
      <c r="AV51" s="39" t="n"/>
      <c r="AW51" s="39" t="n"/>
    </row>
    <row r="52" ht="23" customHeight="1">
      <c r="A52" s="39" t="n"/>
      <c r="B52" s="39" t="n"/>
      <c r="C52" s="40" t="n"/>
      <c r="D52" s="39" t="n"/>
      <c r="E52" s="40" t="n"/>
      <c r="F52" s="39" t="n"/>
      <c r="G52" s="39" t="n"/>
      <c r="H52" s="39" t="n"/>
      <c r="I52" s="40" t="n"/>
      <c r="J52" s="40" t="n"/>
      <c r="K52" s="39" t="n"/>
      <c r="L52" s="40" t="n"/>
      <c r="M52" s="42" t="n"/>
      <c r="N52" s="42" t="n"/>
      <c r="O52" s="43" t="n"/>
      <c r="P52" s="43" t="n"/>
      <c r="Q52" s="43" t="n"/>
      <c r="R52" s="39" t="n"/>
      <c r="S52" s="39" t="n"/>
      <c r="T52" s="39" t="n"/>
      <c r="U52" s="40" t="n"/>
      <c r="V52" s="40" t="n"/>
      <c r="W52" s="46" t="n"/>
      <c r="X52" s="46" t="n"/>
      <c r="Y52" s="46" t="n"/>
      <c r="Z52" s="40" t="n"/>
      <c r="AA52" s="40" t="n"/>
      <c r="AB52" s="40" t="n"/>
      <c r="AC52" s="40" t="n"/>
      <c r="AD52" s="40" t="n"/>
      <c r="AE52" s="47" t="n"/>
      <c r="AF52" s="40" t="n"/>
      <c r="AG52" s="40" t="n"/>
      <c r="AH52" s="40" t="n"/>
      <c r="AI52" s="40" t="n"/>
      <c r="AJ52" s="47" t="n"/>
      <c r="AK52" s="47" t="n"/>
      <c r="AL52" s="47" t="n"/>
      <c r="AM52" s="40" t="n"/>
      <c r="AN52" s="40" t="n"/>
      <c r="AO52" s="43" t="n"/>
      <c r="AP52" s="39" t="n"/>
      <c r="AQ52" s="39" t="n"/>
      <c r="AR52" s="39" t="n"/>
      <c r="AS52" s="39" t="n"/>
      <c r="AT52" s="39" t="n"/>
      <c r="AU52" s="39" t="n"/>
      <c r="AV52" s="39" t="n"/>
      <c r="AW52" s="39" t="n"/>
    </row>
    <row r="53" ht="23" customHeight="1">
      <c r="A53" s="39" t="n"/>
      <c r="B53" s="39" t="n"/>
      <c r="C53" s="40" t="n"/>
      <c r="D53" s="39" t="n"/>
      <c r="E53" s="40" t="n"/>
      <c r="F53" s="39" t="n"/>
      <c r="G53" s="39" t="n"/>
      <c r="H53" s="39" t="n"/>
      <c r="I53" s="40" t="n"/>
      <c r="J53" s="40" t="n"/>
      <c r="K53" s="39" t="n"/>
      <c r="L53" s="40" t="n"/>
      <c r="M53" s="42" t="n"/>
      <c r="N53" s="42" t="n"/>
      <c r="O53" s="43" t="n"/>
      <c r="P53" s="43" t="n"/>
      <c r="Q53" s="43" t="n"/>
      <c r="R53" s="39" t="n"/>
      <c r="S53" s="39" t="n"/>
      <c r="T53" s="39" t="n"/>
      <c r="U53" s="40" t="n"/>
      <c r="V53" s="40" t="n"/>
      <c r="W53" s="46" t="n"/>
      <c r="X53" s="46" t="n"/>
      <c r="Y53" s="46" t="n"/>
      <c r="Z53" s="40" t="n"/>
      <c r="AA53" s="40" t="n"/>
      <c r="AB53" s="40" t="n"/>
      <c r="AC53" s="40" t="n"/>
      <c r="AD53" s="40" t="n"/>
      <c r="AE53" s="47" t="n"/>
      <c r="AF53" s="40" t="n"/>
      <c r="AG53" s="40" t="n"/>
      <c r="AH53" s="40" t="n"/>
      <c r="AI53" s="40" t="n"/>
      <c r="AJ53" s="47" t="n"/>
      <c r="AK53" s="47" t="n"/>
      <c r="AL53" s="47" t="n"/>
      <c r="AM53" s="40" t="n"/>
      <c r="AN53" s="40" t="n"/>
      <c r="AO53" s="43" t="n"/>
      <c r="AP53" s="39" t="n"/>
      <c r="AQ53" s="39" t="n"/>
      <c r="AR53" s="39" t="n"/>
      <c r="AS53" s="39" t="n"/>
      <c r="AT53" s="39" t="n"/>
      <c r="AU53" s="39" t="n"/>
      <c r="AV53" s="39" t="n"/>
      <c r="AW53" s="39" t="n"/>
    </row>
    <row r="54" ht="23" customHeight="1">
      <c r="A54" s="39" t="n"/>
      <c r="B54" s="39" t="n"/>
      <c r="C54" s="40" t="n"/>
      <c r="D54" s="39" t="n"/>
      <c r="E54" s="40" t="n"/>
      <c r="F54" s="39" t="n"/>
      <c r="G54" s="39" t="n"/>
      <c r="H54" s="39" t="n"/>
      <c r="I54" s="40" t="n"/>
      <c r="J54" s="40" t="n"/>
      <c r="K54" s="39" t="n"/>
      <c r="L54" s="40" t="n"/>
      <c r="M54" s="42" t="n"/>
      <c r="N54" s="42" t="n"/>
      <c r="O54" s="43" t="n"/>
      <c r="P54" s="43" t="n"/>
      <c r="Q54" s="43" t="n"/>
      <c r="R54" s="39" t="n"/>
      <c r="S54" s="39" t="n"/>
      <c r="T54" s="39" t="n"/>
      <c r="U54" s="40" t="n"/>
      <c r="V54" s="40" t="n"/>
      <c r="W54" s="46" t="n"/>
      <c r="X54" s="46" t="n"/>
      <c r="Y54" s="46" t="n"/>
      <c r="Z54" s="40" t="n"/>
      <c r="AA54" s="40" t="n"/>
      <c r="AB54" s="40" t="n"/>
      <c r="AC54" s="40" t="n"/>
      <c r="AD54" s="40" t="n"/>
      <c r="AE54" s="47" t="n"/>
      <c r="AF54" s="40" t="n"/>
      <c r="AG54" s="40" t="n"/>
      <c r="AH54" s="40" t="n"/>
      <c r="AI54" s="40" t="n"/>
      <c r="AJ54" s="47" t="n"/>
      <c r="AK54" s="47" t="n"/>
      <c r="AL54" s="47" t="n"/>
      <c r="AM54" s="40" t="n"/>
      <c r="AN54" s="40" t="n"/>
      <c r="AO54" s="43" t="n"/>
      <c r="AP54" s="39" t="n"/>
      <c r="AQ54" s="39" t="n"/>
      <c r="AR54" s="39" t="n"/>
      <c r="AS54" s="39" t="n"/>
      <c r="AT54" s="39" t="n"/>
      <c r="AU54" s="39" t="n"/>
      <c r="AV54" s="39" t="n"/>
      <c r="AW54" s="39" t="n"/>
    </row>
    <row r="55" ht="23" customHeight="1">
      <c r="A55" s="39" t="n"/>
      <c r="B55" s="39" t="n"/>
      <c r="C55" s="40" t="n"/>
      <c r="D55" s="39" t="n"/>
      <c r="E55" s="40" t="n"/>
      <c r="F55" s="39" t="n"/>
      <c r="G55" s="39" t="n"/>
      <c r="H55" s="39" t="n"/>
      <c r="I55" s="40" t="n"/>
      <c r="J55" s="40" t="n"/>
      <c r="K55" s="39" t="n"/>
      <c r="L55" s="40" t="n"/>
      <c r="M55" s="42" t="n"/>
      <c r="N55" s="42" t="n"/>
      <c r="O55" s="43" t="n"/>
      <c r="P55" s="43" t="n"/>
      <c r="Q55" s="43" t="n"/>
      <c r="R55" s="39" t="n"/>
      <c r="S55" s="39" t="n"/>
      <c r="T55" s="39" t="n"/>
      <c r="U55" s="40" t="n"/>
      <c r="V55" s="40" t="n"/>
      <c r="W55" s="46" t="n"/>
      <c r="X55" s="46" t="n"/>
      <c r="Y55" s="46" t="n"/>
      <c r="Z55" s="40" t="n"/>
      <c r="AA55" s="40" t="n"/>
      <c r="AB55" s="40" t="n"/>
      <c r="AC55" s="40" t="n"/>
      <c r="AD55" s="40" t="n"/>
      <c r="AE55" s="47" t="n"/>
      <c r="AF55" s="40" t="n"/>
      <c r="AG55" s="40" t="n"/>
      <c r="AH55" s="40" t="n"/>
      <c r="AI55" s="40" t="n"/>
      <c r="AJ55" s="47" t="n"/>
      <c r="AK55" s="47" t="n"/>
      <c r="AL55" s="47" t="n"/>
      <c r="AM55" s="40" t="n"/>
      <c r="AN55" s="40" t="n"/>
      <c r="AO55" s="43" t="n"/>
      <c r="AP55" s="39" t="n"/>
      <c r="AQ55" s="39" t="n"/>
      <c r="AR55" s="39" t="n"/>
      <c r="AS55" s="39" t="n"/>
      <c r="AT55" s="39" t="n"/>
      <c r="AU55" s="39" t="n"/>
      <c r="AV55" s="39" t="n"/>
      <c r="AW55" s="39" t="n"/>
    </row>
    <row r="56" ht="23" customHeight="1">
      <c r="A56" s="39" t="n"/>
      <c r="B56" s="39" t="n"/>
      <c r="C56" s="40" t="n"/>
      <c r="D56" s="39" t="n"/>
      <c r="E56" s="40" t="n"/>
      <c r="F56" s="39" t="n"/>
      <c r="G56" s="39" t="n"/>
      <c r="H56" s="39" t="n"/>
      <c r="I56" s="40" t="n"/>
      <c r="J56" s="40" t="n"/>
      <c r="K56" s="39" t="n"/>
      <c r="L56" s="40" t="n"/>
      <c r="M56" s="42" t="n"/>
      <c r="N56" s="42" t="n"/>
      <c r="O56" s="43" t="n"/>
      <c r="P56" s="43" t="n"/>
      <c r="Q56" s="43" t="n"/>
      <c r="R56" s="39" t="n"/>
      <c r="S56" s="39" t="n"/>
      <c r="T56" s="39" t="n"/>
      <c r="U56" s="40" t="n"/>
      <c r="V56" s="40" t="n"/>
      <c r="W56" s="46" t="n"/>
      <c r="X56" s="46" t="n"/>
      <c r="Y56" s="46" t="n"/>
      <c r="Z56" s="40" t="n"/>
      <c r="AA56" s="40" t="n"/>
      <c r="AB56" s="40" t="n"/>
      <c r="AC56" s="40" t="n"/>
      <c r="AD56" s="40" t="n"/>
      <c r="AE56" s="47" t="n"/>
      <c r="AF56" s="40" t="n"/>
      <c r="AG56" s="40" t="n"/>
      <c r="AH56" s="40" t="n"/>
      <c r="AI56" s="40" t="n"/>
      <c r="AJ56" s="47" t="n"/>
      <c r="AK56" s="47" t="n"/>
      <c r="AL56" s="47" t="n"/>
      <c r="AM56" s="40" t="n"/>
      <c r="AN56" s="40" t="n"/>
      <c r="AO56" s="43" t="n"/>
      <c r="AP56" s="39" t="n"/>
      <c r="AQ56" s="39" t="n"/>
      <c r="AR56" s="39" t="n"/>
      <c r="AS56" s="39" t="n"/>
      <c r="AT56" s="39" t="n"/>
      <c r="AU56" s="39" t="n"/>
      <c r="AV56" s="39" t="n"/>
      <c r="AW56" s="39" t="n"/>
    </row>
    <row r="57" ht="23" customHeight="1">
      <c r="A57" s="39" t="n"/>
      <c r="B57" s="39" t="n"/>
      <c r="C57" s="40" t="n"/>
      <c r="D57" s="39" t="n"/>
      <c r="E57" s="40" t="n"/>
      <c r="F57" s="39" t="n"/>
      <c r="G57" s="39" t="n"/>
      <c r="H57" s="39" t="n"/>
      <c r="I57" s="40" t="n"/>
      <c r="J57" s="40" t="n"/>
      <c r="K57" s="39" t="n"/>
      <c r="L57" s="40" t="n"/>
      <c r="M57" s="42" t="n"/>
      <c r="N57" s="42" t="n"/>
      <c r="O57" s="43" t="n"/>
      <c r="P57" s="43" t="n"/>
      <c r="Q57" s="43" t="n"/>
      <c r="R57" s="39" t="n"/>
      <c r="S57" s="39" t="n"/>
      <c r="T57" s="39" t="n"/>
      <c r="U57" s="40" t="n"/>
      <c r="V57" s="40" t="n"/>
      <c r="W57" s="46" t="n"/>
      <c r="X57" s="46" t="n"/>
      <c r="Y57" s="46" t="n"/>
      <c r="Z57" s="40" t="n"/>
      <c r="AA57" s="40" t="n"/>
      <c r="AB57" s="40" t="n"/>
      <c r="AC57" s="40" t="n"/>
      <c r="AD57" s="40" t="n"/>
      <c r="AE57" s="47" t="n"/>
      <c r="AF57" s="40" t="n"/>
      <c r="AG57" s="40" t="n"/>
      <c r="AH57" s="40" t="n"/>
      <c r="AI57" s="40" t="n"/>
      <c r="AJ57" s="47" t="n"/>
      <c r="AK57" s="47" t="n"/>
      <c r="AL57" s="47" t="n"/>
      <c r="AM57" s="40" t="n"/>
      <c r="AN57" s="40" t="n"/>
      <c r="AO57" s="43" t="n"/>
      <c r="AP57" s="39" t="n"/>
      <c r="AQ57" s="39" t="n"/>
      <c r="AR57" s="39" t="n"/>
      <c r="AS57" s="39" t="n"/>
      <c r="AT57" s="39" t="n"/>
      <c r="AU57" s="39" t="n"/>
      <c r="AV57" s="39" t="n"/>
      <c r="AW57" s="39" t="n"/>
    </row>
    <row r="58" ht="23" customHeight="1">
      <c r="A58" s="39" t="n"/>
      <c r="B58" s="39" t="n"/>
      <c r="C58" s="40" t="n"/>
      <c r="D58" s="39" t="n"/>
      <c r="E58" s="40" t="n"/>
      <c r="F58" s="39" t="n"/>
      <c r="G58" s="39" t="n"/>
      <c r="H58" s="39" t="n"/>
      <c r="I58" s="40" t="n"/>
      <c r="J58" s="40" t="n"/>
      <c r="K58" s="39" t="n"/>
      <c r="L58" s="40" t="n"/>
      <c r="M58" s="42" t="n"/>
      <c r="N58" s="42" t="n"/>
      <c r="O58" s="43" t="n"/>
      <c r="P58" s="43" t="n"/>
      <c r="Q58" s="43" t="n"/>
      <c r="R58" s="39" t="n"/>
      <c r="S58" s="39" t="n"/>
      <c r="T58" s="39" t="n"/>
      <c r="U58" s="40" t="n"/>
      <c r="V58" s="40" t="n"/>
      <c r="W58" s="46" t="n"/>
      <c r="X58" s="46" t="n"/>
      <c r="Y58" s="46" t="n"/>
      <c r="Z58" s="40" t="n"/>
      <c r="AA58" s="40" t="n"/>
      <c r="AB58" s="40" t="n"/>
      <c r="AC58" s="40" t="n"/>
      <c r="AD58" s="40" t="n"/>
      <c r="AE58" s="47" t="n"/>
      <c r="AF58" s="40" t="n"/>
      <c r="AG58" s="40" t="n"/>
      <c r="AH58" s="40" t="n"/>
      <c r="AI58" s="40" t="n"/>
      <c r="AJ58" s="47" t="n"/>
      <c r="AK58" s="47" t="n"/>
      <c r="AL58" s="47" t="n"/>
      <c r="AM58" s="40" t="n"/>
      <c r="AN58" s="40" t="n"/>
      <c r="AO58" s="43" t="n"/>
      <c r="AP58" s="39" t="n"/>
      <c r="AQ58" s="39" t="n"/>
      <c r="AR58" s="39" t="n"/>
      <c r="AS58" s="39" t="n"/>
      <c r="AT58" s="39" t="n"/>
      <c r="AU58" s="39" t="n"/>
      <c r="AV58" s="39" t="n"/>
      <c r="AW58" s="39" t="n"/>
    </row>
    <row r="59" ht="23" customHeight="1">
      <c r="A59" s="39" t="n"/>
      <c r="B59" s="39" t="n"/>
      <c r="C59" s="40" t="n"/>
      <c r="D59" s="39" t="n"/>
      <c r="E59" s="40" t="n"/>
      <c r="F59" s="39" t="n"/>
      <c r="G59" s="39" t="n"/>
      <c r="H59" s="39" t="n"/>
      <c r="I59" s="40" t="n"/>
      <c r="J59" s="40" t="n"/>
      <c r="K59" s="39" t="n"/>
      <c r="L59" s="40" t="n"/>
      <c r="M59" s="42" t="n"/>
      <c r="N59" s="42" t="n"/>
      <c r="O59" s="43" t="n"/>
      <c r="P59" s="43" t="n"/>
      <c r="Q59" s="43" t="n"/>
      <c r="R59" s="39" t="n"/>
      <c r="S59" s="39" t="n"/>
      <c r="T59" s="39" t="n"/>
      <c r="U59" s="40" t="n"/>
      <c r="V59" s="40" t="n"/>
      <c r="W59" s="46" t="n"/>
      <c r="X59" s="46" t="n"/>
      <c r="Y59" s="46" t="n"/>
      <c r="Z59" s="40" t="n"/>
      <c r="AA59" s="40" t="n"/>
      <c r="AB59" s="40" t="n"/>
      <c r="AC59" s="40" t="n"/>
      <c r="AD59" s="40" t="n"/>
      <c r="AE59" s="47" t="n"/>
      <c r="AF59" s="40" t="n"/>
      <c r="AG59" s="40" t="n"/>
      <c r="AH59" s="40" t="n"/>
      <c r="AI59" s="40" t="n"/>
      <c r="AJ59" s="47" t="n"/>
      <c r="AK59" s="47" t="n"/>
      <c r="AL59" s="47" t="n"/>
      <c r="AM59" s="40" t="n"/>
      <c r="AN59" s="40" t="n"/>
      <c r="AO59" s="43" t="n"/>
      <c r="AP59" s="39" t="n"/>
      <c r="AQ59" s="39" t="n"/>
      <c r="AR59" s="39" t="n"/>
      <c r="AS59" s="39" t="n"/>
      <c r="AT59" s="39" t="n"/>
      <c r="AU59" s="39" t="n"/>
      <c r="AV59" s="39" t="n"/>
      <c r="AW59" s="39" t="n"/>
    </row>
    <row r="60" ht="23" customHeight="1">
      <c r="A60" s="39" t="n"/>
      <c r="B60" s="39" t="n"/>
      <c r="C60" s="40" t="n"/>
      <c r="D60" s="39" t="n"/>
      <c r="E60" s="40" t="n"/>
      <c r="F60" s="39" t="n"/>
      <c r="G60" s="39" t="n"/>
      <c r="H60" s="39" t="n"/>
      <c r="I60" s="40" t="n"/>
      <c r="J60" s="40" t="n"/>
      <c r="K60" s="39" t="n"/>
      <c r="L60" s="40" t="n"/>
      <c r="M60" s="42" t="n"/>
      <c r="N60" s="42" t="n"/>
      <c r="O60" s="43" t="n"/>
      <c r="P60" s="43" t="n"/>
      <c r="Q60" s="43" t="n"/>
      <c r="R60" s="39" t="n"/>
      <c r="S60" s="39" t="n"/>
      <c r="T60" s="39" t="n"/>
      <c r="U60" s="40" t="n"/>
      <c r="V60" s="40" t="n"/>
      <c r="W60" s="46" t="n"/>
      <c r="X60" s="46" t="n"/>
      <c r="Y60" s="46" t="n"/>
      <c r="Z60" s="40" t="n"/>
      <c r="AA60" s="40" t="n"/>
      <c r="AB60" s="40" t="n"/>
      <c r="AC60" s="40" t="n"/>
      <c r="AD60" s="40" t="n"/>
      <c r="AE60" s="47" t="n"/>
      <c r="AF60" s="40" t="n"/>
      <c r="AG60" s="40" t="n"/>
      <c r="AH60" s="40" t="n"/>
      <c r="AI60" s="40" t="n"/>
      <c r="AJ60" s="47" t="n"/>
      <c r="AK60" s="47" t="n"/>
      <c r="AL60" s="47" t="n"/>
      <c r="AM60" s="40" t="n"/>
      <c r="AN60" s="40" t="n"/>
      <c r="AO60" s="43" t="n"/>
      <c r="AP60" s="39" t="n"/>
      <c r="AQ60" s="39" t="n"/>
      <c r="AR60" s="39" t="n"/>
      <c r="AS60" s="39" t="n"/>
      <c r="AT60" s="39" t="n"/>
      <c r="AU60" s="39" t="n"/>
      <c r="AV60" s="39" t="n"/>
      <c r="AW60" s="39" t="n"/>
    </row>
    <row r="61" ht="23" customHeight="1">
      <c r="A61" s="39" t="n"/>
      <c r="B61" s="39" t="n"/>
      <c r="C61" s="40" t="n"/>
      <c r="D61" s="39" t="n"/>
      <c r="E61" s="40" t="n"/>
      <c r="F61" s="39" t="n"/>
      <c r="G61" s="39" t="n"/>
      <c r="H61" s="39" t="n"/>
      <c r="I61" s="40" t="n"/>
      <c r="J61" s="40" t="n"/>
      <c r="K61" s="39" t="n"/>
      <c r="L61" s="40" t="n"/>
      <c r="M61" s="42" t="n"/>
      <c r="N61" s="42" t="n"/>
      <c r="O61" s="43" t="n"/>
      <c r="P61" s="43" t="n"/>
      <c r="Q61" s="43" t="n"/>
      <c r="R61" s="39" t="n"/>
      <c r="S61" s="39" t="n"/>
      <c r="T61" s="39" t="n"/>
      <c r="U61" s="40" t="n"/>
      <c r="V61" s="40" t="n"/>
      <c r="W61" s="46" t="n"/>
      <c r="X61" s="46" t="n"/>
      <c r="Y61" s="46" t="n"/>
      <c r="Z61" s="40" t="n"/>
      <c r="AA61" s="40" t="n"/>
      <c r="AB61" s="40" t="n"/>
      <c r="AC61" s="40" t="n"/>
      <c r="AD61" s="40" t="n"/>
      <c r="AE61" s="47" t="n"/>
      <c r="AF61" s="40" t="n"/>
      <c r="AG61" s="40" t="n"/>
      <c r="AH61" s="40" t="n"/>
      <c r="AI61" s="40" t="n"/>
      <c r="AJ61" s="47" t="n"/>
      <c r="AK61" s="47" t="n"/>
      <c r="AL61" s="47" t="n"/>
      <c r="AM61" s="40" t="n"/>
      <c r="AN61" s="40" t="n"/>
      <c r="AO61" s="43" t="n"/>
      <c r="AP61" s="39" t="n"/>
      <c r="AQ61" s="39" t="n"/>
      <c r="AR61" s="39" t="n"/>
      <c r="AS61" s="39" t="n"/>
      <c r="AT61" s="39" t="n"/>
      <c r="AU61" s="39" t="n"/>
      <c r="AV61" s="39" t="n"/>
      <c r="AW61" s="39" t="n"/>
    </row>
    <row r="62" ht="23" customHeight="1">
      <c r="A62" s="39" t="n"/>
      <c r="B62" s="39" t="n"/>
      <c r="C62" s="40" t="n"/>
      <c r="D62" s="39" t="n"/>
      <c r="E62" s="40" t="n"/>
      <c r="F62" s="39" t="n"/>
      <c r="G62" s="39" t="n"/>
      <c r="H62" s="39" t="n"/>
      <c r="I62" s="40" t="n"/>
      <c r="J62" s="40" t="n"/>
      <c r="K62" s="39" t="n"/>
      <c r="L62" s="40" t="n"/>
      <c r="M62" s="42" t="n"/>
      <c r="N62" s="42" t="n"/>
      <c r="O62" s="43" t="n"/>
      <c r="P62" s="43" t="n"/>
      <c r="Q62" s="43" t="n"/>
      <c r="R62" s="39" t="n"/>
      <c r="S62" s="39" t="n"/>
      <c r="T62" s="39" t="n"/>
      <c r="U62" s="40" t="n"/>
      <c r="V62" s="40" t="n"/>
      <c r="W62" s="46" t="n"/>
      <c r="X62" s="46" t="n"/>
      <c r="Y62" s="46" t="n"/>
      <c r="Z62" s="40" t="n"/>
      <c r="AA62" s="40" t="n"/>
      <c r="AB62" s="40" t="n"/>
      <c r="AC62" s="40" t="n"/>
      <c r="AD62" s="40" t="n"/>
      <c r="AE62" s="47" t="n"/>
      <c r="AF62" s="40" t="n"/>
      <c r="AG62" s="40" t="n"/>
      <c r="AH62" s="40" t="n"/>
      <c r="AI62" s="40" t="n"/>
      <c r="AJ62" s="47" t="n"/>
      <c r="AK62" s="47" t="n"/>
      <c r="AL62" s="47" t="n"/>
      <c r="AM62" s="40" t="n"/>
      <c r="AN62" s="40" t="n"/>
      <c r="AO62" s="43" t="n"/>
      <c r="AP62" s="39" t="n"/>
      <c r="AQ62" s="39" t="n"/>
      <c r="AR62" s="39" t="n"/>
      <c r="AS62" s="39" t="n"/>
      <c r="AT62" s="39" t="n"/>
      <c r="AU62" s="39" t="n"/>
      <c r="AV62" s="39" t="n"/>
      <c r="AW62" s="39" t="n"/>
    </row>
    <row r="63" ht="23" customHeight="1">
      <c r="A63" s="39" t="n"/>
      <c r="B63" s="39" t="n"/>
      <c r="C63" s="40" t="n"/>
      <c r="D63" s="39" t="n"/>
      <c r="E63" s="40" t="n"/>
      <c r="F63" s="39" t="n"/>
      <c r="G63" s="39" t="n"/>
      <c r="H63" s="39" t="n"/>
      <c r="I63" s="40" t="n"/>
      <c r="J63" s="40" t="n"/>
      <c r="K63" s="39" t="n"/>
      <c r="L63" s="40" t="n"/>
      <c r="M63" s="42" t="n"/>
      <c r="N63" s="42" t="n"/>
      <c r="O63" s="43" t="n"/>
      <c r="P63" s="43" t="n"/>
      <c r="Q63" s="43" t="n"/>
      <c r="R63" s="39" t="n"/>
      <c r="S63" s="39" t="n"/>
      <c r="T63" s="39" t="n"/>
      <c r="U63" s="40" t="n"/>
      <c r="V63" s="40" t="n"/>
      <c r="W63" s="46" t="n"/>
      <c r="X63" s="46" t="n"/>
      <c r="Y63" s="46" t="n"/>
      <c r="Z63" s="40" t="n"/>
      <c r="AA63" s="40" t="n"/>
      <c r="AB63" s="40" t="n"/>
      <c r="AC63" s="40" t="n"/>
      <c r="AD63" s="40" t="n"/>
      <c r="AE63" s="47" t="n"/>
      <c r="AF63" s="40" t="n"/>
      <c r="AG63" s="40" t="n"/>
      <c r="AH63" s="40" t="n"/>
      <c r="AI63" s="40" t="n"/>
      <c r="AJ63" s="47" t="n"/>
      <c r="AK63" s="47" t="n"/>
      <c r="AL63" s="47" t="n"/>
      <c r="AM63" s="40" t="n"/>
      <c r="AN63" s="40" t="n"/>
      <c r="AO63" s="43" t="n"/>
      <c r="AP63" s="39" t="n"/>
      <c r="AQ63" s="39" t="n"/>
      <c r="AR63" s="39" t="n"/>
      <c r="AS63" s="39" t="n"/>
      <c r="AT63" s="39" t="n"/>
      <c r="AU63" s="39" t="n"/>
      <c r="AV63" s="39" t="n"/>
      <c r="AW63" s="39" t="n"/>
    </row>
    <row r="64" ht="23" customHeight="1">
      <c r="A64" s="39" t="n"/>
      <c r="B64" s="39" t="n"/>
      <c r="C64" s="40" t="n"/>
      <c r="D64" s="39" t="n"/>
      <c r="E64" s="40" t="n"/>
      <c r="F64" s="39" t="n"/>
      <c r="G64" s="39" t="n"/>
      <c r="H64" s="39" t="n"/>
      <c r="I64" s="40" t="n"/>
      <c r="J64" s="40" t="n"/>
      <c r="K64" s="39" t="n"/>
      <c r="L64" s="40" t="n"/>
      <c r="M64" s="42" t="n"/>
      <c r="N64" s="42" t="n"/>
      <c r="O64" s="43" t="n"/>
      <c r="P64" s="43" t="n"/>
      <c r="Q64" s="43" t="n"/>
      <c r="R64" s="39" t="n"/>
      <c r="S64" s="39" t="n"/>
      <c r="T64" s="39" t="n"/>
      <c r="U64" s="40" t="n"/>
      <c r="V64" s="40" t="n"/>
      <c r="W64" s="46" t="n"/>
      <c r="X64" s="46" t="n"/>
      <c r="Y64" s="46" t="n"/>
      <c r="Z64" s="40" t="n"/>
      <c r="AA64" s="40" t="n"/>
      <c r="AB64" s="40" t="n"/>
      <c r="AC64" s="40" t="n"/>
      <c r="AD64" s="40" t="n"/>
      <c r="AE64" s="47" t="n"/>
      <c r="AF64" s="40" t="n"/>
      <c r="AG64" s="40" t="n"/>
      <c r="AH64" s="40" t="n"/>
      <c r="AI64" s="40" t="n"/>
      <c r="AJ64" s="47" t="n"/>
      <c r="AK64" s="47" t="n"/>
      <c r="AL64" s="47" t="n"/>
      <c r="AM64" s="40" t="n"/>
      <c r="AN64" s="40" t="n"/>
      <c r="AO64" s="43" t="n"/>
      <c r="AP64" s="39" t="n"/>
      <c r="AQ64" s="39" t="n"/>
      <c r="AR64" s="39" t="n"/>
      <c r="AS64" s="39" t="n"/>
      <c r="AT64" s="39" t="n"/>
      <c r="AU64" s="39" t="n"/>
      <c r="AV64" s="39" t="n"/>
      <c r="AW64" s="39" t="n"/>
    </row>
    <row r="65" ht="23" customHeight="1">
      <c r="A65" s="39" t="n"/>
      <c r="B65" s="39" t="n"/>
      <c r="C65" s="40" t="n"/>
      <c r="D65" s="39" t="n"/>
      <c r="E65" s="40" t="n"/>
      <c r="F65" s="39" t="n"/>
      <c r="G65" s="39" t="n"/>
      <c r="H65" s="39" t="n"/>
      <c r="I65" s="40" t="n"/>
      <c r="J65" s="40" t="n"/>
      <c r="K65" s="39" t="n"/>
      <c r="L65" s="40" t="n"/>
      <c r="M65" s="42" t="n"/>
      <c r="N65" s="42" t="n"/>
      <c r="O65" s="43" t="n"/>
      <c r="P65" s="43" t="n"/>
      <c r="Q65" s="43" t="n"/>
      <c r="R65" s="39" t="n"/>
      <c r="S65" s="39" t="n"/>
      <c r="T65" s="39" t="n"/>
      <c r="U65" s="40" t="n"/>
      <c r="V65" s="40" t="n"/>
      <c r="W65" s="46" t="n"/>
      <c r="X65" s="46" t="n"/>
      <c r="Y65" s="46" t="n"/>
      <c r="Z65" s="40" t="n"/>
      <c r="AA65" s="40" t="n"/>
      <c r="AB65" s="40" t="n"/>
      <c r="AC65" s="40" t="n"/>
      <c r="AD65" s="40" t="n"/>
      <c r="AE65" s="47" t="n"/>
      <c r="AF65" s="40" t="n"/>
      <c r="AG65" s="40" t="n"/>
      <c r="AH65" s="40" t="n"/>
      <c r="AI65" s="40" t="n"/>
      <c r="AJ65" s="47" t="n"/>
      <c r="AK65" s="47" t="n"/>
      <c r="AL65" s="47" t="n"/>
      <c r="AM65" s="40" t="n"/>
      <c r="AN65" s="40" t="n"/>
      <c r="AO65" s="43" t="n"/>
      <c r="AP65" s="39" t="n"/>
      <c r="AQ65" s="39" t="n"/>
      <c r="AR65" s="39" t="n"/>
      <c r="AS65" s="39" t="n"/>
      <c r="AT65" s="39" t="n"/>
      <c r="AU65" s="39" t="n"/>
      <c r="AV65" s="39" t="n"/>
      <c r="AW65" s="39" t="n"/>
    </row>
    <row r="66" ht="23" customHeight="1">
      <c r="A66" s="39" t="n"/>
      <c r="B66" s="39" t="n"/>
      <c r="C66" s="40" t="n"/>
      <c r="D66" s="39" t="n"/>
      <c r="E66" s="40" t="n"/>
      <c r="F66" s="39" t="n"/>
      <c r="G66" s="39" t="n"/>
      <c r="H66" s="39" t="n"/>
      <c r="I66" s="40" t="n"/>
      <c r="J66" s="40" t="n"/>
      <c r="K66" s="39" t="n"/>
      <c r="L66" s="40" t="n"/>
      <c r="M66" s="42" t="n"/>
      <c r="N66" s="42" t="n"/>
      <c r="O66" s="43" t="n"/>
      <c r="P66" s="43" t="n"/>
      <c r="Q66" s="43" t="n"/>
      <c r="R66" s="39" t="n"/>
      <c r="S66" s="39" t="n"/>
      <c r="T66" s="39" t="n"/>
      <c r="U66" s="40" t="n"/>
      <c r="V66" s="40" t="n"/>
      <c r="W66" s="46" t="n"/>
      <c r="X66" s="46" t="n"/>
      <c r="Y66" s="46" t="n"/>
      <c r="Z66" s="40" t="n"/>
      <c r="AA66" s="40" t="n"/>
      <c r="AB66" s="40" t="n"/>
      <c r="AC66" s="40" t="n"/>
      <c r="AD66" s="40" t="n"/>
      <c r="AE66" s="47" t="n"/>
      <c r="AF66" s="40" t="n"/>
      <c r="AG66" s="40" t="n"/>
      <c r="AH66" s="40" t="n"/>
      <c r="AI66" s="40" t="n"/>
      <c r="AJ66" s="47" t="n"/>
      <c r="AK66" s="47" t="n"/>
      <c r="AL66" s="47" t="n"/>
      <c r="AM66" s="40" t="n"/>
      <c r="AN66" s="40" t="n"/>
      <c r="AO66" s="43" t="n"/>
      <c r="AP66" s="39" t="n"/>
      <c r="AQ66" s="39" t="n"/>
      <c r="AR66" s="39" t="n"/>
      <c r="AS66" s="39" t="n"/>
      <c r="AT66" s="39" t="n"/>
      <c r="AU66" s="39" t="n"/>
      <c r="AV66" s="39" t="n"/>
      <c r="AW66" s="39" t="n"/>
    </row>
    <row r="67" ht="23" customHeight="1">
      <c r="A67" s="39" t="n"/>
      <c r="B67" s="39" t="n"/>
      <c r="C67" s="40" t="n"/>
      <c r="D67" s="39" t="n"/>
      <c r="E67" s="40" t="n"/>
      <c r="F67" s="39" t="n"/>
      <c r="G67" s="39" t="n"/>
      <c r="H67" s="39" t="n"/>
      <c r="I67" s="40" t="n"/>
      <c r="J67" s="40" t="n"/>
      <c r="K67" s="39" t="n"/>
      <c r="L67" s="40" t="n"/>
      <c r="M67" s="42" t="n"/>
      <c r="N67" s="42" t="n"/>
      <c r="O67" s="43" t="n"/>
      <c r="P67" s="43" t="n"/>
      <c r="Q67" s="43" t="n"/>
      <c r="R67" s="39" t="n"/>
      <c r="S67" s="39" t="n"/>
      <c r="T67" s="39" t="n"/>
      <c r="U67" s="40" t="n"/>
      <c r="V67" s="40" t="n"/>
      <c r="W67" s="46" t="n"/>
      <c r="X67" s="46" t="n"/>
      <c r="Y67" s="46" t="n"/>
      <c r="Z67" s="40" t="n"/>
      <c r="AA67" s="40" t="n"/>
      <c r="AB67" s="40" t="n"/>
      <c r="AC67" s="40" t="n"/>
      <c r="AD67" s="40" t="n"/>
      <c r="AE67" s="47" t="n"/>
      <c r="AF67" s="40" t="n"/>
      <c r="AG67" s="40" t="n"/>
      <c r="AH67" s="40" t="n"/>
      <c r="AI67" s="40" t="n"/>
      <c r="AJ67" s="47" t="n"/>
      <c r="AK67" s="47" t="n"/>
      <c r="AL67" s="47" t="n"/>
      <c r="AM67" s="40" t="n"/>
      <c r="AN67" s="40" t="n"/>
      <c r="AO67" s="43" t="n"/>
      <c r="AP67" s="39" t="n"/>
      <c r="AQ67" s="39" t="n"/>
      <c r="AR67" s="39" t="n"/>
      <c r="AS67" s="39" t="n"/>
      <c r="AT67" s="39" t="n"/>
      <c r="AU67" s="39" t="n"/>
      <c r="AV67" s="39" t="n"/>
      <c r="AW67" s="39" t="n"/>
    </row>
    <row r="68" ht="23" customHeight="1">
      <c r="A68" s="39" t="n"/>
      <c r="B68" s="39" t="n"/>
      <c r="C68" s="40" t="n"/>
      <c r="D68" s="39" t="n"/>
      <c r="E68" s="40" t="n"/>
      <c r="F68" s="39" t="n"/>
      <c r="G68" s="39" t="n"/>
      <c r="H68" s="39" t="n"/>
      <c r="I68" s="40" t="n"/>
      <c r="J68" s="40" t="n"/>
      <c r="K68" s="39" t="n"/>
      <c r="L68" s="40" t="n"/>
      <c r="M68" s="42" t="n"/>
      <c r="N68" s="42" t="n"/>
      <c r="O68" s="43" t="n"/>
      <c r="P68" s="43" t="n"/>
      <c r="Q68" s="43" t="n"/>
      <c r="R68" s="39" t="n"/>
      <c r="S68" s="39" t="n"/>
      <c r="T68" s="39" t="n"/>
      <c r="U68" s="40" t="n"/>
      <c r="V68" s="40" t="n"/>
      <c r="W68" s="46" t="n"/>
      <c r="X68" s="46" t="n"/>
      <c r="Y68" s="46" t="n"/>
      <c r="Z68" s="40" t="n"/>
      <c r="AA68" s="40" t="n"/>
      <c r="AB68" s="40" t="n"/>
      <c r="AC68" s="40" t="n"/>
      <c r="AD68" s="40" t="n"/>
      <c r="AE68" s="47" t="n"/>
      <c r="AF68" s="40" t="n"/>
      <c r="AG68" s="40" t="n"/>
      <c r="AH68" s="40" t="n"/>
      <c r="AI68" s="40" t="n"/>
      <c r="AJ68" s="47" t="n"/>
      <c r="AK68" s="47" t="n"/>
      <c r="AL68" s="47" t="n"/>
      <c r="AM68" s="40" t="n"/>
      <c r="AN68" s="40" t="n"/>
      <c r="AO68" s="43" t="n"/>
      <c r="AP68" s="39" t="n"/>
      <c r="AQ68" s="39" t="n"/>
      <c r="AR68" s="39" t="n"/>
      <c r="AS68" s="39" t="n"/>
      <c r="AT68" s="39" t="n"/>
      <c r="AU68" s="39" t="n"/>
      <c r="AV68" s="39" t="n"/>
      <c r="AW68" s="39" t="n"/>
    </row>
    <row r="69" ht="23" customHeight="1">
      <c r="A69" s="39" t="n"/>
      <c r="B69" s="39" t="n"/>
      <c r="C69" s="40" t="n"/>
      <c r="D69" s="39" t="n"/>
      <c r="E69" s="40" t="n"/>
      <c r="F69" s="39" t="n"/>
      <c r="G69" s="39" t="n"/>
      <c r="H69" s="39" t="n"/>
      <c r="I69" s="40" t="n"/>
      <c r="J69" s="40" t="n"/>
      <c r="K69" s="39" t="n"/>
      <c r="L69" s="40" t="n"/>
      <c r="M69" s="42" t="n"/>
      <c r="N69" s="42" t="n"/>
      <c r="O69" s="43" t="n"/>
      <c r="P69" s="43" t="n"/>
      <c r="Q69" s="43" t="n"/>
      <c r="R69" s="39" t="n"/>
      <c r="S69" s="39" t="n"/>
      <c r="T69" s="39" t="n"/>
      <c r="U69" s="40" t="n"/>
      <c r="V69" s="40" t="n"/>
      <c r="W69" s="46" t="n"/>
      <c r="X69" s="46" t="n"/>
      <c r="Y69" s="46" t="n"/>
      <c r="Z69" s="40" t="n"/>
      <c r="AA69" s="40" t="n"/>
      <c r="AB69" s="40" t="n"/>
      <c r="AC69" s="40" t="n"/>
      <c r="AD69" s="40" t="n"/>
      <c r="AE69" s="47" t="n"/>
      <c r="AF69" s="40" t="n"/>
      <c r="AG69" s="40" t="n"/>
      <c r="AH69" s="40" t="n"/>
      <c r="AI69" s="40" t="n"/>
      <c r="AJ69" s="47" t="n"/>
      <c r="AK69" s="47" t="n"/>
      <c r="AL69" s="47" t="n"/>
      <c r="AM69" s="40" t="n"/>
      <c r="AN69" s="40" t="n"/>
      <c r="AO69" s="43" t="n"/>
      <c r="AP69" s="39" t="n"/>
      <c r="AQ69" s="39" t="n"/>
      <c r="AR69" s="39" t="n"/>
      <c r="AS69" s="39" t="n"/>
      <c r="AT69" s="39" t="n"/>
      <c r="AU69" s="39" t="n"/>
      <c r="AV69" s="39" t="n"/>
      <c r="AW69" s="39" t="n"/>
    </row>
    <row r="70" ht="23" customHeight="1">
      <c r="A70" s="39" t="n"/>
      <c r="B70" s="39" t="n"/>
      <c r="C70" s="40" t="n"/>
      <c r="D70" s="39" t="n"/>
      <c r="E70" s="40" t="n"/>
      <c r="F70" s="39" t="n"/>
      <c r="G70" s="39" t="n"/>
      <c r="H70" s="39" t="n"/>
      <c r="I70" s="40" t="n"/>
      <c r="J70" s="40" t="n"/>
      <c r="K70" s="39" t="n"/>
      <c r="L70" s="40" t="n"/>
      <c r="M70" s="42" t="n"/>
      <c r="N70" s="42" t="n"/>
      <c r="O70" s="43" t="n"/>
      <c r="P70" s="43" t="n"/>
      <c r="Q70" s="43" t="n"/>
      <c r="R70" s="39" t="n"/>
      <c r="S70" s="39" t="n"/>
      <c r="T70" s="39" t="n"/>
      <c r="U70" s="40" t="n"/>
      <c r="V70" s="40" t="n"/>
      <c r="W70" s="46" t="n"/>
      <c r="X70" s="46" t="n"/>
      <c r="Y70" s="46" t="n"/>
      <c r="Z70" s="40" t="n"/>
      <c r="AA70" s="40" t="n"/>
      <c r="AB70" s="40" t="n"/>
      <c r="AC70" s="40" t="n"/>
      <c r="AD70" s="40" t="n"/>
      <c r="AE70" s="47" t="n"/>
      <c r="AF70" s="40" t="n"/>
      <c r="AG70" s="40" t="n"/>
      <c r="AH70" s="40" t="n"/>
      <c r="AI70" s="40" t="n"/>
      <c r="AJ70" s="47" t="n"/>
      <c r="AK70" s="47" t="n"/>
      <c r="AL70" s="47" t="n"/>
      <c r="AM70" s="40" t="n"/>
      <c r="AN70" s="40" t="n"/>
      <c r="AO70" s="43" t="n"/>
      <c r="AP70" s="39" t="n"/>
      <c r="AQ70" s="39" t="n"/>
      <c r="AR70" s="39" t="n"/>
      <c r="AS70" s="39" t="n"/>
      <c r="AT70" s="39" t="n"/>
      <c r="AU70" s="39" t="n"/>
      <c r="AV70" s="39" t="n"/>
      <c r="AW70" s="39" t="n"/>
    </row>
    <row r="71" ht="23" customHeight="1">
      <c r="A71" s="39" t="n"/>
      <c r="B71" s="39" t="n"/>
      <c r="C71" s="40" t="n"/>
      <c r="D71" s="39" t="n"/>
      <c r="E71" s="40" t="n"/>
      <c r="F71" s="39" t="n"/>
      <c r="G71" s="39" t="n"/>
      <c r="H71" s="39" t="n"/>
      <c r="I71" s="40" t="n"/>
      <c r="J71" s="40" t="n"/>
      <c r="K71" s="39" t="n"/>
      <c r="L71" s="40" t="n"/>
      <c r="M71" s="42" t="n"/>
      <c r="N71" s="42" t="n"/>
      <c r="O71" s="43" t="n"/>
      <c r="P71" s="43" t="n"/>
      <c r="Q71" s="43" t="n"/>
      <c r="R71" s="39" t="n"/>
      <c r="S71" s="39" t="n"/>
      <c r="T71" s="39" t="n"/>
      <c r="U71" s="40" t="n"/>
      <c r="V71" s="40" t="n"/>
      <c r="W71" s="46" t="n"/>
      <c r="X71" s="46" t="n"/>
      <c r="Y71" s="46" t="n"/>
      <c r="Z71" s="40" t="n"/>
      <c r="AA71" s="40" t="n"/>
      <c r="AB71" s="40" t="n"/>
      <c r="AC71" s="40" t="n"/>
      <c r="AD71" s="40" t="n"/>
      <c r="AE71" s="47" t="n"/>
      <c r="AF71" s="40" t="n"/>
      <c r="AG71" s="40" t="n"/>
      <c r="AH71" s="40" t="n"/>
      <c r="AI71" s="40" t="n"/>
      <c r="AJ71" s="47" t="n"/>
      <c r="AK71" s="47" t="n"/>
      <c r="AL71" s="47" t="n"/>
      <c r="AM71" s="40" t="n"/>
      <c r="AN71" s="40" t="n"/>
      <c r="AO71" s="43" t="n"/>
      <c r="AP71" s="39" t="n"/>
      <c r="AQ71" s="39" t="n"/>
      <c r="AR71" s="39" t="n"/>
      <c r="AS71" s="39" t="n"/>
      <c r="AT71" s="39" t="n"/>
      <c r="AU71" s="39" t="n"/>
      <c r="AV71" s="39" t="n"/>
      <c r="AW71" s="39" t="n"/>
    </row>
    <row r="72" ht="23" customHeight="1">
      <c r="A72" s="39" t="n"/>
      <c r="B72" s="39" t="n"/>
      <c r="C72" s="40" t="n"/>
      <c r="D72" s="39" t="n"/>
      <c r="E72" s="40" t="n"/>
      <c r="F72" s="39" t="n"/>
      <c r="G72" s="39" t="n"/>
      <c r="H72" s="39" t="n"/>
      <c r="I72" s="40" t="n"/>
      <c r="J72" s="40" t="n"/>
      <c r="K72" s="39" t="n"/>
      <c r="L72" s="40" t="n"/>
      <c r="M72" s="42" t="n"/>
      <c r="N72" s="42" t="n"/>
      <c r="O72" s="43" t="n"/>
      <c r="P72" s="43" t="n"/>
      <c r="Q72" s="43" t="n"/>
      <c r="R72" s="39" t="n"/>
      <c r="S72" s="39" t="n"/>
      <c r="T72" s="39" t="n"/>
      <c r="U72" s="40" t="n"/>
      <c r="V72" s="40" t="n"/>
      <c r="W72" s="46" t="n"/>
      <c r="X72" s="46" t="n"/>
      <c r="Y72" s="46" t="n"/>
      <c r="Z72" s="40" t="n"/>
      <c r="AA72" s="40" t="n"/>
      <c r="AB72" s="40" t="n"/>
      <c r="AC72" s="40" t="n"/>
      <c r="AD72" s="40" t="n"/>
      <c r="AE72" s="47" t="n"/>
      <c r="AF72" s="40" t="n"/>
      <c r="AG72" s="40" t="n"/>
      <c r="AH72" s="40" t="n"/>
      <c r="AI72" s="40" t="n"/>
      <c r="AJ72" s="47" t="n"/>
      <c r="AK72" s="47" t="n"/>
      <c r="AL72" s="47" t="n"/>
      <c r="AM72" s="40" t="n"/>
      <c r="AN72" s="40" t="n"/>
      <c r="AO72" s="43" t="n"/>
      <c r="AP72" s="39" t="n"/>
      <c r="AQ72" s="39" t="n"/>
      <c r="AR72" s="39" t="n"/>
      <c r="AS72" s="39" t="n"/>
      <c r="AT72" s="39" t="n"/>
      <c r="AU72" s="39" t="n"/>
      <c r="AV72" s="39" t="n"/>
      <c r="AW72" s="39" t="n"/>
    </row>
    <row r="73" ht="23" customHeight="1">
      <c r="A73" s="39" t="n"/>
      <c r="B73" s="39" t="n"/>
      <c r="C73" s="40" t="n"/>
      <c r="D73" s="39" t="n"/>
      <c r="E73" s="40" t="n"/>
      <c r="F73" s="39" t="n"/>
      <c r="G73" s="39" t="n"/>
      <c r="H73" s="39" t="n"/>
      <c r="I73" s="40" t="n"/>
      <c r="J73" s="40" t="n"/>
      <c r="K73" s="39" t="n"/>
      <c r="L73" s="40" t="n"/>
      <c r="M73" s="42" t="n"/>
      <c r="N73" s="42" t="n"/>
      <c r="O73" s="43" t="n"/>
      <c r="P73" s="43" t="n"/>
      <c r="Q73" s="43" t="n"/>
      <c r="R73" s="39" t="n"/>
      <c r="S73" s="39" t="n"/>
      <c r="T73" s="39" t="n"/>
      <c r="U73" s="40" t="n"/>
      <c r="V73" s="40" t="n"/>
      <c r="W73" s="46" t="n"/>
      <c r="X73" s="46" t="n"/>
      <c r="Y73" s="46" t="n"/>
      <c r="Z73" s="40" t="n"/>
      <c r="AA73" s="40" t="n"/>
      <c r="AB73" s="40" t="n"/>
      <c r="AC73" s="40" t="n"/>
      <c r="AD73" s="40" t="n"/>
      <c r="AE73" s="47" t="n"/>
      <c r="AF73" s="40" t="n"/>
      <c r="AG73" s="40" t="n"/>
      <c r="AH73" s="40" t="n"/>
      <c r="AI73" s="40" t="n"/>
      <c r="AJ73" s="47" t="n"/>
      <c r="AK73" s="47" t="n"/>
      <c r="AL73" s="47" t="n"/>
      <c r="AM73" s="40" t="n"/>
      <c r="AN73" s="40" t="n"/>
      <c r="AO73" s="43" t="n"/>
      <c r="AP73" s="39" t="n"/>
      <c r="AQ73" s="39" t="n"/>
      <c r="AR73" s="39" t="n"/>
      <c r="AS73" s="39" t="n"/>
      <c r="AT73" s="39" t="n"/>
      <c r="AU73" s="39" t="n"/>
      <c r="AV73" s="39" t="n"/>
      <c r="AW73" s="39" t="n"/>
    </row>
    <row r="74" ht="23" customHeight="1">
      <c r="A74" s="39" t="n"/>
      <c r="B74" s="39" t="n"/>
      <c r="C74" s="40" t="n"/>
      <c r="D74" s="39" t="n"/>
      <c r="E74" s="40" t="n"/>
      <c r="F74" s="39" t="n"/>
      <c r="G74" s="39" t="n"/>
      <c r="H74" s="39" t="n"/>
      <c r="I74" s="40" t="n"/>
      <c r="J74" s="40" t="n"/>
      <c r="K74" s="39" t="n"/>
      <c r="L74" s="40" t="n"/>
      <c r="M74" s="42" t="n"/>
      <c r="N74" s="42" t="n"/>
      <c r="O74" s="43" t="n"/>
      <c r="P74" s="43" t="n"/>
      <c r="Q74" s="43" t="n"/>
      <c r="R74" s="39" t="n"/>
      <c r="S74" s="39" t="n"/>
      <c r="T74" s="39" t="n"/>
      <c r="U74" s="40" t="n"/>
      <c r="V74" s="40" t="n"/>
      <c r="W74" s="46" t="n"/>
      <c r="X74" s="46" t="n"/>
      <c r="Y74" s="46" t="n"/>
      <c r="Z74" s="40" t="n"/>
      <c r="AA74" s="40" t="n"/>
      <c r="AB74" s="40" t="n"/>
      <c r="AC74" s="40" t="n"/>
      <c r="AD74" s="40" t="n"/>
      <c r="AE74" s="47" t="n"/>
      <c r="AF74" s="40" t="n"/>
      <c r="AG74" s="40" t="n"/>
      <c r="AH74" s="40" t="n"/>
      <c r="AI74" s="40" t="n"/>
      <c r="AJ74" s="47" t="n"/>
      <c r="AK74" s="47" t="n"/>
      <c r="AL74" s="47" t="n"/>
      <c r="AM74" s="40" t="n"/>
      <c r="AN74" s="40" t="n"/>
      <c r="AO74" s="43" t="n"/>
      <c r="AP74" s="39" t="n"/>
      <c r="AQ74" s="39" t="n"/>
      <c r="AR74" s="39" t="n"/>
      <c r="AS74" s="39" t="n"/>
      <c r="AT74" s="39" t="n"/>
      <c r="AU74" s="39" t="n"/>
      <c r="AV74" s="39" t="n"/>
      <c r="AW74" s="39" t="n"/>
    </row>
    <row r="75" ht="23" customHeight="1">
      <c r="A75" s="39" t="n"/>
      <c r="B75" s="39" t="n"/>
      <c r="C75" s="40" t="n"/>
      <c r="D75" s="39" t="n"/>
      <c r="E75" s="40" t="n"/>
      <c r="F75" s="39" t="n"/>
      <c r="G75" s="39" t="n"/>
      <c r="H75" s="39" t="n"/>
      <c r="I75" s="40" t="n"/>
      <c r="J75" s="40" t="n"/>
      <c r="K75" s="39" t="n"/>
      <c r="L75" s="40" t="n"/>
      <c r="M75" s="42" t="n"/>
      <c r="N75" s="42" t="n"/>
      <c r="O75" s="43" t="n"/>
      <c r="P75" s="43" t="n"/>
      <c r="Q75" s="43" t="n"/>
      <c r="R75" s="39" t="n"/>
      <c r="S75" s="39" t="n"/>
      <c r="T75" s="39" t="n"/>
      <c r="U75" s="40" t="n"/>
      <c r="V75" s="40" t="n"/>
      <c r="W75" s="46" t="n"/>
      <c r="X75" s="46" t="n"/>
      <c r="Y75" s="46" t="n"/>
      <c r="Z75" s="40" t="n"/>
      <c r="AA75" s="40" t="n"/>
      <c r="AB75" s="40" t="n"/>
      <c r="AC75" s="40" t="n"/>
      <c r="AD75" s="40" t="n"/>
      <c r="AE75" s="47" t="n"/>
      <c r="AF75" s="40" t="n"/>
      <c r="AG75" s="40" t="n"/>
      <c r="AH75" s="40" t="n"/>
      <c r="AI75" s="40" t="n"/>
      <c r="AJ75" s="47" t="n"/>
      <c r="AK75" s="47" t="n"/>
      <c r="AL75" s="47" t="n"/>
      <c r="AM75" s="40" t="n"/>
      <c r="AN75" s="40" t="n"/>
      <c r="AO75" s="43" t="n"/>
      <c r="AP75" s="39" t="n"/>
      <c r="AQ75" s="39" t="n"/>
      <c r="AR75" s="39" t="n"/>
      <c r="AS75" s="39" t="n"/>
      <c r="AT75" s="39" t="n"/>
      <c r="AU75" s="39" t="n"/>
      <c r="AV75" s="39" t="n"/>
      <c r="AW75" s="39" t="n"/>
    </row>
    <row r="76" ht="23" customHeight="1">
      <c r="A76" s="39" t="n"/>
      <c r="B76" s="39" t="n"/>
      <c r="C76" s="40" t="n"/>
      <c r="D76" s="39" t="n"/>
      <c r="E76" s="40" t="n"/>
      <c r="F76" s="39" t="n"/>
      <c r="G76" s="39" t="n"/>
      <c r="H76" s="39" t="n"/>
      <c r="I76" s="40" t="n"/>
      <c r="J76" s="40" t="n"/>
      <c r="K76" s="39" t="n"/>
      <c r="L76" s="40" t="n"/>
      <c r="M76" s="42" t="n"/>
      <c r="N76" s="42" t="n"/>
      <c r="O76" s="43" t="n"/>
      <c r="P76" s="43" t="n"/>
      <c r="Q76" s="43" t="n"/>
      <c r="R76" s="39" t="n"/>
      <c r="S76" s="39" t="n"/>
      <c r="T76" s="39" t="n"/>
      <c r="U76" s="40" t="n"/>
      <c r="V76" s="40" t="n"/>
      <c r="W76" s="46" t="n"/>
      <c r="X76" s="46" t="n"/>
      <c r="Y76" s="46" t="n"/>
      <c r="Z76" s="40" t="n"/>
      <c r="AA76" s="40" t="n"/>
      <c r="AB76" s="40" t="n"/>
      <c r="AC76" s="40" t="n"/>
      <c r="AD76" s="40" t="n"/>
      <c r="AE76" s="47" t="n"/>
      <c r="AF76" s="40" t="n"/>
      <c r="AG76" s="40" t="n"/>
      <c r="AH76" s="40" t="n"/>
      <c r="AI76" s="40" t="n"/>
      <c r="AJ76" s="47" t="n"/>
      <c r="AK76" s="47" t="n"/>
      <c r="AL76" s="47" t="n"/>
      <c r="AM76" s="40" t="n"/>
      <c r="AN76" s="40" t="n"/>
      <c r="AO76" s="43" t="n"/>
      <c r="AP76" s="39" t="n"/>
      <c r="AQ76" s="39" t="n"/>
      <c r="AR76" s="39" t="n"/>
      <c r="AS76" s="39" t="n"/>
      <c r="AT76" s="39" t="n"/>
      <c r="AU76" s="39" t="n"/>
      <c r="AV76" s="39" t="n"/>
      <c r="AW76" s="39" t="n"/>
    </row>
    <row r="77" ht="23" customHeight="1">
      <c r="A77" s="39" t="n"/>
      <c r="B77" s="39" t="n"/>
      <c r="C77" s="40" t="n"/>
      <c r="D77" s="39" t="n"/>
      <c r="E77" s="40" t="n"/>
      <c r="F77" s="39" t="n"/>
      <c r="G77" s="39" t="n"/>
      <c r="H77" s="39" t="n"/>
      <c r="I77" s="40" t="n"/>
      <c r="J77" s="40" t="n"/>
      <c r="K77" s="39" t="n"/>
      <c r="L77" s="40" t="n"/>
      <c r="M77" s="42" t="n"/>
      <c r="N77" s="42" t="n"/>
      <c r="O77" s="43" t="n"/>
      <c r="P77" s="43" t="n"/>
      <c r="Q77" s="43" t="n"/>
      <c r="R77" s="39" t="n"/>
      <c r="S77" s="39" t="n"/>
      <c r="T77" s="39" t="n"/>
      <c r="U77" s="40" t="n"/>
      <c r="V77" s="40" t="n"/>
      <c r="W77" s="46" t="n"/>
      <c r="X77" s="46" t="n"/>
      <c r="Y77" s="46" t="n"/>
      <c r="Z77" s="40" t="n"/>
      <c r="AA77" s="40" t="n"/>
      <c r="AB77" s="40" t="n"/>
      <c r="AC77" s="40" t="n"/>
      <c r="AD77" s="40" t="n"/>
      <c r="AE77" s="47" t="n"/>
      <c r="AF77" s="40" t="n"/>
      <c r="AG77" s="40" t="n"/>
      <c r="AH77" s="40" t="n"/>
      <c r="AI77" s="40" t="n"/>
      <c r="AJ77" s="47" t="n"/>
      <c r="AK77" s="47" t="n"/>
      <c r="AL77" s="47" t="n"/>
      <c r="AM77" s="40" t="n"/>
      <c r="AN77" s="40" t="n"/>
      <c r="AO77" s="43" t="n"/>
      <c r="AP77" s="39" t="n"/>
      <c r="AQ77" s="39" t="n"/>
      <c r="AR77" s="39" t="n"/>
      <c r="AS77" s="39" t="n"/>
      <c r="AT77" s="39" t="n"/>
      <c r="AU77" s="39" t="n"/>
      <c r="AV77" s="39" t="n"/>
      <c r="AW77" s="39" t="n"/>
    </row>
    <row r="78" ht="23" customHeight="1">
      <c r="A78" s="39" t="n"/>
      <c r="B78" s="39" t="n"/>
      <c r="C78" s="40" t="n"/>
      <c r="D78" s="39" t="n"/>
      <c r="E78" s="40" t="n"/>
      <c r="F78" s="39" t="n"/>
      <c r="G78" s="39" t="n"/>
      <c r="H78" s="39" t="n"/>
      <c r="I78" s="40" t="n"/>
      <c r="J78" s="40" t="n"/>
      <c r="K78" s="39" t="n"/>
      <c r="L78" s="40" t="n"/>
      <c r="M78" s="42" t="n"/>
      <c r="N78" s="42" t="n"/>
      <c r="O78" s="43" t="n"/>
      <c r="P78" s="43" t="n"/>
      <c r="Q78" s="43" t="n"/>
      <c r="R78" s="39" t="n"/>
      <c r="S78" s="39" t="n"/>
      <c r="T78" s="39" t="n"/>
      <c r="U78" s="40" t="n"/>
      <c r="V78" s="40" t="n"/>
      <c r="W78" s="46" t="n"/>
      <c r="X78" s="46" t="n"/>
      <c r="Y78" s="46" t="n"/>
      <c r="Z78" s="40" t="n"/>
      <c r="AA78" s="40" t="n"/>
      <c r="AB78" s="40" t="n"/>
      <c r="AC78" s="40" t="n"/>
      <c r="AD78" s="40" t="n"/>
      <c r="AE78" s="47" t="n"/>
      <c r="AF78" s="40" t="n"/>
      <c r="AG78" s="40" t="n"/>
      <c r="AH78" s="40" t="n"/>
      <c r="AI78" s="40" t="n"/>
      <c r="AJ78" s="47" t="n"/>
      <c r="AK78" s="47" t="n"/>
      <c r="AL78" s="47" t="n"/>
      <c r="AM78" s="40" t="n"/>
      <c r="AN78" s="40" t="n"/>
      <c r="AO78" s="43" t="n"/>
      <c r="AP78" s="39" t="n"/>
      <c r="AQ78" s="39" t="n"/>
      <c r="AR78" s="39" t="n"/>
      <c r="AS78" s="39" t="n"/>
      <c r="AT78" s="39" t="n"/>
      <c r="AU78" s="39" t="n"/>
      <c r="AV78" s="39" t="n"/>
      <c r="AW78" s="39" t="n"/>
    </row>
    <row r="79" ht="23" customHeight="1">
      <c r="A79" s="39" t="n"/>
      <c r="B79" s="39" t="n"/>
      <c r="C79" s="40" t="n"/>
      <c r="D79" s="39" t="n"/>
      <c r="E79" s="40" t="n"/>
      <c r="F79" s="39" t="n"/>
      <c r="G79" s="39" t="n"/>
      <c r="H79" s="39" t="n"/>
      <c r="I79" s="40" t="n"/>
      <c r="J79" s="40" t="n"/>
      <c r="K79" s="39" t="n"/>
      <c r="L79" s="40" t="n"/>
      <c r="M79" s="42" t="n"/>
      <c r="N79" s="42" t="n"/>
      <c r="O79" s="43" t="n"/>
      <c r="P79" s="43" t="n"/>
      <c r="Q79" s="43" t="n"/>
      <c r="R79" s="39" t="n"/>
      <c r="S79" s="39" t="n"/>
      <c r="T79" s="39" t="n"/>
      <c r="U79" s="40" t="n"/>
      <c r="V79" s="40" t="n"/>
      <c r="W79" s="46" t="n"/>
      <c r="X79" s="46" t="n"/>
      <c r="Y79" s="46" t="n"/>
      <c r="Z79" s="40" t="n"/>
      <c r="AA79" s="40" t="n"/>
      <c r="AB79" s="40" t="n"/>
      <c r="AC79" s="40" t="n"/>
      <c r="AD79" s="40" t="n"/>
      <c r="AE79" s="47" t="n"/>
      <c r="AF79" s="40" t="n"/>
      <c r="AG79" s="40" t="n"/>
      <c r="AH79" s="40" t="n"/>
      <c r="AI79" s="40" t="n"/>
      <c r="AJ79" s="47" t="n"/>
      <c r="AK79" s="47" t="n"/>
      <c r="AL79" s="47" t="n"/>
      <c r="AM79" s="40" t="n"/>
      <c r="AN79" s="40" t="n"/>
      <c r="AO79" s="43" t="n"/>
      <c r="AP79" s="39" t="n"/>
      <c r="AQ79" s="39" t="n"/>
      <c r="AR79" s="39" t="n"/>
      <c r="AS79" s="39" t="n"/>
      <c r="AT79" s="39" t="n"/>
      <c r="AU79" s="39" t="n"/>
      <c r="AV79" s="39" t="n"/>
      <c r="AW79" s="39" t="n"/>
    </row>
    <row r="80" ht="23" customHeight="1">
      <c r="A80" s="39" t="n"/>
      <c r="B80" s="39" t="n"/>
      <c r="C80" s="40" t="n"/>
      <c r="D80" s="39" t="n"/>
      <c r="E80" s="40" t="n"/>
      <c r="F80" s="39" t="n"/>
      <c r="G80" s="39" t="n"/>
      <c r="H80" s="39" t="n"/>
      <c r="I80" s="40" t="n"/>
      <c r="J80" s="40" t="n"/>
      <c r="K80" s="39" t="n"/>
      <c r="L80" s="40" t="n"/>
      <c r="M80" s="42" t="n"/>
      <c r="N80" s="42" t="n"/>
      <c r="O80" s="43" t="n"/>
      <c r="P80" s="43" t="n"/>
      <c r="Q80" s="43" t="n"/>
      <c r="R80" s="39" t="n"/>
      <c r="S80" s="39" t="n"/>
      <c r="T80" s="39" t="n"/>
      <c r="U80" s="40" t="n"/>
      <c r="V80" s="40" t="n"/>
      <c r="W80" s="46" t="n"/>
      <c r="X80" s="46" t="n"/>
      <c r="Y80" s="46" t="n"/>
      <c r="Z80" s="40" t="n"/>
      <c r="AA80" s="40" t="n"/>
      <c r="AB80" s="40" t="n"/>
      <c r="AC80" s="40" t="n"/>
      <c r="AD80" s="40" t="n"/>
      <c r="AE80" s="47" t="n"/>
      <c r="AF80" s="40" t="n"/>
      <c r="AG80" s="40" t="n"/>
      <c r="AH80" s="40" t="n"/>
      <c r="AI80" s="40" t="n"/>
      <c r="AJ80" s="47" t="n"/>
      <c r="AK80" s="47" t="n"/>
      <c r="AL80" s="47" t="n"/>
      <c r="AM80" s="40" t="n"/>
      <c r="AN80" s="40" t="n"/>
      <c r="AO80" s="43" t="n"/>
      <c r="AP80" s="39" t="n"/>
      <c r="AQ80" s="39" t="n"/>
      <c r="AR80" s="39" t="n"/>
      <c r="AS80" s="39" t="n"/>
      <c r="AT80" s="39" t="n"/>
      <c r="AU80" s="39" t="n"/>
      <c r="AV80" s="39" t="n"/>
      <c r="AW80" s="39" t="n"/>
    </row>
    <row r="81" ht="23" customHeight="1">
      <c r="A81" s="39" t="n"/>
      <c r="B81" s="39" t="n"/>
      <c r="C81" s="40" t="n"/>
      <c r="D81" s="39" t="n"/>
      <c r="E81" s="40" t="n"/>
      <c r="F81" s="39" t="n"/>
      <c r="G81" s="39" t="n"/>
      <c r="H81" s="39" t="n"/>
      <c r="I81" s="40" t="n"/>
      <c r="J81" s="40" t="n"/>
      <c r="K81" s="39" t="n"/>
      <c r="L81" s="40" t="n"/>
      <c r="M81" s="42" t="n"/>
      <c r="N81" s="42" t="n"/>
      <c r="O81" s="43" t="n"/>
      <c r="P81" s="43" t="n"/>
      <c r="Q81" s="43" t="n"/>
      <c r="R81" s="39" t="n"/>
      <c r="S81" s="39" t="n"/>
      <c r="T81" s="39" t="n"/>
      <c r="U81" s="40" t="n"/>
      <c r="V81" s="40" t="n"/>
      <c r="W81" s="46" t="n"/>
      <c r="X81" s="46" t="n"/>
      <c r="Y81" s="46" t="n"/>
      <c r="Z81" s="40" t="n"/>
      <c r="AA81" s="40" t="n"/>
      <c r="AB81" s="40" t="n"/>
      <c r="AC81" s="40" t="n"/>
      <c r="AD81" s="40" t="n"/>
      <c r="AE81" s="47" t="n"/>
      <c r="AF81" s="40" t="n"/>
      <c r="AG81" s="40" t="n"/>
      <c r="AH81" s="40" t="n"/>
      <c r="AI81" s="40" t="n"/>
      <c r="AJ81" s="47" t="n"/>
      <c r="AK81" s="47" t="n"/>
      <c r="AL81" s="47" t="n"/>
      <c r="AM81" s="40" t="n"/>
      <c r="AN81" s="40" t="n"/>
      <c r="AO81" s="43" t="n"/>
      <c r="AP81" s="39" t="n"/>
      <c r="AQ81" s="39" t="n"/>
      <c r="AR81" s="39" t="n"/>
      <c r="AS81" s="39" t="n"/>
      <c r="AT81" s="39" t="n"/>
      <c r="AU81" s="39" t="n"/>
      <c r="AV81" s="39" t="n"/>
      <c r="AW81" s="39" t="n"/>
    </row>
    <row r="82" ht="23" customHeight="1">
      <c r="A82" s="39" t="n"/>
      <c r="B82" s="39" t="n"/>
      <c r="C82" s="40" t="n"/>
      <c r="D82" s="39" t="n"/>
      <c r="E82" s="40" t="n"/>
      <c r="F82" s="39" t="n"/>
      <c r="G82" s="39" t="n"/>
      <c r="H82" s="39" t="n"/>
      <c r="I82" s="40" t="n"/>
      <c r="J82" s="40" t="n"/>
      <c r="K82" s="39" t="n"/>
      <c r="L82" s="40" t="n"/>
      <c r="M82" s="42" t="n"/>
      <c r="N82" s="42" t="n"/>
      <c r="O82" s="43" t="n"/>
      <c r="P82" s="43" t="n"/>
      <c r="Q82" s="43" t="n"/>
      <c r="R82" s="39" t="n"/>
      <c r="S82" s="39" t="n"/>
      <c r="T82" s="39" t="n"/>
      <c r="U82" s="40" t="n"/>
      <c r="V82" s="40" t="n"/>
      <c r="W82" s="46" t="n"/>
      <c r="X82" s="46" t="n"/>
      <c r="Y82" s="46" t="n"/>
      <c r="Z82" s="40" t="n"/>
      <c r="AA82" s="40" t="n"/>
      <c r="AB82" s="40" t="n"/>
      <c r="AC82" s="40" t="n"/>
      <c r="AD82" s="40" t="n"/>
      <c r="AE82" s="47" t="n"/>
      <c r="AF82" s="40" t="n"/>
      <c r="AG82" s="40" t="n"/>
      <c r="AH82" s="40" t="n"/>
      <c r="AI82" s="40" t="n"/>
      <c r="AJ82" s="47" t="n"/>
      <c r="AK82" s="47" t="n"/>
      <c r="AL82" s="47" t="n"/>
      <c r="AM82" s="40" t="n"/>
      <c r="AN82" s="40" t="n"/>
      <c r="AO82" s="43" t="n"/>
      <c r="AP82" s="39" t="n"/>
      <c r="AQ82" s="39" t="n"/>
      <c r="AR82" s="39" t="n"/>
      <c r="AS82" s="39" t="n"/>
      <c r="AT82" s="39" t="n"/>
      <c r="AU82" s="39" t="n"/>
      <c r="AV82" s="39" t="n"/>
      <c r="AW82" s="39" t="n"/>
    </row>
    <row r="83" ht="23" customHeight="1">
      <c r="A83" s="39" t="n"/>
      <c r="B83" s="39" t="n"/>
      <c r="C83" s="40" t="n"/>
      <c r="D83" s="39" t="n"/>
      <c r="E83" s="40" t="n"/>
      <c r="F83" s="39" t="n"/>
      <c r="G83" s="39" t="n"/>
      <c r="H83" s="39" t="n"/>
      <c r="I83" s="40" t="n"/>
      <c r="J83" s="40" t="n"/>
      <c r="K83" s="39" t="n"/>
      <c r="L83" s="40" t="n"/>
      <c r="M83" s="42" t="n"/>
      <c r="N83" s="42" t="n"/>
      <c r="O83" s="43" t="n"/>
      <c r="P83" s="43" t="n"/>
      <c r="Q83" s="43" t="n"/>
      <c r="R83" s="39" t="n"/>
      <c r="S83" s="39" t="n"/>
      <c r="T83" s="39" t="n"/>
      <c r="U83" s="40" t="n"/>
      <c r="V83" s="40" t="n"/>
      <c r="W83" s="46" t="n"/>
      <c r="X83" s="46" t="n"/>
      <c r="Y83" s="46" t="n"/>
      <c r="Z83" s="40" t="n"/>
      <c r="AA83" s="40" t="n"/>
      <c r="AB83" s="40" t="n"/>
      <c r="AC83" s="40" t="n"/>
      <c r="AD83" s="40" t="n"/>
      <c r="AE83" s="47" t="n"/>
      <c r="AF83" s="40" t="n"/>
      <c r="AG83" s="40" t="n"/>
      <c r="AH83" s="40" t="n"/>
      <c r="AI83" s="40" t="n"/>
      <c r="AJ83" s="47" t="n"/>
      <c r="AK83" s="47" t="n"/>
      <c r="AL83" s="47" t="n"/>
      <c r="AM83" s="40" t="n"/>
      <c r="AN83" s="40" t="n"/>
      <c r="AO83" s="43" t="n"/>
      <c r="AP83" s="39" t="n"/>
      <c r="AQ83" s="39" t="n"/>
      <c r="AR83" s="39" t="n"/>
      <c r="AS83" s="39" t="n"/>
      <c r="AT83" s="39" t="n"/>
      <c r="AU83" s="39" t="n"/>
      <c r="AV83" s="39" t="n"/>
      <c r="AW83" s="39" t="n"/>
    </row>
    <row r="84" ht="23" customHeight="1">
      <c r="A84" s="39" t="n"/>
      <c r="B84" s="39" t="n"/>
      <c r="C84" s="40" t="n"/>
      <c r="D84" s="39" t="n"/>
      <c r="E84" s="40" t="n"/>
      <c r="F84" s="39" t="n"/>
      <c r="G84" s="39" t="n"/>
      <c r="H84" s="39" t="n"/>
      <c r="I84" s="40" t="n"/>
      <c r="J84" s="40" t="n"/>
      <c r="K84" s="39" t="n"/>
      <c r="L84" s="40" t="n"/>
      <c r="M84" s="42" t="n"/>
      <c r="N84" s="42" t="n"/>
      <c r="O84" s="43" t="n"/>
      <c r="P84" s="43" t="n"/>
      <c r="Q84" s="43" t="n"/>
      <c r="R84" s="39" t="n"/>
      <c r="S84" s="39" t="n"/>
      <c r="T84" s="39" t="n"/>
      <c r="U84" s="40" t="n"/>
      <c r="V84" s="40" t="n"/>
      <c r="W84" s="46" t="n"/>
      <c r="X84" s="46" t="n"/>
      <c r="Y84" s="46" t="n"/>
      <c r="Z84" s="40" t="n"/>
      <c r="AA84" s="40" t="n"/>
      <c r="AB84" s="40" t="n"/>
      <c r="AC84" s="40" t="n"/>
      <c r="AD84" s="40" t="n"/>
      <c r="AE84" s="47" t="n"/>
      <c r="AF84" s="40" t="n"/>
      <c r="AG84" s="40" t="n"/>
      <c r="AH84" s="40" t="n"/>
      <c r="AI84" s="40" t="n"/>
      <c r="AJ84" s="47" t="n"/>
      <c r="AK84" s="47" t="n"/>
      <c r="AL84" s="47" t="n"/>
      <c r="AM84" s="40" t="n"/>
      <c r="AN84" s="40" t="n"/>
      <c r="AO84" s="43" t="n"/>
      <c r="AP84" s="39" t="n"/>
      <c r="AQ84" s="39" t="n"/>
      <c r="AR84" s="39" t="n"/>
      <c r="AS84" s="39" t="n"/>
      <c r="AT84" s="39" t="n"/>
      <c r="AU84" s="39" t="n"/>
      <c r="AV84" s="39" t="n"/>
      <c r="AW84" s="39" t="n"/>
    </row>
    <row r="85" ht="23" customHeight="1">
      <c r="A85" s="39" t="n"/>
      <c r="B85" s="39" t="n"/>
      <c r="C85" s="40" t="n"/>
      <c r="D85" s="39" t="n"/>
      <c r="E85" s="40" t="n"/>
      <c r="F85" s="39" t="n"/>
      <c r="G85" s="39" t="n"/>
      <c r="H85" s="39" t="n"/>
      <c r="I85" s="40" t="n"/>
      <c r="J85" s="40" t="n"/>
      <c r="K85" s="39" t="n"/>
      <c r="L85" s="40" t="n"/>
      <c r="M85" s="42" t="n"/>
      <c r="N85" s="42" t="n"/>
      <c r="O85" s="43" t="n"/>
      <c r="P85" s="43" t="n"/>
      <c r="Q85" s="43" t="n"/>
      <c r="R85" s="39" t="n"/>
      <c r="S85" s="39" t="n"/>
      <c r="T85" s="39" t="n"/>
      <c r="U85" s="40" t="n"/>
      <c r="V85" s="40" t="n"/>
      <c r="W85" s="46" t="n"/>
      <c r="X85" s="46" t="n"/>
      <c r="Y85" s="46" t="n"/>
      <c r="Z85" s="40" t="n"/>
      <c r="AA85" s="40" t="n"/>
      <c r="AB85" s="40" t="n"/>
      <c r="AC85" s="40" t="n"/>
      <c r="AD85" s="40" t="n"/>
      <c r="AE85" s="47" t="n"/>
      <c r="AF85" s="40" t="n"/>
      <c r="AG85" s="40" t="n"/>
      <c r="AH85" s="40" t="n"/>
      <c r="AI85" s="40" t="n"/>
      <c r="AJ85" s="47" t="n"/>
      <c r="AK85" s="47" t="n"/>
      <c r="AL85" s="47" t="n"/>
      <c r="AM85" s="40" t="n"/>
      <c r="AN85" s="40" t="n"/>
      <c r="AO85" s="43" t="n"/>
      <c r="AP85" s="39" t="n"/>
      <c r="AQ85" s="39" t="n"/>
      <c r="AR85" s="39" t="n"/>
      <c r="AS85" s="39" t="n"/>
      <c r="AT85" s="39" t="n"/>
      <c r="AU85" s="39" t="n"/>
      <c r="AV85" s="39" t="n"/>
      <c r="AW85" s="39" t="n"/>
    </row>
    <row r="86" ht="23" customHeight="1">
      <c r="A86" s="39" t="n"/>
      <c r="B86" s="39" t="n"/>
      <c r="C86" s="40" t="n"/>
      <c r="D86" s="39" t="n"/>
      <c r="E86" s="40" t="n"/>
      <c r="F86" s="39" t="n"/>
      <c r="G86" s="39" t="n"/>
      <c r="H86" s="39" t="n"/>
      <c r="I86" s="40" t="n"/>
      <c r="J86" s="40" t="n"/>
      <c r="K86" s="39" t="n"/>
      <c r="L86" s="40" t="n"/>
      <c r="M86" s="42" t="n"/>
      <c r="N86" s="42" t="n"/>
      <c r="O86" s="43" t="n"/>
      <c r="P86" s="43" t="n"/>
      <c r="Q86" s="43" t="n"/>
      <c r="R86" s="39" t="n"/>
      <c r="S86" s="39" t="n"/>
      <c r="T86" s="39" t="n"/>
      <c r="U86" s="40" t="n"/>
      <c r="V86" s="40" t="n"/>
      <c r="W86" s="46" t="n"/>
      <c r="X86" s="46" t="n"/>
      <c r="Y86" s="46" t="n"/>
      <c r="Z86" s="40" t="n"/>
      <c r="AA86" s="40" t="n"/>
      <c r="AB86" s="40" t="n"/>
      <c r="AC86" s="40" t="n"/>
      <c r="AD86" s="40" t="n"/>
      <c r="AE86" s="47" t="n"/>
      <c r="AF86" s="40" t="n"/>
      <c r="AG86" s="40" t="n"/>
      <c r="AH86" s="40" t="n"/>
      <c r="AI86" s="40" t="n"/>
      <c r="AJ86" s="47" t="n"/>
      <c r="AK86" s="47" t="n"/>
      <c r="AL86" s="47" t="n"/>
      <c r="AM86" s="40" t="n"/>
      <c r="AN86" s="40" t="n"/>
      <c r="AO86" s="43" t="n"/>
      <c r="AP86" s="39" t="n"/>
      <c r="AQ86" s="39" t="n"/>
      <c r="AR86" s="39" t="n"/>
      <c r="AS86" s="39" t="n"/>
      <c r="AT86" s="39" t="n"/>
      <c r="AU86" s="39" t="n"/>
      <c r="AV86" s="39" t="n"/>
      <c r="AW86" s="39" t="n"/>
    </row>
    <row r="87" ht="23" customHeight="1">
      <c r="A87" s="39" t="n"/>
      <c r="B87" s="39" t="n"/>
      <c r="C87" s="40" t="n"/>
      <c r="D87" s="39" t="n"/>
      <c r="E87" s="40" t="n"/>
      <c r="F87" s="39" t="n"/>
      <c r="G87" s="39" t="n"/>
      <c r="H87" s="39" t="n"/>
      <c r="I87" s="40" t="n"/>
      <c r="J87" s="40" t="n"/>
      <c r="K87" s="39" t="n"/>
      <c r="L87" s="40" t="n"/>
      <c r="M87" s="42" t="n"/>
      <c r="N87" s="42" t="n"/>
      <c r="O87" s="43" t="n"/>
      <c r="P87" s="43" t="n"/>
      <c r="Q87" s="43" t="n"/>
      <c r="R87" s="39" t="n"/>
      <c r="S87" s="39" t="n"/>
      <c r="T87" s="39" t="n"/>
      <c r="U87" s="40" t="n"/>
      <c r="V87" s="40" t="n"/>
      <c r="W87" s="46" t="n"/>
      <c r="X87" s="46" t="n"/>
      <c r="Y87" s="46" t="n"/>
      <c r="Z87" s="40" t="n"/>
      <c r="AA87" s="40" t="n"/>
      <c r="AB87" s="40" t="n"/>
      <c r="AC87" s="40" t="n"/>
      <c r="AD87" s="40" t="n"/>
      <c r="AE87" s="47" t="n"/>
      <c r="AF87" s="40" t="n"/>
      <c r="AG87" s="40" t="n"/>
      <c r="AH87" s="40" t="n"/>
      <c r="AI87" s="40" t="n"/>
      <c r="AJ87" s="47" t="n"/>
      <c r="AK87" s="47" t="n"/>
      <c r="AL87" s="47" t="n"/>
      <c r="AM87" s="40" t="n"/>
      <c r="AN87" s="40" t="n"/>
      <c r="AO87" s="43" t="n"/>
      <c r="AP87" s="39" t="n"/>
      <c r="AQ87" s="39" t="n"/>
      <c r="AR87" s="39" t="n"/>
      <c r="AS87" s="39" t="n"/>
      <c r="AT87" s="39" t="n"/>
      <c r="AU87" s="39" t="n"/>
      <c r="AV87" s="39" t="n"/>
      <c r="AW87" s="39" t="n"/>
    </row>
    <row r="88" ht="23" customHeight="1">
      <c r="A88" s="39" t="n"/>
      <c r="B88" s="39" t="n"/>
      <c r="C88" s="40" t="n"/>
      <c r="D88" s="39" t="n"/>
      <c r="E88" s="40" t="n"/>
      <c r="F88" s="39" t="n"/>
      <c r="G88" s="39" t="n"/>
      <c r="H88" s="39" t="n"/>
      <c r="I88" s="40" t="n"/>
      <c r="J88" s="40" t="n"/>
      <c r="K88" s="39" t="n"/>
      <c r="L88" s="40" t="n"/>
      <c r="M88" s="42" t="n"/>
      <c r="N88" s="42" t="n"/>
      <c r="O88" s="43" t="n"/>
      <c r="P88" s="43" t="n"/>
      <c r="Q88" s="43" t="n"/>
      <c r="R88" s="39" t="n"/>
      <c r="S88" s="39" t="n"/>
      <c r="T88" s="39" t="n"/>
      <c r="U88" s="40" t="n"/>
      <c r="V88" s="40" t="n"/>
      <c r="W88" s="46" t="n"/>
      <c r="X88" s="46" t="n"/>
      <c r="Y88" s="46" t="n"/>
      <c r="Z88" s="40" t="n"/>
      <c r="AA88" s="40" t="n"/>
      <c r="AB88" s="40" t="n"/>
      <c r="AC88" s="40" t="n"/>
      <c r="AD88" s="40" t="n"/>
      <c r="AE88" s="47" t="n"/>
      <c r="AF88" s="40" t="n"/>
      <c r="AG88" s="40" t="n"/>
      <c r="AH88" s="40" t="n"/>
      <c r="AI88" s="40" t="n"/>
      <c r="AJ88" s="47" t="n"/>
      <c r="AK88" s="47" t="n"/>
      <c r="AL88" s="47" t="n"/>
      <c r="AM88" s="40" t="n"/>
      <c r="AN88" s="40" t="n"/>
      <c r="AO88" s="43" t="n"/>
      <c r="AP88" s="39" t="n"/>
      <c r="AQ88" s="39" t="n"/>
      <c r="AR88" s="39" t="n"/>
      <c r="AS88" s="39" t="n"/>
      <c r="AT88" s="39" t="n"/>
      <c r="AU88" s="39" t="n"/>
      <c r="AV88" s="39" t="n"/>
      <c r="AW88" s="39" t="n"/>
    </row>
    <row r="89" ht="23" customHeight="1">
      <c r="A89" s="39" t="n"/>
      <c r="B89" s="39" t="n"/>
      <c r="C89" s="40" t="n"/>
      <c r="D89" s="39" t="n"/>
      <c r="E89" s="40" t="n"/>
      <c r="F89" s="39" t="n"/>
      <c r="G89" s="39" t="n"/>
      <c r="H89" s="39" t="n"/>
      <c r="I89" s="40" t="n"/>
      <c r="J89" s="40" t="n"/>
      <c r="K89" s="39" t="n"/>
      <c r="L89" s="40" t="n"/>
      <c r="M89" s="42" t="n"/>
      <c r="N89" s="42" t="n"/>
      <c r="O89" s="43" t="n"/>
      <c r="P89" s="43" t="n"/>
      <c r="Q89" s="43" t="n"/>
      <c r="R89" s="39" t="n"/>
      <c r="S89" s="39" t="n"/>
      <c r="T89" s="39" t="n"/>
      <c r="U89" s="40" t="n"/>
      <c r="V89" s="40" t="n"/>
      <c r="W89" s="46" t="n"/>
      <c r="X89" s="46" t="n"/>
      <c r="Y89" s="46" t="n"/>
      <c r="Z89" s="40" t="n"/>
      <c r="AA89" s="40" t="n"/>
      <c r="AB89" s="40" t="n"/>
      <c r="AC89" s="40" t="n"/>
      <c r="AD89" s="40" t="n"/>
      <c r="AE89" s="47" t="n"/>
      <c r="AF89" s="40" t="n"/>
      <c r="AG89" s="40" t="n"/>
      <c r="AH89" s="40" t="n"/>
      <c r="AI89" s="40" t="n"/>
      <c r="AJ89" s="47" t="n"/>
      <c r="AK89" s="47" t="n"/>
      <c r="AL89" s="47" t="n"/>
      <c r="AM89" s="40" t="n"/>
      <c r="AN89" s="40" t="n"/>
      <c r="AO89" s="43" t="n"/>
      <c r="AP89" s="39" t="n"/>
      <c r="AQ89" s="39" t="n"/>
      <c r="AR89" s="39" t="n"/>
      <c r="AS89" s="39" t="n"/>
      <c r="AT89" s="39" t="n"/>
      <c r="AU89" s="39" t="n"/>
      <c r="AV89" s="39" t="n"/>
      <c r="AW89" s="39" t="n"/>
    </row>
    <row r="90" ht="23" customHeight="1">
      <c r="A90" s="39" t="n"/>
      <c r="B90" s="39" t="n"/>
      <c r="C90" s="40" t="n"/>
      <c r="D90" s="39" t="n"/>
      <c r="E90" s="40" t="n"/>
      <c r="F90" s="39" t="n"/>
      <c r="G90" s="39" t="n"/>
      <c r="H90" s="39" t="n"/>
      <c r="I90" s="40" t="n"/>
      <c r="J90" s="40" t="n"/>
      <c r="K90" s="39" t="n"/>
      <c r="L90" s="40" t="n"/>
      <c r="M90" s="42" t="n"/>
      <c r="N90" s="42" t="n"/>
      <c r="O90" s="43" t="n"/>
      <c r="P90" s="43" t="n"/>
      <c r="Q90" s="43" t="n"/>
      <c r="R90" s="39" t="n"/>
      <c r="S90" s="39" t="n"/>
      <c r="T90" s="39" t="n"/>
      <c r="U90" s="40" t="n"/>
      <c r="V90" s="40" t="n"/>
      <c r="W90" s="46" t="n"/>
      <c r="X90" s="46" t="n"/>
      <c r="Y90" s="46" t="n"/>
      <c r="Z90" s="40" t="n"/>
      <c r="AA90" s="40" t="n"/>
      <c r="AB90" s="40" t="n"/>
      <c r="AC90" s="40" t="n"/>
      <c r="AD90" s="40" t="n"/>
      <c r="AE90" s="47" t="n"/>
      <c r="AF90" s="40" t="n"/>
      <c r="AG90" s="40" t="n"/>
      <c r="AH90" s="40" t="n"/>
      <c r="AI90" s="40" t="n"/>
      <c r="AJ90" s="47" t="n"/>
      <c r="AK90" s="47" t="n"/>
      <c r="AL90" s="47" t="n"/>
      <c r="AM90" s="40" t="n"/>
      <c r="AN90" s="40" t="n"/>
      <c r="AO90" s="43" t="n"/>
      <c r="AP90" s="39" t="n"/>
      <c r="AQ90" s="39" t="n"/>
      <c r="AR90" s="39" t="n"/>
      <c r="AS90" s="39" t="n"/>
      <c r="AT90" s="39" t="n"/>
      <c r="AU90" s="39" t="n"/>
      <c r="AV90" s="39" t="n"/>
      <c r="AW90" s="39" t="n"/>
    </row>
    <row r="91" ht="23" customHeight="1">
      <c r="A91" s="39" t="n"/>
      <c r="B91" s="39" t="n"/>
      <c r="C91" s="40" t="n"/>
      <c r="D91" s="39" t="n"/>
      <c r="E91" s="40" t="n"/>
      <c r="F91" s="39" t="n"/>
      <c r="G91" s="39" t="n"/>
      <c r="H91" s="39" t="n"/>
      <c r="I91" s="40" t="n"/>
      <c r="J91" s="40" t="n"/>
      <c r="K91" s="39" t="n"/>
      <c r="L91" s="40" t="n"/>
      <c r="M91" s="42" t="n"/>
      <c r="N91" s="42" t="n"/>
      <c r="O91" s="43" t="n"/>
      <c r="P91" s="43" t="n"/>
      <c r="Q91" s="43" t="n"/>
      <c r="R91" s="39" t="n"/>
      <c r="S91" s="39" t="n"/>
      <c r="T91" s="39" t="n"/>
      <c r="U91" s="40" t="n"/>
      <c r="V91" s="40" t="n"/>
      <c r="W91" s="46" t="n"/>
      <c r="X91" s="46" t="n"/>
      <c r="Y91" s="46" t="n"/>
      <c r="Z91" s="40" t="n"/>
      <c r="AA91" s="40" t="n"/>
      <c r="AB91" s="40" t="n"/>
      <c r="AC91" s="40" t="n"/>
      <c r="AD91" s="40" t="n"/>
      <c r="AE91" s="47" t="n"/>
      <c r="AF91" s="40" t="n"/>
      <c r="AG91" s="40" t="n"/>
      <c r="AH91" s="40" t="n"/>
      <c r="AI91" s="40" t="n"/>
      <c r="AJ91" s="47" t="n"/>
      <c r="AK91" s="47" t="n"/>
      <c r="AL91" s="47" t="n"/>
      <c r="AM91" s="40" t="n"/>
      <c r="AN91" s="40" t="n"/>
      <c r="AO91" s="43" t="n"/>
      <c r="AP91" s="39" t="n"/>
      <c r="AQ91" s="39" t="n"/>
      <c r="AR91" s="39" t="n"/>
      <c r="AS91" s="39" t="n"/>
      <c r="AT91" s="39" t="n"/>
      <c r="AU91" s="39" t="n"/>
      <c r="AV91" s="39" t="n"/>
      <c r="AW91" s="39" t="n"/>
    </row>
    <row r="92" ht="23" customHeight="1">
      <c r="A92" s="39" t="n"/>
      <c r="B92" s="39" t="n"/>
      <c r="C92" s="40" t="n"/>
      <c r="D92" s="39" t="n"/>
      <c r="E92" s="40" t="n"/>
      <c r="F92" s="39" t="n"/>
      <c r="G92" s="39" t="n"/>
      <c r="H92" s="39" t="n"/>
      <c r="I92" s="40" t="n"/>
      <c r="J92" s="40" t="n"/>
      <c r="K92" s="39" t="n"/>
      <c r="L92" s="40" t="n"/>
      <c r="M92" s="42" t="n"/>
      <c r="N92" s="42" t="n"/>
      <c r="O92" s="43" t="n"/>
      <c r="P92" s="43" t="n"/>
      <c r="Q92" s="43" t="n"/>
      <c r="R92" s="39" t="n"/>
      <c r="S92" s="39" t="n"/>
      <c r="T92" s="39" t="n"/>
      <c r="U92" s="40" t="n"/>
      <c r="V92" s="40" t="n"/>
      <c r="W92" s="46" t="n"/>
      <c r="X92" s="46" t="n"/>
      <c r="Y92" s="46" t="n"/>
      <c r="Z92" s="40" t="n"/>
      <c r="AA92" s="40" t="n"/>
      <c r="AB92" s="40" t="n"/>
      <c r="AC92" s="40" t="n"/>
      <c r="AD92" s="40" t="n"/>
      <c r="AE92" s="47" t="n"/>
      <c r="AF92" s="40" t="n"/>
      <c r="AG92" s="40" t="n"/>
      <c r="AH92" s="40" t="n"/>
      <c r="AI92" s="40" t="n"/>
      <c r="AJ92" s="47" t="n"/>
      <c r="AK92" s="47" t="n"/>
      <c r="AL92" s="47" t="n"/>
      <c r="AM92" s="40" t="n"/>
      <c r="AN92" s="40" t="n"/>
      <c r="AO92" s="43" t="n"/>
      <c r="AP92" s="39" t="n"/>
      <c r="AQ92" s="39" t="n"/>
      <c r="AR92" s="39" t="n"/>
      <c r="AS92" s="39" t="n"/>
      <c r="AT92" s="39" t="n"/>
      <c r="AU92" s="39" t="n"/>
      <c r="AV92" s="39" t="n"/>
      <c r="AW92" s="39" t="n"/>
    </row>
    <row r="93" ht="23" customHeight="1">
      <c r="A93" s="39" t="n"/>
      <c r="B93" s="39" t="n"/>
      <c r="C93" s="40" t="n"/>
      <c r="D93" s="39" t="n"/>
      <c r="E93" s="40" t="n"/>
      <c r="F93" s="39" t="n"/>
      <c r="G93" s="39" t="n"/>
      <c r="H93" s="39" t="n"/>
      <c r="I93" s="40" t="n"/>
      <c r="J93" s="40" t="n"/>
      <c r="K93" s="39" t="n"/>
      <c r="L93" s="40" t="n"/>
      <c r="M93" s="42" t="n"/>
      <c r="N93" s="42" t="n"/>
      <c r="O93" s="43" t="n"/>
      <c r="P93" s="43" t="n"/>
      <c r="Q93" s="43" t="n"/>
      <c r="R93" s="39" t="n"/>
      <c r="S93" s="39" t="n"/>
      <c r="T93" s="39" t="n"/>
      <c r="U93" s="40" t="n"/>
      <c r="V93" s="40" t="n"/>
      <c r="W93" s="46" t="n"/>
      <c r="X93" s="46" t="n"/>
      <c r="Y93" s="46" t="n"/>
      <c r="Z93" s="40" t="n"/>
      <c r="AA93" s="40" t="n"/>
      <c r="AB93" s="40" t="n"/>
      <c r="AC93" s="40" t="n"/>
      <c r="AD93" s="40" t="n"/>
      <c r="AE93" s="47" t="n"/>
      <c r="AF93" s="40" t="n"/>
      <c r="AG93" s="40" t="n"/>
      <c r="AH93" s="40" t="n"/>
      <c r="AI93" s="40" t="n"/>
      <c r="AJ93" s="47" t="n"/>
      <c r="AK93" s="47" t="n"/>
      <c r="AL93" s="47" t="n"/>
      <c r="AM93" s="40" t="n"/>
      <c r="AN93" s="40" t="n"/>
      <c r="AO93" s="43" t="n"/>
      <c r="AP93" s="39" t="n"/>
      <c r="AQ93" s="39" t="n"/>
      <c r="AR93" s="39" t="n"/>
      <c r="AS93" s="39" t="n"/>
      <c r="AT93" s="39" t="n"/>
      <c r="AU93" s="39" t="n"/>
      <c r="AV93" s="39" t="n"/>
      <c r="AW93" s="39" t="n"/>
    </row>
    <row r="94" ht="23" customHeight="1">
      <c r="A94" s="39" t="n"/>
      <c r="B94" s="39" t="n"/>
      <c r="C94" s="40" t="n"/>
      <c r="D94" s="39" t="n"/>
      <c r="E94" s="40" t="n"/>
      <c r="F94" s="39" t="n"/>
      <c r="G94" s="39" t="n"/>
      <c r="H94" s="39" t="n"/>
      <c r="I94" s="40" t="n"/>
      <c r="J94" s="40" t="n"/>
      <c r="K94" s="39" t="n"/>
      <c r="L94" s="40" t="n"/>
      <c r="M94" s="42" t="n"/>
      <c r="N94" s="42" t="n"/>
      <c r="O94" s="43" t="n"/>
      <c r="P94" s="43" t="n"/>
      <c r="Q94" s="43" t="n"/>
      <c r="R94" s="39" t="n"/>
      <c r="S94" s="39" t="n"/>
      <c r="T94" s="39" t="n"/>
      <c r="U94" s="40" t="n"/>
      <c r="V94" s="40" t="n"/>
      <c r="W94" s="46" t="n"/>
      <c r="X94" s="46" t="n"/>
      <c r="Y94" s="46" t="n"/>
      <c r="Z94" s="40" t="n"/>
      <c r="AA94" s="40" t="n"/>
      <c r="AB94" s="40" t="n"/>
      <c r="AC94" s="40" t="n"/>
      <c r="AD94" s="40" t="n"/>
      <c r="AE94" s="47" t="n"/>
      <c r="AF94" s="40" t="n"/>
      <c r="AG94" s="40" t="n"/>
      <c r="AH94" s="40" t="n"/>
      <c r="AI94" s="40" t="n"/>
      <c r="AJ94" s="47" t="n"/>
      <c r="AK94" s="47" t="n"/>
      <c r="AL94" s="47" t="n"/>
      <c r="AM94" s="40" t="n"/>
      <c r="AN94" s="40" t="n"/>
      <c r="AO94" s="43" t="n"/>
      <c r="AP94" s="39" t="n"/>
      <c r="AQ94" s="39" t="n"/>
      <c r="AR94" s="39" t="n"/>
      <c r="AS94" s="39" t="n"/>
      <c r="AT94" s="39" t="n"/>
      <c r="AU94" s="39" t="n"/>
      <c r="AV94" s="39" t="n"/>
      <c r="AW94" s="39" t="n"/>
    </row>
    <row r="95" ht="23" customHeight="1">
      <c r="A95" s="39" t="n"/>
      <c r="B95" s="39" t="n"/>
      <c r="C95" s="40" t="n"/>
      <c r="D95" s="39" t="n"/>
      <c r="E95" s="40" t="n"/>
      <c r="F95" s="39" t="n"/>
      <c r="G95" s="39" t="n"/>
      <c r="H95" s="39" t="n"/>
      <c r="I95" s="40" t="n"/>
      <c r="J95" s="40" t="n"/>
      <c r="K95" s="39" t="n"/>
      <c r="L95" s="40" t="n"/>
      <c r="M95" s="42" t="n"/>
      <c r="N95" s="42" t="n"/>
      <c r="O95" s="43" t="n"/>
      <c r="P95" s="43" t="n"/>
      <c r="Q95" s="43" t="n"/>
      <c r="R95" s="39" t="n"/>
      <c r="S95" s="39" t="n"/>
      <c r="T95" s="39" t="n"/>
      <c r="U95" s="40" t="n"/>
      <c r="V95" s="40" t="n"/>
      <c r="W95" s="46" t="n"/>
      <c r="X95" s="46" t="n"/>
      <c r="Y95" s="46" t="n"/>
      <c r="Z95" s="40" t="n"/>
      <c r="AA95" s="40" t="n"/>
      <c r="AB95" s="40" t="n"/>
      <c r="AC95" s="40" t="n"/>
      <c r="AD95" s="40" t="n"/>
      <c r="AE95" s="47" t="n"/>
      <c r="AF95" s="40" t="n"/>
      <c r="AG95" s="40" t="n"/>
      <c r="AH95" s="40" t="n"/>
      <c r="AI95" s="40" t="n"/>
      <c r="AJ95" s="47" t="n"/>
      <c r="AK95" s="47" t="n"/>
      <c r="AL95" s="47" t="n"/>
      <c r="AM95" s="40" t="n"/>
      <c r="AN95" s="40" t="n"/>
      <c r="AO95" s="43" t="n"/>
      <c r="AP95" s="39" t="n"/>
      <c r="AQ95" s="39" t="n"/>
      <c r="AR95" s="39" t="n"/>
      <c r="AS95" s="39" t="n"/>
      <c r="AT95" s="39" t="n"/>
      <c r="AU95" s="39" t="n"/>
      <c r="AV95" s="39" t="n"/>
      <c r="AW95" s="39" t="n"/>
    </row>
    <row r="96" ht="23" customHeight="1">
      <c r="A96" s="39" t="n"/>
      <c r="B96" s="39" t="n"/>
      <c r="C96" s="40" t="n"/>
      <c r="D96" s="39" t="n"/>
      <c r="E96" s="40" t="n"/>
      <c r="F96" s="39" t="n"/>
      <c r="G96" s="39" t="n"/>
      <c r="H96" s="39" t="n"/>
      <c r="I96" s="40" t="n"/>
      <c r="J96" s="40" t="n"/>
      <c r="K96" s="39" t="n"/>
      <c r="L96" s="40" t="n"/>
      <c r="M96" s="42" t="n"/>
      <c r="N96" s="42" t="n"/>
      <c r="O96" s="43" t="n"/>
      <c r="P96" s="43" t="n"/>
      <c r="Q96" s="43" t="n"/>
      <c r="R96" s="39" t="n"/>
      <c r="S96" s="39" t="n"/>
      <c r="T96" s="39" t="n"/>
      <c r="U96" s="40" t="n"/>
      <c r="V96" s="40" t="n"/>
      <c r="W96" s="46" t="n"/>
      <c r="X96" s="46" t="n"/>
      <c r="Y96" s="46" t="n"/>
      <c r="Z96" s="40" t="n"/>
      <c r="AA96" s="40" t="n"/>
      <c r="AB96" s="40" t="n"/>
      <c r="AC96" s="40" t="n"/>
      <c r="AD96" s="40" t="n"/>
      <c r="AE96" s="47" t="n"/>
      <c r="AF96" s="40" t="n"/>
      <c r="AG96" s="40" t="n"/>
      <c r="AH96" s="40" t="n"/>
      <c r="AI96" s="40" t="n"/>
      <c r="AJ96" s="47" t="n"/>
      <c r="AK96" s="47" t="n"/>
      <c r="AL96" s="47" t="n"/>
      <c r="AM96" s="40" t="n"/>
      <c r="AN96" s="40" t="n"/>
      <c r="AO96" s="43" t="n"/>
      <c r="AP96" s="39" t="n"/>
      <c r="AQ96" s="39" t="n"/>
      <c r="AR96" s="39" t="n"/>
      <c r="AS96" s="39" t="n"/>
      <c r="AT96" s="39" t="n"/>
      <c r="AU96" s="39" t="n"/>
      <c r="AV96" s="39" t="n"/>
      <c r="AW96" s="39" t="n"/>
    </row>
    <row r="97" ht="23" customHeight="1">
      <c r="A97" s="39" t="n"/>
      <c r="B97" s="39" t="n"/>
      <c r="C97" s="40" t="n"/>
      <c r="D97" s="39" t="n"/>
      <c r="E97" s="40" t="n"/>
      <c r="F97" s="39" t="n"/>
      <c r="G97" s="39" t="n"/>
      <c r="H97" s="39" t="n"/>
      <c r="I97" s="40" t="n"/>
      <c r="J97" s="40" t="n"/>
      <c r="K97" s="39" t="n"/>
      <c r="L97" s="40" t="n"/>
      <c r="M97" s="42" t="n"/>
      <c r="N97" s="42" t="n"/>
      <c r="O97" s="43" t="n"/>
      <c r="P97" s="43" t="n"/>
      <c r="Q97" s="43" t="n"/>
      <c r="R97" s="39" t="n"/>
      <c r="S97" s="39" t="n"/>
      <c r="T97" s="39" t="n"/>
      <c r="U97" s="40" t="n"/>
      <c r="V97" s="40" t="n"/>
      <c r="W97" s="46" t="n"/>
      <c r="X97" s="46" t="n"/>
      <c r="Y97" s="46" t="n"/>
      <c r="Z97" s="40" t="n"/>
      <c r="AA97" s="40" t="n"/>
      <c r="AB97" s="40" t="n"/>
      <c r="AC97" s="40" t="n"/>
      <c r="AD97" s="40" t="n"/>
      <c r="AE97" s="47" t="n"/>
      <c r="AF97" s="40" t="n"/>
      <c r="AG97" s="40" t="n"/>
      <c r="AH97" s="40" t="n"/>
      <c r="AI97" s="40" t="n"/>
      <c r="AJ97" s="47" t="n"/>
      <c r="AK97" s="47" t="n"/>
      <c r="AL97" s="47" t="n"/>
      <c r="AM97" s="40" t="n"/>
      <c r="AN97" s="40" t="n"/>
      <c r="AO97" s="43" t="n"/>
      <c r="AP97" s="39" t="n"/>
      <c r="AQ97" s="39" t="n"/>
      <c r="AR97" s="39" t="n"/>
      <c r="AS97" s="39" t="n"/>
      <c r="AT97" s="39" t="n"/>
      <c r="AU97" s="39" t="n"/>
      <c r="AV97" s="39" t="n"/>
      <c r="AW97" s="39" t="n"/>
    </row>
    <row r="98" ht="23" customHeight="1">
      <c r="A98" s="39" t="n"/>
      <c r="B98" s="39" t="n"/>
      <c r="C98" s="40" t="n"/>
      <c r="D98" s="39" t="n"/>
      <c r="E98" s="40" t="n"/>
      <c r="F98" s="39" t="n"/>
      <c r="G98" s="39" t="n"/>
      <c r="H98" s="39" t="n"/>
      <c r="I98" s="40" t="n"/>
      <c r="J98" s="40" t="n"/>
      <c r="K98" s="39" t="n"/>
      <c r="L98" s="40" t="n"/>
      <c r="M98" s="42" t="n"/>
      <c r="N98" s="42" t="n"/>
      <c r="O98" s="43" t="n"/>
      <c r="P98" s="43" t="n"/>
      <c r="Q98" s="43" t="n"/>
      <c r="R98" s="39" t="n"/>
      <c r="S98" s="39" t="n"/>
      <c r="T98" s="39" t="n"/>
      <c r="U98" s="40" t="n"/>
      <c r="V98" s="40" t="n"/>
      <c r="W98" s="46" t="n"/>
      <c r="X98" s="46" t="n"/>
      <c r="Y98" s="46" t="n"/>
      <c r="Z98" s="40" t="n"/>
      <c r="AA98" s="40" t="n"/>
      <c r="AB98" s="40" t="n"/>
      <c r="AC98" s="40" t="n"/>
      <c r="AD98" s="40" t="n"/>
      <c r="AE98" s="47" t="n"/>
      <c r="AF98" s="40" t="n"/>
      <c r="AG98" s="40" t="n"/>
      <c r="AH98" s="40" t="n"/>
      <c r="AI98" s="40" t="n"/>
      <c r="AJ98" s="47" t="n"/>
      <c r="AK98" s="47" t="n"/>
      <c r="AL98" s="47" t="n"/>
      <c r="AM98" s="40" t="n"/>
      <c r="AN98" s="40" t="n"/>
      <c r="AO98" s="43" t="n"/>
      <c r="AP98" s="39" t="n"/>
      <c r="AQ98" s="39" t="n"/>
      <c r="AR98" s="39" t="n"/>
      <c r="AS98" s="39" t="n"/>
      <c r="AT98" s="39" t="n"/>
      <c r="AU98" s="39" t="n"/>
      <c r="AV98" s="39" t="n"/>
      <c r="AW98" s="39" t="n"/>
    </row>
    <row r="99" ht="23" customHeight="1">
      <c r="A99" s="39" t="n"/>
      <c r="B99" s="39" t="n"/>
      <c r="C99" s="40" t="n"/>
      <c r="D99" s="39" t="n"/>
      <c r="E99" s="40" t="n"/>
      <c r="F99" s="39" t="n"/>
      <c r="G99" s="39" t="n"/>
      <c r="H99" s="39" t="n"/>
      <c r="I99" s="40" t="n"/>
      <c r="J99" s="40" t="n"/>
      <c r="K99" s="39" t="n"/>
      <c r="L99" s="40" t="n"/>
      <c r="M99" s="42" t="n"/>
      <c r="N99" s="42" t="n"/>
      <c r="O99" s="43" t="n"/>
      <c r="P99" s="43" t="n"/>
      <c r="Q99" s="43" t="n"/>
      <c r="R99" s="39" t="n"/>
      <c r="S99" s="39" t="n"/>
      <c r="T99" s="39" t="n"/>
      <c r="U99" s="40" t="n"/>
      <c r="V99" s="40" t="n"/>
      <c r="W99" s="46" t="n"/>
      <c r="X99" s="46" t="n"/>
      <c r="Y99" s="46" t="n"/>
      <c r="Z99" s="40" t="n"/>
      <c r="AA99" s="40" t="n"/>
      <c r="AB99" s="40" t="n"/>
      <c r="AC99" s="40" t="n"/>
      <c r="AD99" s="40" t="n"/>
      <c r="AE99" s="47" t="n"/>
      <c r="AF99" s="40" t="n"/>
      <c r="AG99" s="40" t="n"/>
      <c r="AH99" s="40" t="n"/>
      <c r="AI99" s="40" t="n"/>
      <c r="AJ99" s="47" t="n"/>
      <c r="AK99" s="47" t="n"/>
      <c r="AL99" s="47" t="n"/>
      <c r="AM99" s="40" t="n"/>
      <c r="AN99" s="40" t="n"/>
      <c r="AO99" s="43" t="n"/>
      <c r="AP99" s="39" t="n"/>
      <c r="AQ99" s="39" t="n"/>
      <c r="AR99" s="39" t="n"/>
      <c r="AS99" s="39" t="n"/>
      <c r="AT99" s="39" t="n"/>
      <c r="AU99" s="39" t="n"/>
      <c r="AV99" s="39" t="n"/>
      <c r="AW99" s="39" t="n"/>
    </row>
    <row r="100" ht="23" customHeight="1">
      <c r="A100" s="39" t="n"/>
      <c r="B100" s="39" t="n"/>
      <c r="C100" s="40" t="n"/>
      <c r="D100" s="39" t="n"/>
      <c r="E100" s="40" t="n"/>
      <c r="F100" s="39" t="n"/>
      <c r="G100" s="39" t="n"/>
      <c r="H100" s="39" t="n"/>
      <c r="I100" s="40" t="n"/>
      <c r="J100" s="40" t="n"/>
      <c r="K100" s="39" t="n"/>
      <c r="L100" s="40" t="n"/>
      <c r="M100" s="42" t="n"/>
      <c r="N100" s="42" t="n"/>
      <c r="O100" s="43" t="n"/>
      <c r="P100" s="43" t="n"/>
      <c r="Q100" s="43" t="n"/>
      <c r="R100" s="39" t="n"/>
      <c r="S100" s="39" t="n"/>
      <c r="T100" s="39" t="n"/>
      <c r="U100" s="40" t="n"/>
      <c r="V100" s="40" t="n"/>
      <c r="W100" s="46" t="n"/>
      <c r="X100" s="46" t="n"/>
      <c r="Y100" s="46" t="n"/>
      <c r="Z100" s="40" t="n"/>
      <c r="AA100" s="40" t="n"/>
      <c r="AB100" s="40" t="n"/>
      <c r="AC100" s="40" t="n"/>
      <c r="AD100" s="40" t="n"/>
      <c r="AE100" s="47" t="n"/>
      <c r="AF100" s="40" t="n"/>
      <c r="AG100" s="40" t="n"/>
      <c r="AH100" s="40" t="n"/>
      <c r="AI100" s="40" t="n"/>
      <c r="AJ100" s="47" t="n"/>
      <c r="AK100" s="47" t="n"/>
      <c r="AL100" s="47" t="n"/>
      <c r="AM100" s="40" t="n"/>
      <c r="AN100" s="40" t="n"/>
      <c r="AO100" s="43" t="n"/>
      <c r="AP100" s="39" t="n"/>
      <c r="AQ100" s="39" t="n"/>
      <c r="AR100" s="39" t="n"/>
      <c r="AS100" s="39" t="n"/>
      <c r="AT100" s="39" t="n"/>
      <c r="AU100" s="39" t="n"/>
      <c r="AV100" s="39" t="n"/>
      <c r="AW100" s="39" t="n"/>
    </row>
    <row r="101" ht="23" customHeight="1">
      <c r="A101" s="39" t="n"/>
      <c r="B101" s="39" t="n"/>
      <c r="C101" s="40" t="n"/>
      <c r="D101" s="39" t="n"/>
      <c r="E101" s="40" t="n"/>
      <c r="F101" s="39" t="n"/>
      <c r="G101" s="39" t="n"/>
      <c r="H101" s="39" t="n"/>
      <c r="I101" s="40" t="n"/>
      <c r="J101" s="40" t="n"/>
      <c r="K101" s="39" t="n"/>
      <c r="L101" s="40" t="n"/>
      <c r="M101" s="42" t="n"/>
      <c r="N101" s="42" t="n"/>
      <c r="O101" s="43" t="n"/>
      <c r="P101" s="43" t="n"/>
      <c r="Q101" s="43" t="n"/>
      <c r="R101" s="39" t="n"/>
      <c r="S101" s="39" t="n"/>
      <c r="T101" s="39" t="n"/>
      <c r="U101" s="40" t="n"/>
      <c r="V101" s="40" t="n"/>
      <c r="W101" s="46" t="n"/>
      <c r="X101" s="46" t="n"/>
      <c r="Y101" s="46" t="n"/>
      <c r="Z101" s="40" t="n"/>
      <c r="AA101" s="40" t="n"/>
      <c r="AB101" s="40" t="n"/>
      <c r="AC101" s="40" t="n"/>
      <c r="AD101" s="40" t="n"/>
      <c r="AE101" s="47" t="n"/>
      <c r="AF101" s="40" t="n"/>
      <c r="AG101" s="40" t="n"/>
      <c r="AH101" s="40" t="n"/>
      <c r="AI101" s="40" t="n"/>
      <c r="AJ101" s="47" t="n"/>
      <c r="AK101" s="47" t="n"/>
      <c r="AL101" s="47" t="n"/>
      <c r="AM101" s="40" t="n"/>
      <c r="AN101" s="40" t="n"/>
      <c r="AO101" s="43" t="n"/>
      <c r="AP101" s="39" t="n"/>
      <c r="AQ101" s="39" t="n"/>
      <c r="AR101" s="39" t="n"/>
      <c r="AS101" s="39" t="n"/>
      <c r="AT101" s="39" t="n"/>
      <c r="AU101" s="39" t="n"/>
      <c r="AV101" s="39" t="n"/>
      <c r="AW101" s="39" t="n"/>
    </row>
    <row r="102" ht="23" customHeight="1">
      <c r="A102" s="39" t="n"/>
      <c r="B102" s="39" t="n"/>
      <c r="C102" s="40" t="n"/>
      <c r="D102" s="39" t="n"/>
      <c r="E102" s="40" t="n"/>
      <c r="F102" s="39" t="n"/>
      <c r="G102" s="39" t="n"/>
      <c r="H102" s="39" t="n"/>
      <c r="I102" s="40" t="n"/>
      <c r="J102" s="40" t="n"/>
      <c r="K102" s="39" t="n"/>
      <c r="L102" s="40" t="n"/>
      <c r="M102" s="42" t="n"/>
      <c r="N102" s="42" t="n"/>
      <c r="O102" s="43" t="n"/>
      <c r="P102" s="43" t="n"/>
      <c r="Q102" s="43" t="n"/>
      <c r="R102" s="39" t="n"/>
      <c r="S102" s="39" t="n"/>
      <c r="T102" s="39" t="n"/>
      <c r="U102" s="40" t="n"/>
      <c r="V102" s="40" t="n"/>
      <c r="W102" s="46" t="n"/>
      <c r="X102" s="46" t="n"/>
      <c r="Y102" s="46" t="n"/>
      <c r="Z102" s="40" t="n"/>
      <c r="AA102" s="40" t="n"/>
      <c r="AB102" s="40" t="n"/>
      <c r="AC102" s="40" t="n"/>
      <c r="AD102" s="40" t="n"/>
      <c r="AE102" s="47" t="n"/>
      <c r="AF102" s="40" t="n"/>
      <c r="AG102" s="40" t="n"/>
      <c r="AH102" s="40" t="n"/>
      <c r="AI102" s="40" t="n"/>
      <c r="AJ102" s="47" t="n"/>
      <c r="AK102" s="47" t="n"/>
      <c r="AL102" s="47" t="n"/>
      <c r="AM102" s="40" t="n"/>
      <c r="AN102" s="40" t="n"/>
      <c r="AO102" s="43" t="n"/>
      <c r="AP102" s="39" t="n"/>
      <c r="AQ102" s="39" t="n"/>
      <c r="AR102" s="39" t="n"/>
      <c r="AS102" s="39" t="n"/>
      <c r="AT102" s="39" t="n"/>
      <c r="AU102" s="39" t="n"/>
      <c r="AV102" s="39" t="n"/>
      <c r="AW102" s="39" t="n"/>
    </row>
    <row r="103" ht="23" customHeight="1">
      <c r="A103" s="39" t="n"/>
      <c r="B103" s="39" t="n"/>
      <c r="C103" s="40" t="n"/>
      <c r="D103" s="39" t="n"/>
      <c r="E103" s="40" t="n"/>
      <c r="F103" s="39" t="n"/>
      <c r="G103" s="39" t="n"/>
      <c r="H103" s="39" t="n"/>
      <c r="I103" s="40" t="n"/>
      <c r="J103" s="40" t="n"/>
      <c r="K103" s="39" t="n"/>
      <c r="L103" s="40" t="n"/>
      <c r="M103" s="42" t="n"/>
      <c r="N103" s="42" t="n"/>
      <c r="O103" s="43" t="n"/>
      <c r="P103" s="43" t="n"/>
      <c r="Q103" s="43" t="n"/>
      <c r="R103" s="39" t="n"/>
      <c r="S103" s="39" t="n"/>
      <c r="T103" s="39" t="n"/>
      <c r="U103" s="40" t="n"/>
      <c r="V103" s="40" t="n"/>
      <c r="W103" s="46" t="n"/>
      <c r="X103" s="46" t="n"/>
      <c r="Y103" s="46" t="n"/>
      <c r="Z103" s="40" t="n"/>
      <c r="AA103" s="40" t="n"/>
      <c r="AB103" s="40" t="n"/>
      <c r="AC103" s="40" t="n"/>
      <c r="AD103" s="40" t="n"/>
      <c r="AE103" s="47" t="n"/>
      <c r="AF103" s="40" t="n"/>
      <c r="AG103" s="40" t="n"/>
      <c r="AH103" s="40" t="n"/>
      <c r="AI103" s="40" t="n"/>
      <c r="AJ103" s="47" t="n"/>
      <c r="AK103" s="47" t="n"/>
      <c r="AL103" s="47" t="n"/>
      <c r="AM103" s="40" t="n"/>
      <c r="AN103" s="40" t="n"/>
      <c r="AO103" s="43" t="n"/>
      <c r="AP103" s="39" t="n"/>
      <c r="AQ103" s="39" t="n"/>
      <c r="AR103" s="39" t="n"/>
      <c r="AS103" s="39" t="n"/>
      <c r="AT103" s="39" t="n"/>
      <c r="AU103" s="39" t="n"/>
      <c r="AV103" s="39" t="n"/>
      <c r="AW103" s="39" t="n"/>
    </row>
    <row r="104" ht="23" customHeight="1">
      <c r="A104" s="39" t="n"/>
      <c r="B104" s="39" t="n"/>
      <c r="C104" s="40" t="n"/>
      <c r="D104" s="39" t="n"/>
      <c r="E104" s="40" t="n"/>
      <c r="F104" s="39" t="n"/>
      <c r="G104" s="39" t="n"/>
      <c r="H104" s="39" t="n"/>
      <c r="I104" s="40" t="n"/>
      <c r="J104" s="40" t="n"/>
      <c r="K104" s="39" t="n"/>
      <c r="L104" s="40" t="n"/>
      <c r="M104" s="42" t="n"/>
      <c r="N104" s="42" t="n"/>
      <c r="O104" s="43" t="n"/>
      <c r="P104" s="43" t="n"/>
      <c r="Q104" s="43" t="n"/>
      <c r="R104" s="39" t="n"/>
      <c r="S104" s="39" t="n"/>
      <c r="T104" s="39" t="n"/>
      <c r="U104" s="40" t="n"/>
      <c r="V104" s="40" t="n"/>
      <c r="W104" s="46" t="n"/>
      <c r="X104" s="46" t="n"/>
      <c r="Y104" s="46" t="n"/>
      <c r="Z104" s="40" t="n"/>
      <c r="AA104" s="40" t="n"/>
      <c r="AB104" s="40" t="n"/>
      <c r="AC104" s="40" t="n"/>
      <c r="AD104" s="40" t="n"/>
      <c r="AE104" s="47" t="n"/>
      <c r="AF104" s="40" t="n"/>
      <c r="AG104" s="40" t="n"/>
      <c r="AH104" s="40" t="n"/>
      <c r="AI104" s="40" t="n"/>
      <c r="AJ104" s="47" t="n"/>
      <c r="AK104" s="47" t="n"/>
      <c r="AL104" s="47" t="n"/>
      <c r="AM104" s="40" t="n"/>
      <c r="AN104" s="40" t="n"/>
      <c r="AO104" s="43" t="n"/>
      <c r="AP104" s="39" t="n"/>
      <c r="AQ104" s="39" t="n"/>
      <c r="AR104" s="39" t="n"/>
      <c r="AS104" s="39" t="n"/>
      <c r="AT104" s="39" t="n"/>
      <c r="AU104" s="39" t="n"/>
      <c r="AV104" s="39" t="n"/>
      <c r="AW104" s="39" t="n"/>
    </row>
    <row r="105" ht="23" customHeight="1">
      <c r="A105" s="39" t="n"/>
      <c r="B105" s="39" t="n"/>
      <c r="C105" s="40" t="n"/>
      <c r="D105" s="39" t="n"/>
      <c r="E105" s="40" t="n"/>
      <c r="F105" s="39" t="n"/>
      <c r="G105" s="39" t="n"/>
      <c r="H105" s="39" t="n"/>
      <c r="I105" s="40" t="n"/>
      <c r="J105" s="40" t="n"/>
      <c r="K105" s="39" t="n"/>
      <c r="L105" s="40" t="n"/>
      <c r="M105" s="42" t="n"/>
      <c r="N105" s="42" t="n"/>
      <c r="O105" s="43" t="n"/>
      <c r="P105" s="43" t="n"/>
      <c r="Q105" s="43" t="n"/>
      <c r="R105" s="39" t="n"/>
      <c r="S105" s="39" t="n"/>
      <c r="T105" s="39" t="n"/>
      <c r="U105" s="40" t="n"/>
      <c r="V105" s="40" t="n"/>
      <c r="W105" s="46" t="n"/>
      <c r="X105" s="46" t="n"/>
      <c r="Y105" s="46" t="n"/>
      <c r="Z105" s="40" t="n"/>
      <c r="AA105" s="40" t="n"/>
      <c r="AB105" s="40" t="n"/>
      <c r="AC105" s="40" t="n"/>
      <c r="AD105" s="40" t="n"/>
      <c r="AE105" s="47" t="n"/>
      <c r="AF105" s="40" t="n"/>
      <c r="AG105" s="40" t="n"/>
      <c r="AH105" s="40" t="n"/>
      <c r="AI105" s="40" t="n"/>
      <c r="AJ105" s="47" t="n"/>
      <c r="AK105" s="47" t="n"/>
      <c r="AL105" s="47" t="n"/>
      <c r="AM105" s="40" t="n"/>
      <c r="AN105" s="40" t="n"/>
      <c r="AO105" s="43" t="n"/>
      <c r="AP105" s="39" t="n"/>
      <c r="AQ105" s="39" t="n"/>
      <c r="AR105" s="39" t="n"/>
      <c r="AS105" s="39" t="n"/>
      <c r="AT105" s="39" t="n"/>
      <c r="AU105" s="39" t="n"/>
      <c r="AV105" s="39" t="n"/>
      <c r="AW105" s="39" t="n"/>
    </row>
    <row r="106" ht="23" customHeight="1">
      <c r="A106" s="39" t="n"/>
      <c r="B106" s="39" t="n"/>
      <c r="C106" s="40" t="n"/>
      <c r="D106" s="39" t="n"/>
      <c r="E106" s="40" t="n"/>
      <c r="F106" s="39" t="n"/>
      <c r="G106" s="39" t="n"/>
      <c r="H106" s="39" t="n"/>
      <c r="I106" s="40" t="n"/>
      <c r="J106" s="40" t="n"/>
      <c r="K106" s="39" t="n"/>
      <c r="L106" s="40" t="n"/>
      <c r="M106" s="42" t="n"/>
      <c r="N106" s="42" t="n"/>
      <c r="O106" s="43" t="n"/>
      <c r="P106" s="43" t="n"/>
      <c r="Q106" s="43" t="n"/>
      <c r="R106" s="39" t="n"/>
      <c r="S106" s="39" t="n"/>
      <c r="T106" s="39" t="n"/>
      <c r="U106" s="40" t="n"/>
      <c r="V106" s="40" t="n"/>
      <c r="W106" s="46" t="n"/>
      <c r="X106" s="46" t="n"/>
      <c r="Y106" s="46" t="n"/>
      <c r="Z106" s="40" t="n"/>
      <c r="AA106" s="40" t="n"/>
      <c r="AB106" s="40" t="n"/>
      <c r="AC106" s="40" t="n"/>
      <c r="AD106" s="40" t="n"/>
      <c r="AE106" s="47" t="n"/>
      <c r="AF106" s="40" t="n"/>
      <c r="AG106" s="40" t="n"/>
      <c r="AH106" s="40" t="n"/>
      <c r="AI106" s="40" t="n"/>
      <c r="AJ106" s="47" t="n"/>
      <c r="AK106" s="47" t="n"/>
      <c r="AL106" s="47" t="n"/>
      <c r="AM106" s="40" t="n"/>
      <c r="AN106" s="40" t="n"/>
      <c r="AO106" s="43" t="n"/>
      <c r="AP106" s="39" t="n"/>
      <c r="AQ106" s="39" t="n"/>
      <c r="AR106" s="39" t="n"/>
      <c r="AS106" s="39" t="n"/>
      <c r="AT106" s="39" t="n"/>
      <c r="AU106" s="39" t="n"/>
      <c r="AV106" s="39" t="n"/>
      <c r="AW106" s="39" t="n"/>
    </row>
    <row r="107" ht="23" customHeight="1">
      <c r="A107" s="39" t="n"/>
      <c r="B107" s="39" t="n"/>
      <c r="C107" s="40" t="n"/>
      <c r="D107" s="39" t="n"/>
      <c r="E107" s="40" t="n"/>
      <c r="F107" s="39" t="n"/>
      <c r="G107" s="39" t="n"/>
      <c r="H107" s="39" t="n"/>
      <c r="I107" s="40" t="n"/>
      <c r="J107" s="40" t="n"/>
      <c r="K107" s="39" t="n"/>
      <c r="L107" s="40" t="n"/>
      <c r="M107" s="42" t="n"/>
      <c r="N107" s="42" t="n"/>
      <c r="O107" s="43" t="n"/>
      <c r="P107" s="43" t="n"/>
      <c r="Q107" s="43" t="n"/>
      <c r="R107" s="39" t="n"/>
      <c r="S107" s="39" t="n"/>
      <c r="T107" s="39" t="n"/>
      <c r="U107" s="40" t="n"/>
      <c r="V107" s="40" t="n"/>
      <c r="W107" s="46" t="n"/>
      <c r="X107" s="46" t="n"/>
      <c r="Y107" s="46" t="n"/>
      <c r="Z107" s="40" t="n"/>
      <c r="AA107" s="40" t="n"/>
      <c r="AB107" s="40" t="n"/>
      <c r="AC107" s="40" t="n"/>
      <c r="AD107" s="40" t="n"/>
      <c r="AE107" s="47" t="n"/>
      <c r="AF107" s="40" t="n"/>
      <c r="AG107" s="40" t="n"/>
      <c r="AH107" s="40" t="n"/>
      <c r="AI107" s="40" t="n"/>
      <c r="AJ107" s="47" t="n"/>
      <c r="AK107" s="47" t="n"/>
      <c r="AL107" s="47" t="n"/>
      <c r="AM107" s="40" t="n"/>
      <c r="AN107" s="40" t="n"/>
      <c r="AO107" s="43" t="n"/>
      <c r="AP107" s="39" t="n"/>
      <c r="AQ107" s="39" t="n"/>
      <c r="AR107" s="39" t="n"/>
      <c r="AS107" s="39" t="n"/>
      <c r="AT107" s="39" t="n"/>
      <c r="AU107" s="39" t="n"/>
      <c r="AV107" s="39" t="n"/>
      <c r="AW107" s="39" t="n"/>
    </row>
    <row r="108" ht="23" customHeight="1">
      <c r="A108" s="39" t="n"/>
      <c r="B108" s="39" t="n"/>
      <c r="C108" s="40" t="n"/>
      <c r="D108" s="39" t="n"/>
      <c r="E108" s="40" t="n"/>
      <c r="F108" s="39" t="n"/>
      <c r="G108" s="39" t="n"/>
      <c r="H108" s="39" t="n"/>
      <c r="I108" s="40" t="n"/>
      <c r="J108" s="40" t="n"/>
      <c r="K108" s="39" t="n"/>
      <c r="L108" s="40" t="n"/>
      <c r="M108" s="42" t="n"/>
      <c r="N108" s="42" t="n"/>
      <c r="O108" s="43" t="n"/>
      <c r="P108" s="43" t="n"/>
      <c r="Q108" s="43" t="n"/>
      <c r="R108" s="39" t="n"/>
      <c r="S108" s="39" t="n"/>
      <c r="T108" s="39" t="n"/>
      <c r="U108" s="40" t="n"/>
      <c r="V108" s="40" t="n"/>
      <c r="W108" s="46" t="n"/>
      <c r="X108" s="46" t="n"/>
      <c r="Y108" s="46" t="n"/>
      <c r="Z108" s="40" t="n"/>
      <c r="AA108" s="40" t="n"/>
      <c r="AB108" s="40" t="n"/>
      <c r="AC108" s="40" t="n"/>
      <c r="AD108" s="40" t="n"/>
      <c r="AE108" s="47" t="n"/>
      <c r="AF108" s="40" t="n"/>
      <c r="AG108" s="40" t="n"/>
      <c r="AH108" s="40" t="n"/>
      <c r="AI108" s="40" t="n"/>
      <c r="AJ108" s="47" t="n"/>
      <c r="AK108" s="47" t="n"/>
      <c r="AL108" s="47" t="n"/>
      <c r="AM108" s="40" t="n"/>
      <c r="AN108" s="40" t="n"/>
      <c r="AO108" s="43" t="n"/>
      <c r="AP108" s="39" t="n"/>
      <c r="AQ108" s="39" t="n"/>
      <c r="AR108" s="39" t="n"/>
      <c r="AS108" s="39" t="n"/>
      <c r="AT108" s="39" t="n"/>
      <c r="AU108" s="39" t="n"/>
      <c r="AV108" s="39" t="n"/>
      <c r="AW108" s="39" t="n"/>
    </row>
    <row r="109" ht="23" customHeight="1">
      <c r="A109" s="39" t="n"/>
      <c r="B109" s="39" t="n"/>
      <c r="C109" s="40" t="n"/>
      <c r="D109" s="39" t="n"/>
      <c r="E109" s="40" t="n"/>
      <c r="F109" s="39" t="n"/>
      <c r="G109" s="39" t="n"/>
      <c r="H109" s="39" t="n"/>
      <c r="I109" s="40" t="n"/>
      <c r="J109" s="40" t="n"/>
      <c r="K109" s="39" t="n"/>
      <c r="L109" s="40" t="n"/>
      <c r="M109" s="42" t="n"/>
      <c r="N109" s="42" t="n"/>
      <c r="O109" s="43" t="n"/>
      <c r="P109" s="43" t="n"/>
      <c r="Q109" s="43" t="n"/>
      <c r="R109" s="39" t="n"/>
      <c r="S109" s="39" t="n"/>
      <c r="T109" s="39" t="n"/>
      <c r="U109" s="40" t="n"/>
      <c r="V109" s="40" t="n"/>
      <c r="W109" s="46" t="n"/>
      <c r="X109" s="46" t="n"/>
      <c r="Y109" s="46" t="n"/>
      <c r="Z109" s="40" t="n"/>
      <c r="AA109" s="40" t="n"/>
      <c r="AB109" s="40" t="n"/>
      <c r="AC109" s="40" t="n"/>
      <c r="AD109" s="40" t="n"/>
      <c r="AE109" s="47" t="n"/>
      <c r="AF109" s="40" t="n"/>
      <c r="AG109" s="40" t="n"/>
      <c r="AH109" s="40" t="n"/>
      <c r="AI109" s="40" t="n"/>
      <c r="AJ109" s="47" t="n"/>
      <c r="AK109" s="47" t="n"/>
      <c r="AL109" s="47" t="n"/>
      <c r="AM109" s="40" t="n"/>
      <c r="AN109" s="40" t="n"/>
      <c r="AO109" s="43" t="n"/>
      <c r="AP109" s="39" t="n"/>
      <c r="AQ109" s="39" t="n"/>
      <c r="AR109" s="39" t="n"/>
      <c r="AS109" s="39" t="n"/>
      <c r="AT109" s="39" t="n"/>
      <c r="AU109" s="39" t="n"/>
      <c r="AV109" s="39" t="n"/>
      <c r="AW109" s="39" t="n"/>
    </row>
    <row r="110" ht="23" customHeight="1">
      <c r="A110" s="39" t="n"/>
      <c r="B110" s="39" t="n"/>
      <c r="C110" s="40" t="n"/>
      <c r="D110" s="39" t="n"/>
      <c r="E110" s="40" t="n"/>
      <c r="F110" s="39" t="n"/>
      <c r="G110" s="39" t="n"/>
      <c r="H110" s="39" t="n"/>
      <c r="I110" s="40" t="n"/>
      <c r="J110" s="40" t="n"/>
      <c r="K110" s="39" t="n"/>
      <c r="L110" s="40" t="n"/>
      <c r="M110" s="42" t="n"/>
      <c r="N110" s="42" t="n"/>
      <c r="O110" s="43" t="n"/>
      <c r="P110" s="43" t="n"/>
      <c r="Q110" s="43" t="n"/>
      <c r="R110" s="39" t="n"/>
      <c r="S110" s="39" t="n"/>
      <c r="T110" s="39" t="n"/>
      <c r="U110" s="40" t="n"/>
      <c r="V110" s="40" t="n"/>
      <c r="W110" s="46" t="n"/>
      <c r="X110" s="46" t="n"/>
      <c r="Y110" s="46" t="n"/>
      <c r="Z110" s="40" t="n"/>
      <c r="AA110" s="40" t="n"/>
      <c r="AB110" s="40" t="n"/>
      <c r="AC110" s="40" t="n"/>
      <c r="AD110" s="40" t="n"/>
      <c r="AE110" s="47" t="n"/>
      <c r="AF110" s="40" t="n"/>
      <c r="AG110" s="40" t="n"/>
      <c r="AH110" s="40" t="n"/>
      <c r="AI110" s="40" t="n"/>
      <c r="AJ110" s="47" t="n"/>
      <c r="AK110" s="47" t="n"/>
      <c r="AL110" s="47" t="n"/>
      <c r="AM110" s="40" t="n"/>
      <c r="AN110" s="40" t="n"/>
      <c r="AO110" s="43" t="n"/>
      <c r="AP110" s="39" t="n"/>
      <c r="AQ110" s="39" t="n"/>
      <c r="AR110" s="39" t="n"/>
      <c r="AS110" s="39" t="n"/>
      <c r="AT110" s="39" t="n"/>
      <c r="AU110" s="39" t="n"/>
      <c r="AV110" s="39" t="n"/>
      <c r="AW110" s="39" t="n"/>
    </row>
    <row r="111" ht="23" customHeight="1">
      <c r="A111" s="39" t="n"/>
      <c r="B111" s="39" t="n"/>
      <c r="C111" s="40" t="n"/>
      <c r="D111" s="39" t="n"/>
      <c r="E111" s="40" t="n"/>
      <c r="F111" s="39" t="n"/>
      <c r="G111" s="39" t="n"/>
      <c r="H111" s="39" t="n"/>
      <c r="I111" s="40" t="n"/>
      <c r="J111" s="40" t="n"/>
      <c r="K111" s="39" t="n"/>
      <c r="L111" s="40" t="n"/>
      <c r="M111" s="42" t="n"/>
      <c r="N111" s="42" t="n"/>
      <c r="O111" s="43" t="n"/>
      <c r="P111" s="43" t="n"/>
      <c r="Q111" s="43" t="n"/>
      <c r="R111" s="39" t="n"/>
      <c r="S111" s="39" t="n"/>
      <c r="T111" s="39" t="n"/>
      <c r="U111" s="40" t="n"/>
      <c r="V111" s="40" t="n"/>
      <c r="W111" s="46" t="n"/>
      <c r="X111" s="46" t="n"/>
      <c r="Y111" s="46" t="n"/>
      <c r="Z111" s="40" t="n"/>
      <c r="AA111" s="40" t="n"/>
      <c r="AB111" s="40" t="n"/>
      <c r="AC111" s="40" t="n"/>
      <c r="AD111" s="40" t="n"/>
      <c r="AE111" s="47" t="n"/>
      <c r="AF111" s="40" t="n"/>
      <c r="AG111" s="40" t="n"/>
      <c r="AH111" s="40" t="n"/>
      <c r="AI111" s="40" t="n"/>
      <c r="AJ111" s="47" t="n"/>
      <c r="AK111" s="47" t="n"/>
      <c r="AL111" s="47" t="n"/>
      <c r="AM111" s="40" t="n"/>
      <c r="AN111" s="40" t="n"/>
      <c r="AO111" s="43" t="n"/>
      <c r="AP111" s="39" t="n"/>
      <c r="AQ111" s="39" t="n"/>
      <c r="AR111" s="39" t="n"/>
      <c r="AS111" s="39" t="n"/>
      <c r="AT111" s="39" t="n"/>
      <c r="AU111" s="39" t="n"/>
      <c r="AV111" s="39" t="n"/>
      <c r="AW111" s="39" t="n"/>
    </row>
    <row r="112" ht="23" customHeight="1">
      <c r="A112" s="39" t="n"/>
      <c r="B112" s="39" t="n"/>
      <c r="C112" s="40" t="n"/>
      <c r="D112" s="39" t="n"/>
      <c r="E112" s="40" t="n"/>
      <c r="F112" s="39" t="n"/>
      <c r="G112" s="39" t="n"/>
      <c r="H112" s="39" t="n"/>
      <c r="I112" s="40" t="n"/>
      <c r="J112" s="40" t="n"/>
      <c r="K112" s="39" t="n"/>
      <c r="L112" s="40" t="n"/>
      <c r="M112" s="42" t="n"/>
      <c r="N112" s="42" t="n"/>
      <c r="O112" s="43" t="n"/>
      <c r="P112" s="43" t="n"/>
      <c r="Q112" s="43" t="n"/>
      <c r="R112" s="39" t="n"/>
      <c r="S112" s="39" t="n"/>
      <c r="T112" s="39" t="n"/>
      <c r="U112" s="40" t="n"/>
      <c r="V112" s="40" t="n"/>
      <c r="W112" s="46" t="n"/>
      <c r="X112" s="46" t="n"/>
      <c r="Y112" s="46" t="n"/>
      <c r="Z112" s="40" t="n"/>
      <c r="AA112" s="40" t="n"/>
      <c r="AB112" s="40" t="n"/>
      <c r="AC112" s="40" t="n"/>
      <c r="AD112" s="40" t="n"/>
      <c r="AE112" s="47" t="n"/>
      <c r="AF112" s="40" t="n"/>
      <c r="AG112" s="40" t="n"/>
      <c r="AH112" s="40" t="n"/>
      <c r="AI112" s="40" t="n"/>
      <c r="AJ112" s="47" t="n"/>
      <c r="AK112" s="47" t="n"/>
      <c r="AL112" s="47" t="n"/>
      <c r="AM112" s="40" t="n"/>
      <c r="AN112" s="40" t="n"/>
      <c r="AO112" s="43" t="n"/>
      <c r="AP112" s="39" t="n"/>
      <c r="AQ112" s="39" t="n"/>
      <c r="AR112" s="39" t="n"/>
      <c r="AS112" s="39" t="n"/>
      <c r="AT112" s="39" t="n"/>
      <c r="AU112" s="39" t="n"/>
      <c r="AV112" s="39" t="n"/>
      <c r="AW112" s="39" t="n"/>
    </row>
    <row r="113" ht="23" customHeight="1">
      <c r="A113" s="39" t="n"/>
      <c r="B113" s="39" t="n"/>
      <c r="C113" s="40" t="n"/>
      <c r="D113" s="39" t="n"/>
      <c r="E113" s="40" t="n"/>
      <c r="F113" s="39" t="n"/>
      <c r="G113" s="39" t="n"/>
      <c r="H113" s="39" t="n"/>
      <c r="I113" s="40" t="n"/>
      <c r="J113" s="40" t="n"/>
      <c r="K113" s="39" t="n"/>
      <c r="L113" s="40" t="n"/>
      <c r="M113" s="42" t="n"/>
      <c r="N113" s="42" t="n"/>
      <c r="O113" s="43" t="n"/>
      <c r="P113" s="43" t="n"/>
      <c r="Q113" s="43" t="n"/>
      <c r="R113" s="39" t="n"/>
      <c r="S113" s="39" t="n"/>
      <c r="T113" s="39" t="n"/>
      <c r="U113" s="40" t="n"/>
      <c r="V113" s="40" t="n"/>
      <c r="W113" s="46" t="n"/>
      <c r="X113" s="46" t="n"/>
      <c r="Y113" s="46" t="n"/>
      <c r="Z113" s="40" t="n"/>
      <c r="AA113" s="40" t="n"/>
      <c r="AB113" s="40" t="n"/>
      <c r="AC113" s="40" t="n"/>
      <c r="AD113" s="40" t="n"/>
      <c r="AE113" s="47" t="n"/>
      <c r="AF113" s="40" t="n"/>
      <c r="AG113" s="40" t="n"/>
      <c r="AH113" s="40" t="n"/>
      <c r="AI113" s="40" t="n"/>
      <c r="AJ113" s="47" t="n"/>
      <c r="AK113" s="47" t="n"/>
      <c r="AL113" s="47" t="n"/>
      <c r="AM113" s="40" t="n"/>
      <c r="AN113" s="40" t="n"/>
      <c r="AO113" s="43" t="n"/>
      <c r="AP113" s="39" t="n"/>
      <c r="AQ113" s="39" t="n"/>
      <c r="AR113" s="39" t="n"/>
      <c r="AS113" s="39" t="n"/>
      <c r="AT113" s="39" t="n"/>
      <c r="AU113" s="39" t="n"/>
      <c r="AV113" s="39" t="n"/>
      <c r="AW113" s="39" t="n"/>
    </row>
    <row r="114" ht="23" customHeight="1">
      <c r="A114" s="39" t="n"/>
      <c r="B114" s="39" t="n"/>
      <c r="C114" s="40" t="n"/>
      <c r="D114" s="39" t="n"/>
      <c r="E114" s="40" t="n"/>
      <c r="F114" s="39" t="n"/>
      <c r="G114" s="39" t="n"/>
      <c r="H114" s="39" t="n"/>
      <c r="I114" s="40" t="n"/>
      <c r="J114" s="40" t="n"/>
      <c r="K114" s="39" t="n"/>
      <c r="L114" s="40" t="n"/>
      <c r="M114" s="42" t="n"/>
      <c r="N114" s="42" t="n"/>
      <c r="O114" s="43" t="n"/>
      <c r="P114" s="43" t="n"/>
      <c r="Q114" s="43" t="n"/>
      <c r="R114" s="39" t="n"/>
      <c r="S114" s="39" t="n"/>
      <c r="T114" s="39" t="n"/>
      <c r="U114" s="40" t="n"/>
      <c r="V114" s="40" t="n"/>
      <c r="W114" s="46" t="n"/>
      <c r="X114" s="46" t="n"/>
      <c r="Y114" s="46" t="n"/>
      <c r="Z114" s="40" t="n"/>
      <c r="AA114" s="40" t="n"/>
      <c r="AB114" s="40" t="n"/>
      <c r="AC114" s="40" t="n"/>
      <c r="AD114" s="40" t="n"/>
      <c r="AE114" s="47" t="n"/>
      <c r="AF114" s="40" t="n"/>
      <c r="AG114" s="40" t="n"/>
      <c r="AH114" s="40" t="n"/>
      <c r="AI114" s="40" t="n"/>
      <c r="AJ114" s="47" t="n"/>
      <c r="AK114" s="47" t="n"/>
      <c r="AL114" s="47" t="n"/>
      <c r="AM114" s="40" t="n"/>
      <c r="AN114" s="40" t="n"/>
      <c r="AO114" s="43" t="n"/>
      <c r="AP114" s="39" t="n"/>
      <c r="AQ114" s="39" t="n"/>
      <c r="AR114" s="39" t="n"/>
      <c r="AS114" s="39" t="n"/>
      <c r="AT114" s="39" t="n"/>
      <c r="AU114" s="39" t="n"/>
      <c r="AV114" s="39" t="n"/>
      <c r="AW114" s="39" t="n"/>
    </row>
    <row r="115" ht="23" customHeight="1">
      <c r="A115" s="39" t="n"/>
      <c r="B115" s="39" t="n"/>
      <c r="C115" s="40" t="n"/>
      <c r="D115" s="39" t="n"/>
      <c r="E115" s="40" t="n"/>
      <c r="F115" s="39" t="n"/>
      <c r="G115" s="39" t="n"/>
      <c r="H115" s="39" t="n"/>
      <c r="I115" s="40" t="n"/>
      <c r="J115" s="40" t="n"/>
      <c r="K115" s="39" t="n"/>
      <c r="L115" s="40" t="n"/>
      <c r="M115" s="42" t="n"/>
      <c r="N115" s="42" t="n"/>
      <c r="O115" s="43" t="n"/>
      <c r="P115" s="43" t="n"/>
      <c r="Q115" s="43" t="n"/>
      <c r="R115" s="39" t="n"/>
      <c r="S115" s="39" t="n"/>
      <c r="T115" s="39" t="n"/>
      <c r="U115" s="40" t="n"/>
      <c r="V115" s="40" t="n"/>
      <c r="W115" s="46" t="n"/>
      <c r="X115" s="46" t="n"/>
      <c r="Y115" s="46" t="n"/>
      <c r="Z115" s="40" t="n"/>
      <c r="AA115" s="40" t="n"/>
      <c r="AB115" s="40" t="n"/>
      <c r="AC115" s="40" t="n"/>
      <c r="AD115" s="40" t="n"/>
      <c r="AE115" s="47" t="n"/>
      <c r="AF115" s="40" t="n"/>
      <c r="AG115" s="40" t="n"/>
      <c r="AH115" s="40" t="n"/>
      <c r="AI115" s="40" t="n"/>
      <c r="AJ115" s="47" t="n"/>
      <c r="AK115" s="47" t="n"/>
      <c r="AL115" s="47" t="n"/>
      <c r="AM115" s="40" t="n"/>
      <c r="AN115" s="40" t="n"/>
      <c r="AO115" s="43" t="n"/>
      <c r="AP115" s="39" t="n"/>
      <c r="AQ115" s="39" t="n"/>
      <c r="AR115" s="39" t="n"/>
      <c r="AS115" s="39" t="n"/>
      <c r="AT115" s="39" t="n"/>
      <c r="AU115" s="39" t="n"/>
      <c r="AV115" s="39" t="n"/>
      <c r="AW115" s="39" t="n"/>
    </row>
    <row r="116" ht="23" customHeight="1">
      <c r="A116" s="39" t="n"/>
      <c r="B116" s="39" t="n"/>
      <c r="C116" s="40" t="n"/>
      <c r="D116" s="39" t="n"/>
      <c r="E116" s="40" t="n"/>
      <c r="F116" s="39" t="n"/>
      <c r="G116" s="39" t="n"/>
      <c r="H116" s="39" t="n"/>
      <c r="I116" s="40" t="n"/>
      <c r="J116" s="40" t="n"/>
      <c r="K116" s="39" t="n"/>
      <c r="L116" s="40" t="n"/>
      <c r="M116" s="42" t="n"/>
      <c r="N116" s="42" t="n"/>
      <c r="O116" s="43" t="n"/>
      <c r="P116" s="43" t="n"/>
      <c r="Q116" s="43" t="n"/>
      <c r="R116" s="39" t="n"/>
      <c r="S116" s="39" t="n"/>
      <c r="T116" s="39" t="n"/>
      <c r="U116" s="40" t="n"/>
      <c r="V116" s="40" t="n"/>
      <c r="W116" s="46" t="n"/>
      <c r="X116" s="46" t="n"/>
      <c r="Y116" s="46" t="n"/>
      <c r="Z116" s="40" t="n"/>
      <c r="AA116" s="40" t="n"/>
      <c r="AB116" s="40" t="n"/>
      <c r="AC116" s="40" t="n"/>
      <c r="AD116" s="40" t="n"/>
      <c r="AE116" s="47" t="n"/>
      <c r="AF116" s="40" t="n"/>
      <c r="AG116" s="40" t="n"/>
      <c r="AH116" s="40" t="n"/>
      <c r="AI116" s="40" t="n"/>
      <c r="AJ116" s="47" t="n"/>
      <c r="AK116" s="47" t="n"/>
      <c r="AL116" s="47" t="n"/>
      <c r="AM116" s="40" t="n"/>
      <c r="AN116" s="40" t="n"/>
      <c r="AO116" s="43" t="n"/>
      <c r="AP116" s="39" t="n"/>
      <c r="AQ116" s="39" t="n"/>
      <c r="AR116" s="39" t="n"/>
      <c r="AS116" s="39" t="n"/>
      <c r="AT116" s="39" t="n"/>
      <c r="AU116" s="39" t="n"/>
      <c r="AV116" s="39" t="n"/>
      <c r="AW116" s="39" t="n"/>
    </row>
    <row r="117" ht="23" customHeight="1">
      <c r="A117" s="39" t="n"/>
      <c r="B117" s="39" t="n"/>
      <c r="C117" s="40" t="n"/>
      <c r="D117" s="39" t="n"/>
      <c r="E117" s="40" t="n"/>
      <c r="F117" s="39" t="n"/>
      <c r="G117" s="39" t="n"/>
      <c r="H117" s="39" t="n"/>
      <c r="I117" s="40" t="n"/>
      <c r="J117" s="40" t="n"/>
      <c r="K117" s="39" t="n"/>
      <c r="L117" s="40" t="n"/>
      <c r="M117" s="42" t="n"/>
      <c r="N117" s="42" t="n"/>
      <c r="O117" s="43" t="n"/>
      <c r="P117" s="43" t="n"/>
      <c r="Q117" s="43" t="n"/>
      <c r="R117" s="39" t="n"/>
      <c r="S117" s="39" t="n"/>
      <c r="T117" s="39" t="n"/>
      <c r="U117" s="40" t="n"/>
      <c r="V117" s="40" t="n"/>
      <c r="W117" s="46" t="n"/>
      <c r="X117" s="46" t="n"/>
      <c r="Y117" s="46" t="n"/>
      <c r="Z117" s="40" t="n"/>
      <c r="AA117" s="40" t="n"/>
      <c r="AB117" s="40" t="n"/>
      <c r="AC117" s="40" t="n"/>
      <c r="AD117" s="40" t="n"/>
      <c r="AE117" s="47" t="n"/>
      <c r="AF117" s="40" t="n"/>
      <c r="AG117" s="40" t="n"/>
      <c r="AH117" s="40" t="n"/>
      <c r="AI117" s="40" t="n"/>
      <c r="AJ117" s="47" t="n"/>
      <c r="AK117" s="47" t="n"/>
      <c r="AL117" s="47" t="n"/>
      <c r="AM117" s="40" t="n"/>
      <c r="AN117" s="40" t="n"/>
      <c r="AO117" s="43" t="n"/>
      <c r="AP117" s="39" t="n"/>
      <c r="AQ117" s="39" t="n"/>
      <c r="AR117" s="39" t="n"/>
      <c r="AS117" s="39" t="n"/>
      <c r="AT117" s="39" t="n"/>
      <c r="AU117" s="39" t="n"/>
      <c r="AV117" s="39" t="n"/>
      <c r="AW117" s="39" t="n"/>
    </row>
    <row r="118" ht="23" customHeight="1">
      <c r="A118" s="39" t="n"/>
      <c r="B118" s="39" t="n"/>
      <c r="C118" s="40" t="n"/>
      <c r="D118" s="39" t="n"/>
      <c r="E118" s="40" t="n"/>
      <c r="F118" s="39" t="n"/>
      <c r="G118" s="39" t="n"/>
      <c r="H118" s="39" t="n"/>
      <c r="I118" s="40" t="n"/>
      <c r="J118" s="40" t="n"/>
      <c r="K118" s="39" t="n"/>
      <c r="L118" s="40" t="n"/>
      <c r="M118" s="42" t="n"/>
      <c r="N118" s="42" t="n"/>
      <c r="O118" s="43" t="n"/>
      <c r="P118" s="43" t="n"/>
      <c r="Q118" s="43" t="n"/>
      <c r="R118" s="39" t="n"/>
      <c r="S118" s="39" t="n"/>
      <c r="T118" s="39" t="n"/>
      <c r="U118" s="40" t="n"/>
      <c r="V118" s="40" t="n"/>
      <c r="W118" s="46" t="n"/>
      <c r="X118" s="46" t="n"/>
      <c r="Y118" s="46" t="n"/>
      <c r="Z118" s="40" t="n"/>
      <c r="AA118" s="40" t="n"/>
      <c r="AB118" s="40" t="n"/>
      <c r="AC118" s="40" t="n"/>
      <c r="AD118" s="40" t="n"/>
      <c r="AE118" s="47" t="n"/>
      <c r="AF118" s="40" t="n"/>
      <c r="AG118" s="40" t="n"/>
      <c r="AH118" s="40" t="n"/>
      <c r="AI118" s="40" t="n"/>
      <c r="AJ118" s="47" t="n"/>
      <c r="AK118" s="47" t="n"/>
      <c r="AL118" s="47" t="n"/>
      <c r="AM118" s="40" t="n"/>
      <c r="AN118" s="40" t="n"/>
      <c r="AO118" s="43" t="n"/>
      <c r="AP118" s="39" t="n"/>
      <c r="AQ118" s="39" t="n"/>
      <c r="AR118" s="39" t="n"/>
      <c r="AS118" s="39" t="n"/>
      <c r="AT118" s="39" t="n"/>
      <c r="AU118" s="39" t="n"/>
      <c r="AV118" s="39" t="n"/>
      <c r="AW118" s="39" t="n"/>
    </row>
    <row r="119" ht="23" customHeight="1">
      <c r="A119" s="39" t="n"/>
      <c r="B119" s="39" t="n"/>
      <c r="C119" s="40" t="n"/>
      <c r="D119" s="39" t="n"/>
      <c r="E119" s="40" t="n"/>
      <c r="F119" s="39" t="n"/>
      <c r="G119" s="39" t="n"/>
      <c r="H119" s="39" t="n"/>
      <c r="I119" s="40" t="n"/>
      <c r="J119" s="40" t="n"/>
      <c r="K119" s="39" t="n"/>
      <c r="L119" s="40" t="n"/>
      <c r="M119" s="42" t="n"/>
      <c r="N119" s="42" t="n"/>
      <c r="O119" s="43" t="n"/>
      <c r="P119" s="43" t="n"/>
      <c r="Q119" s="43" t="n"/>
      <c r="R119" s="39" t="n"/>
      <c r="S119" s="39" t="n"/>
      <c r="T119" s="39" t="n"/>
      <c r="U119" s="40" t="n"/>
      <c r="V119" s="40" t="n"/>
      <c r="W119" s="46" t="n"/>
      <c r="X119" s="46" t="n"/>
      <c r="Y119" s="46" t="n"/>
      <c r="Z119" s="40" t="n"/>
      <c r="AA119" s="40" t="n"/>
      <c r="AB119" s="40" t="n"/>
      <c r="AC119" s="40" t="n"/>
      <c r="AD119" s="40" t="n"/>
      <c r="AE119" s="47" t="n"/>
      <c r="AF119" s="40" t="n"/>
      <c r="AG119" s="40" t="n"/>
      <c r="AH119" s="40" t="n"/>
      <c r="AI119" s="40" t="n"/>
      <c r="AJ119" s="47" t="n"/>
      <c r="AK119" s="47" t="n"/>
      <c r="AL119" s="47" t="n"/>
      <c r="AM119" s="40" t="n"/>
      <c r="AN119" s="40" t="n"/>
      <c r="AO119" s="43" t="n"/>
      <c r="AP119" s="39" t="n"/>
      <c r="AQ119" s="39" t="n"/>
      <c r="AR119" s="39" t="n"/>
      <c r="AS119" s="39" t="n"/>
      <c r="AT119" s="39" t="n"/>
      <c r="AU119" s="39" t="n"/>
      <c r="AV119" s="39" t="n"/>
      <c r="AW119" s="39" t="n"/>
    </row>
    <row r="120" ht="23" customHeight="1">
      <c r="A120" s="39" t="n"/>
      <c r="B120" s="39" t="n"/>
      <c r="C120" s="40" t="n"/>
      <c r="D120" s="39" t="n"/>
      <c r="E120" s="40" t="n"/>
      <c r="F120" s="39" t="n"/>
      <c r="G120" s="39" t="n"/>
      <c r="H120" s="39" t="n"/>
      <c r="I120" s="40" t="n"/>
      <c r="J120" s="40" t="n"/>
      <c r="K120" s="39" t="n"/>
      <c r="L120" s="40" t="n"/>
      <c r="M120" s="42" t="n"/>
      <c r="N120" s="42" t="n"/>
      <c r="O120" s="43" t="n"/>
      <c r="P120" s="43" t="n"/>
      <c r="Q120" s="43" t="n"/>
      <c r="R120" s="39" t="n"/>
      <c r="S120" s="39" t="n"/>
      <c r="T120" s="39" t="n"/>
      <c r="U120" s="40" t="n"/>
      <c r="V120" s="40" t="n"/>
      <c r="W120" s="46" t="n"/>
      <c r="X120" s="46" t="n"/>
      <c r="Y120" s="46" t="n"/>
      <c r="Z120" s="40" t="n"/>
      <c r="AA120" s="40" t="n"/>
      <c r="AB120" s="40" t="n"/>
      <c r="AC120" s="40" t="n"/>
      <c r="AD120" s="40" t="n"/>
      <c r="AE120" s="47" t="n"/>
      <c r="AF120" s="40" t="n"/>
      <c r="AG120" s="40" t="n"/>
      <c r="AH120" s="40" t="n"/>
      <c r="AI120" s="40" t="n"/>
      <c r="AJ120" s="47" t="n"/>
      <c r="AK120" s="47" t="n"/>
      <c r="AL120" s="47" t="n"/>
      <c r="AM120" s="40" t="n"/>
      <c r="AN120" s="40" t="n"/>
      <c r="AO120" s="43" t="n"/>
      <c r="AP120" s="39" t="n"/>
      <c r="AQ120" s="39" t="n"/>
      <c r="AR120" s="39" t="n"/>
      <c r="AS120" s="39" t="n"/>
      <c r="AT120" s="39" t="n"/>
      <c r="AU120" s="39" t="n"/>
      <c r="AV120" s="39" t="n"/>
      <c r="AW120" s="39" t="n"/>
    </row>
    <row r="121" ht="23" customHeight="1">
      <c r="A121" s="39" t="n"/>
      <c r="B121" s="39" t="n"/>
      <c r="C121" s="40" t="n"/>
      <c r="D121" s="39" t="n"/>
      <c r="E121" s="40" t="n"/>
      <c r="F121" s="39" t="n"/>
      <c r="G121" s="39" t="n"/>
      <c r="H121" s="39" t="n"/>
      <c r="I121" s="40" t="n"/>
      <c r="J121" s="40" t="n"/>
      <c r="K121" s="39" t="n"/>
      <c r="L121" s="40" t="n"/>
      <c r="M121" s="42" t="n"/>
      <c r="N121" s="42" t="n"/>
      <c r="O121" s="43" t="n"/>
      <c r="P121" s="43" t="n"/>
      <c r="Q121" s="43" t="n"/>
      <c r="R121" s="39" t="n"/>
      <c r="S121" s="39" t="n"/>
      <c r="T121" s="39" t="n"/>
      <c r="U121" s="40" t="n"/>
      <c r="V121" s="40" t="n"/>
      <c r="W121" s="46" t="n"/>
      <c r="X121" s="46" t="n"/>
      <c r="Y121" s="46" t="n"/>
      <c r="Z121" s="40" t="n"/>
      <c r="AA121" s="40" t="n"/>
      <c r="AB121" s="40" t="n"/>
      <c r="AC121" s="40" t="n"/>
      <c r="AD121" s="40" t="n"/>
      <c r="AE121" s="47" t="n"/>
      <c r="AF121" s="40" t="n"/>
      <c r="AG121" s="40" t="n"/>
      <c r="AH121" s="40" t="n"/>
      <c r="AI121" s="40" t="n"/>
      <c r="AJ121" s="47" t="n"/>
      <c r="AK121" s="47" t="n"/>
      <c r="AL121" s="47" t="n"/>
      <c r="AM121" s="40" t="n"/>
      <c r="AN121" s="40" t="n"/>
      <c r="AO121" s="43" t="n"/>
      <c r="AP121" s="39" t="n"/>
      <c r="AQ121" s="39" t="n"/>
      <c r="AR121" s="39" t="n"/>
      <c r="AS121" s="39" t="n"/>
      <c r="AT121" s="39" t="n"/>
      <c r="AU121" s="39" t="n"/>
      <c r="AV121" s="39" t="n"/>
      <c r="AW121" s="39" t="n"/>
    </row>
    <row r="122" ht="23" customHeight="1">
      <c r="A122" s="39" t="n"/>
      <c r="B122" s="39" t="n"/>
      <c r="C122" s="40" t="n"/>
      <c r="D122" s="39" t="n"/>
      <c r="E122" s="40" t="n"/>
      <c r="F122" s="39" t="n"/>
      <c r="G122" s="39" t="n"/>
      <c r="H122" s="39" t="n"/>
      <c r="I122" s="40" t="n"/>
      <c r="J122" s="40" t="n"/>
      <c r="K122" s="39" t="n"/>
      <c r="L122" s="40" t="n"/>
      <c r="M122" s="42" t="n"/>
      <c r="N122" s="42" t="n"/>
      <c r="O122" s="43" t="n"/>
      <c r="P122" s="43" t="n"/>
      <c r="Q122" s="43" t="n"/>
      <c r="R122" s="39" t="n"/>
      <c r="S122" s="39" t="n"/>
      <c r="T122" s="39" t="n"/>
      <c r="U122" s="40" t="n"/>
      <c r="V122" s="40" t="n"/>
      <c r="W122" s="46" t="n"/>
      <c r="X122" s="46" t="n"/>
      <c r="Y122" s="46" t="n"/>
      <c r="Z122" s="40" t="n"/>
      <c r="AA122" s="40" t="n"/>
      <c r="AB122" s="40" t="n"/>
      <c r="AC122" s="40" t="n"/>
      <c r="AD122" s="40" t="n"/>
      <c r="AE122" s="47" t="n"/>
      <c r="AF122" s="40" t="n"/>
      <c r="AG122" s="40" t="n"/>
      <c r="AH122" s="40" t="n"/>
      <c r="AI122" s="40" t="n"/>
      <c r="AJ122" s="47" t="n"/>
      <c r="AK122" s="47" t="n"/>
      <c r="AL122" s="47" t="n"/>
      <c r="AM122" s="40" t="n"/>
      <c r="AN122" s="40" t="n"/>
      <c r="AO122" s="43" t="n"/>
      <c r="AP122" s="39" t="n"/>
      <c r="AQ122" s="39" t="n"/>
      <c r="AR122" s="39" t="n"/>
      <c r="AS122" s="39" t="n"/>
      <c r="AT122" s="39" t="n"/>
      <c r="AU122" s="39" t="n"/>
      <c r="AV122" s="39" t="n"/>
      <c r="AW122" s="39" t="n"/>
    </row>
    <row r="123" ht="23" customHeight="1">
      <c r="A123" s="39" t="n"/>
      <c r="B123" s="39" t="n"/>
      <c r="C123" s="40" t="n"/>
      <c r="D123" s="39" t="n"/>
      <c r="E123" s="40" t="n"/>
      <c r="F123" s="39" t="n"/>
      <c r="G123" s="39" t="n"/>
      <c r="H123" s="39" t="n"/>
      <c r="I123" s="40" t="n"/>
      <c r="J123" s="40" t="n"/>
      <c r="K123" s="39" t="n"/>
      <c r="L123" s="40" t="n"/>
      <c r="M123" s="42" t="n"/>
      <c r="N123" s="42" t="n"/>
      <c r="O123" s="43" t="n"/>
      <c r="P123" s="43" t="n"/>
      <c r="Q123" s="43" t="n"/>
      <c r="R123" s="39" t="n"/>
      <c r="S123" s="39" t="n"/>
      <c r="T123" s="39" t="n"/>
      <c r="U123" s="40" t="n"/>
      <c r="V123" s="40" t="n"/>
      <c r="W123" s="46" t="n"/>
      <c r="X123" s="46" t="n"/>
      <c r="Y123" s="46" t="n"/>
      <c r="Z123" s="40" t="n"/>
      <c r="AA123" s="40" t="n"/>
      <c r="AB123" s="40" t="n"/>
      <c r="AC123" s="40" t="n"/>
      <c r="AD123" s="40" t="n"/>
      <c r="AE123" s="47" t="n"/>
      <c r="AF123" s="40" t="n"/>
      <c r="AG123" s="40" t="n"/>
      <c r="AH123" s="40" t="n"/>
      <c r="AI123" s="40" t="n"/>
      <c r="AJ123" s="47" t="n"/>
      <c r="AK123" s="47" t="n"/>
      <c r="AL123" s="47" t="n"/>
      <c r="AM123" s="40" t="n"/>
      <c r="AN123" s="40" t="n"/>
      <c r="AO123" s="43" t="n"/>
      <c r="AP123" s="39" t="n"/>
      <c r="AQ123" s="39" t="n"/>
      <c r="AR123" s="39" t="n"/>
      <c r="AS123" s="39" t="n"/>
      <c r="AT123" s="39" t="n"/>
      <c r="AU123" s="39" t="n"/>
      <c r="AV123" s="39" t="n"/>
      <c r="AW123" s="39" t="n"/>
    </row>
    <row r="124" ht="23" customHeight="1">
      <c r="A124" s="39" t="n"/>
      <c r="B124" s="39" t="n"/>
      <c r="C124" s="40" t="n"/>
      <c r="D124" s="39" t="n"/>
      <c r="E124" s="40" t="n"/>
      <c r="F124" s="39" t="n"/>
      <c r="G124" s="39" t="n"/>
      <c r="H124" s="39" t="n"/>
      <c r="I124" s="40" t="n"/>
      <c r="J124" s="40" t="n"/>
      <c r="K124" s="39" t="n"/>
      <c r="L124" s="40" t="n"/>
      <c r="M124" s="42" t="n"/>
      <c r="N124" s="42" t="n"/>
      <c r="O124" s="43" t="n"/>
      <c r="P124" s="43" t="n"/>
      <c r="Q124" s="43" t="n"/>
      <c r="R124" s="39" t="n"/>
      <c r="S124" s="39" t="n"/>
      <c r="T124" s="39" t="n"/>
      <c r="U124" s="40" t="n"/>
      <c r="V124" s="40" t="n"/>
      <c r="W124" s="46" t="n"/>
      <c r="X124" s="46" t="n"/>
      <c r="Y124" s="46" t="n"/>
      <c r="Z124" s="40" t="n"/>
      <c r="AA124" s="40" t="n"/>
      <c r="AB124" s="40" t="n"/>
      <c r="AC124" s="40" t="n"/>
      <c r="AD124" s="40" t="n"/>
      <c r="AE124" s="47" t="n"/>
      <c r="AF124" s="40" t="n"/>
      <c r="AG124" s="40" t="n"/>
      <c r="AH124" s="40" t="n"/>
      <c r="AI124" s="40" t="n"/>
      <c r="AJ124" s="47" t="n"/>
      <c r="AK124" s="47" t="n"/>
      <c r="AL124" s="47" t="n"/>
      <c r="AM124" s="40" t="n"/>
      <c r="AN124" s="40" t="n"/>
      <c r="AO124" s="43" t="n"/>
      <c r="AP124" s="39" t="n"/>
      <c r="AQ124" s="39" t="n"/>
      <c r="AR124" s="39" t="n"/>
      <c r="AS124" s="39" t="n"/>
      <c r="AT124" s="39" t="n"/>
      <c r="AU124" s="39" t="n"/>
      <c r="AV124" s="39" t="n"/>
      <c r="AW124" s="39" t="n"/>
    </row>
    <row r="125" ht="23" customHeight="1">
      <c r="A125" s="39" t="n"/>
      <c r="B125" s="39" t="n"/>
      <c r="C125" s="40" t="n"/>
      <c r="D125" s="39" t="n"/>
      <c r="E125" s="40" t="n"/>
      <c r="F125" s="39" t="n"/>
      <c r="G125" s="39" t="n"/>
      <c r="H125" s="39" t="n"/>
      <c r="I125" s="40" t="n"/>
      <c r="J125" s="40" t="n"/>
      <c r="K125" s="39" t="n"/>
      <c r="L125" s="40" t="n"/>
      <c r="M125" s="42" t="n"/>
      <c r="N125" s="42" t="n"/>
      <c r="O125" s="43" t="n"/>
      <c r="P125" s="43" t="n"/>
      <c r="Q125" s="43" t="n"/>
      <c r="R125" s="39" t="n"/>
      <c r="S125" s="39" t="n"/>
      <c r="T125" s="39" t="n"/>
      <c r="U125" s="40" t="n"/>
      <c r="V125" s="40" t="n"/>
      <c r="W125" s="46" t="n"/>
      <c r="X125" s="46" t="n"/>
      <c r="Y125" s="46" t="n"/>
      <c r="Z125" s="40" t="n"/>
      <c r="AA125" s="40" t="n"/>
      <c r="AB125" s="40" t="n"/>
      <c r="AC125" s="40" t="n"/>
      <c r="AD125" s="40" t="n"/>
      <c r="AE125" s="47" t="n"/>
      <c r="AF125" s="40" t="n"/>
      <c r="AG125" s="40" t="n"/>
      <c r="AH125" s="40" t="n"/>
      <c r="AI125" s="40" t="n"/>
      <c r="AJ125" s="47" t="n"/>
      <c r="AK125" s="47" t="n"/>
      <c r="AL125" s="47" t="n"/>
      <c r="AM125" s="40" t="n"/>
      <c r="AN125" s="40" t="n"/>
      <c r="AO125" s="43" t="n"/>
      <c r="AP125" s="39" t="n"/>
      <c r="AQ125" s="39" t="n"/>
      <c r="AR125" s="39" t="n"/>
      <c r="AS125" s="39" t="n"/>
      <c r="AT125" s="39" t="n"/>
      <c r="AU125" s="39" t="n"/>
      <c r="AV125" s="39" t="n"/>
      <c r="AW125" s="39" t="n"/>
    </row>
    <row r="126" ht="23" customHeight="1">
      <c r="A126" s="39" t="n"/>
      <c r="B126" s="39" t="n"/>
      <c r="C126" s="40" t="n"/>
      <c r="D126" s="39" t="n"/>
      <c r="E126" s="40" t="n"/>
      <c r="F126" s="39" t="n"/>
      <c r="G126" s="39" t="n"/>
      <c r="H126" s="39" t="n"/>
      <c r="I126" s="40" t="n"/>
      <c r="J126" s="40" t="n"/>
      <c r="K126" s="39" t="n"/>
      <c r="L126" s="40" t="n"/>
      <c r="M126" s="42" t="n"/>
      <c r="N126" s="42" t="n"/>
      <c r="O126" s="43" t="n"/>
      <c r="P126" s="43" t="n"/>
      <c r="Q126" s="43" t="n"/>
      <c r="R126" s="39" t="n"/>
      <c r="S126" s="39" t="n"/>
      <c r="T126" s="39" t="n"/>
      <c r="U126" s="40" t="n"/>
      <c r="V126" s="40" t="n"/>
      <c r="W126" s="46" t="n"/>
      <c r="X126" s="46" t="n"/>
      <c r="Y126" s="46" t="n"/>
      <c r="Z126" s="40" t="n"/>
      <c r="AA126" s="40" t="n"/>
      <c r="AB126" s="40" t="n"/>
      <c r="AC126" s="40" t="n"/>
      <c r="AD126" s="40" t="n"/>
      <c r="AE126" s="47" t="n"/>
      <c r="AF126" s="40" t="n"/>
      <c r="AG126" s="40" t="n"/>
      <c r="AH126" s="40" t="n"/>
      <c r="AI126" s="40" t="n"/>
      <c r="AJ126" s="47" t="n"/>
      <c r="AK126" s="47" t="n"/>
      <c r="AL126" s="47" t="n"/>
      <c r="AM126" s="40" t="n"/>
      <c r="AN126" s="40" t="n"/>
      <c r="AO126" s="43" t="n"/>
      <c r="AP126" s="39" t="n"/>
      <c r="AQ126" s="39" t="n"/>
      <c r="AR126" s="39" t="n"/>
      <c r="AS126" s="39" t="n"/>
      <c r="AT126" s="39" t="n"/>
      <c r="AU126" s="39" t="n"/>
      <c r="AV126" s="39" t="n"/>
      <c r="AW126" s="39" t="n"/>
    </row>
    <row r="127" ht="23" customHeight="1">
      <c r="A127" s="39" t="n"/>
      <c r="B127" s="39" t="n"/>
      <c r="C127" s="40" t="n"/>
      <c r="D127" s="39" t="n"/>
      <c r="E127" s="40" t="n"/>
      <c r="F127" s="39" t="n"/>
      <c r="G127" s="39" t="n"/>
      <c r="H127" s="39" t="n"/>
      <c r="I127" s="40" t="n"/>
      <c r="J127" s="40" t="n"/>
      <c r="K127" s="39" t="n"/>
      <c r="L127" s="40" t="n"/>
      <c r="M127" s="42" t="n"/>
      <c r="N127" s="42" t="n"/>
      <c r="O127" s="43" t="n"/>
      <c r="P127" s="43" t="n"/>
      <c r="Q127" s="43" t="n"/>
      <c r="R127" s="39" t="n"/>
      <c r="S127" s="39" t="n"/>
      <c r="T127" s="39" t="n"/>
      <c r="U127" s="40" t="n"/>
      <c r="V127" s="40" t="n"/>
      <c r="W127" s="46" t="n"/>
      <c r="X127" s="46" t="n"/>
      <c r="Y127" s="46" t="n"/>
      <c r="Z127" s="40" t="n"/>
      <c r="AA127" s="40" t="n"/>
      <c r="AB127" s="40" t="n"/>
      <c r="AC127" s="40" t="n"/>
      <c r="AD127" s="40" t="n"/>
      <c r="AE127" s="47" t="n"/>
      <c r="AF127" s="40" t="n"/>
      <c r="AG127" s="40" t="n"/>
      <c r="AH127" s="40" t="n"/>
      <c r="AI127" s="40" t="n"/>
      <c r="AJ127" s="47" t="n"/>
      <c r="AK127" s="47" t="n"/>
      <c r="AL127" s="47" t="n"/>
      <c r="AM127" s="40" t="n"/>
      <c r="AN127" s="40" t="n"/>
      <c r="AO127" s="43" t="n"/>
      <c r="AP127" s="39" t="n"/>
      <c r="AQ127" s="39" t="n"/>
      <c r="AR127" s="39" t="n"/>
      <c r="AS127" s="39" t="n"/>
      <c r="AT127" s="39" t="n"/>
      <c r="AU127" s="39" t="n"/>
      <c r="AV127" s="39" t="n"/>
      <c r="AW127" s="39" t="n"/>
    </row>
    <row r="128" ht="23" customHeight="1">
      <c r="A128" s="39" t="n"/>
      <c r="B128" s="39" t="n"/>
      <c r="C128" s="40" t="n"/>
      <c r="D128" s="39" t="n"/>
      <c r="E128" s="40" t="n"/>
      <c r="F128" s="39" t="n"/>
      <c r="G128" s="39" t="n"/>
      <c r="H128" s="39" t="n"/>
      <c r="I128" s="40" t="n"/>
      <c r="J128" s="40" t="n"/>
      <c r="K128" s="39" t="n"/>
      <c r="L128" s="40" t="n"/>
      <c r="M128" s="42" t="n"/>
      <c r="N128" s="42" t="n"/>
      <c r="O128" s="43" t="n"/>
      <c r="P128" s="43" t="n"/>
      <c r="Q128" s="43" t="n"/>
      <c r="R128" s="39" t="n"/>
      <c r="S128" s="39" t="n"/>
      <c r="T128" s="39" t="n"/>
      <c r="U128" s="40" t="n"/>
      <c r="V128" s="40" t="n"/>
      <c r="W128" s="46" t="n"/>
      <c r="X128" s="46" t="n"/>
      <c r="Y128" s="46" t="n"/>
      <c r="Z128" s="40" t="n"/>
      <c r="AA128" s="40" t="n"/>
      <c r="AB128" s="40" t="n"/>
      <c r="AC128" s="40" t="n"/>
      <c r="AD128" s="40" t="n"/>
      <c r="AE128" s="47" t="n"/>
      <c r="AF128" s="40" t="n"/>
      <c r="AG128" s="40" t="n"/>
      <c r="AH128" s="40" t="n"/>
      <c r="AI128" s="40" t="n"/>
      <c r="AJ128" s="47" t="n"/>
      <c r="AK128" s="47" t="n"/>
      <c r="AL128" s="47" t="n"/>
      <c r="AM128" s="40" t="n"/>
      <c r="AN128" s="40" t="n"/>
      <c r="AO128" s="43" t="n"/>
      <c r="AP128" s="39" t="n"/>
      <c r="AQ128" s="39" t="n"/>
      <c r="AR128" s="39" t="n"/>
      <c r="AS128" s="39" t="n"/>
      <c r="AT128" s="39" t="n"/>
      <c r="AU128" s="39" t="n"/>
      <c r="AV128" s="39" t="n"/>
      <c r="AW128" s="39" t="n"/>
    </row>
    <row r="129" ht="23" customHeight="1">
      <c r="A129" s="39" t="n"/>
      <c r="B129" s="39" t="n"/>
      <c r="C129" s="40" t="n"/>
      <c r="D129" s="39" t="n"/>
      <c r="E129" s="40" t="n"/>
      <c r="F129" s="39" t="n"/>
      <c r="G129" s="39" t="n"/>
      <c r="H129" s="39" t="n"/>
      <c r="I129" s="40" t="n"/>
      <c r="J129" s="40" t="n"/>
      <c r="K129" s="39" t="n"/>
      <c r="L129" s="40" t="n"/>
      <c r="M129" s="42" t="n"/>
      <c r="N129" s="42" t="n"/>
      <c r="O129" s="43" t="n"/>
      <c r="P129" s="43" t="n"/>
      <c r="Q129" s="43" t="n"/>
      <c r="R129" s="39" t="n"/>
      <c r="S129" s="39" t="n"/>
      <c r="T129" s="39" t="n"/>
      <c r="U129" s="40" t="n"/>
      <c r="V129" s="40" t="n"/>
      <c r="W129" s="46" t="n"/>
      <c r="X129" s="46" t="n"/>
      <c r="Y129" s="46" t="n"/>
      <c r="Z129" s="40" t="n"/>
      <c r="AA129" s="40" t="n"/>
      <c r="AB129" s="40" t="n"/>
      <c r="AC129" s="40" t="n"/>
      <c r="AD129" s="40" t="n"/>
      <c r="AE129" s="47" t="n"/>
      <c r="AF129" s="40" t="n"/>
      <c r="AG129" s="40" t="n"/>
      <c r="AH129" s="40" t="n"/>
      <c r="AI129" s="40" t="n"/>
      <c r="AJ129" s="47" t="n"/>
      <c r="AK129" s="47" t="n"/>
      <c r="AL129" s="47" t="n"/>
      <c r="AM129" s="40" t="n"/>
      <c r="AN129" s="40" t="n"/>
      <c r="AO129" s="43" t="n"/>
      <c r="AP129" s="39" t="n"/>
      <c r="AQ129" s="39" t="n"/>
      <c r="AR129" s="39" t="n"/>
      <c r="AS129" s="39" t="n"/>
      <c r="AT129" s="39" t="n"/>
      <c r="AU129" s="39" t="n"/>
      <c r="AV129" s="39" t="n"/>
      <c r="AW129" s="39" t="n"/>
    </row>
    <row r="130" ht="23" customHeight="1">
      <c r="A130" s="39" t="n"/>
      <c r="B130" s="39" t="n"/>
      <c r="C130" s="40" t="n"/>
      <c r="D130" s="39" t="n"/>
      <c r="E130" s="40" t="n"/>
      <c r="F130" s="39" t="n"/>
      <c r="G130" s="39" t="n"/>
      <c r="H130" s="39" t="n"/>
      <c r="I130" s="40" t="n"/>
      <c r="J130" s="40" t="n"/>
      <c r="K130" s="39" t="n"/>
      <c r="L130" s="40" t="n"/>
      <c r="M130" s="42" t="n"/>
      <c r="N130" s="42" t="n"/>
      <c r="O130" s="43" t="n"/>
      <c r="P130" s="43" t="n"/>
      <c r="Q130" s="43" t="n"/>
      <c r="R130" s="39" t="n"/>
      <c r="S130" s="39" t="n"/>
      <c r="T130" s="39" t="n"/>
      <c r="U130" s="40" t="n"/>
      <c r="V130" s="40" t="n"/>
      <c r="W130" s="46" t="n"/>
      <c r="X130" s="46" t="n"/>
      <c r="Y130" s="46" t="n"/>
      <c r="Z130" s="40" t="n"/>
      <c r="AA130" s="40" t="n"/>
      <c r="AB130" s="40" t="n"/>
      <c r="AC130" s="40" t="n"/>
      <c r="AD130" s="40" t="n"/>
      <c r="AE130" s="47" t="n"/>
      <c r="AF130" s="40" t="n"/>
      <c r="AG130" s="40" t="n"/>
      <c r="AH130" s="40" t="n"/>
      <c r="AI130" s="40" t="n"/>
      <c r="AJ130" s="47" t="n"/>
      <c r="AK130" s="47" t="n"/>
      <c r="AL130" s="47" t="n"/>
      <c r="AM130" s="40" t="n"/>
      <c r="AN130" s="40" t="n"/>
      <c r="AO130" s="43" t="n"/>
      <c r="AP130" s="39" t="n"/>
      <c r="AQ130" s="39" t="n"/>
      <c r="AR130" s="39" t="n"/>
      <c r="AS130" s="39" t="n"/>
      <c r="AT130" s="39" t="n"/>
      <c r="AU130" s="39" t="n"/>
      <c r="AV130" s="39" t="n"/>
      <c r="AW130" s="39" t="n"/>
    </row>
    <row r="131" ht="23" customHeight="1">
      <c r="A131" s="39" t="n"/>
      <c r="B131" s="39" t="n"/>
      <c r="C131" s="40" t="n"/>
      <c r="D131" s="39" t="n"/>
      <c r="E131" s="40" t="n"/>
      <c r="F131" s="39" t="n"/>
      <c r="G131" s="39" t="n"/>
      <c r="H131" s="39" t="n"/>
      <c r="I131" s="40" t="n"/>
      <c r="J131" s="40" t="n"/>
      <c r="K131" s="39" t="n"/>
      <c r="L131" s="40" t="n"/>
      <c r="M131" s="42" t="n"/>
      <c r="N131" s="42" t="n"/>
      <c r="O131" s="43" t="n"/>
      <c r="P131" s="43" t="n"/>
      <c r="Q131" s="43" t="n"/>
      <c r="R131" s="39" t="n"/>
      <c r="S131" s="39" t="n"/>
      <c r="T131" s="39" t="n"/>
      <c r="U131" s="40" t="n"/>
      <c r="V131" s="40" t="n"/>
      <c r="W131" s="46" t="n"/>
      <c r="X131" s="46" t="n"/>
      <c r="Y131" s="46" t="n"/>
      <c r="Z131" s="40" t="n"/>
      <c r="AA131" s="40" t="n"/>
      <c r="AB131" s="40" t="n"/>
      <c r="AC131" s="40" t="n"/>
      <c r="AD131" s="40" t="n"/>
      <c r="AE131" s="47" t="n"/>
      <c r="AF131" s="40" t="n"/>
      <c r="AG131" s="40" t="n"/>
      <c r="AH131" s="40" t="n"/>
      <c r="AI131" s="40" t="n"/>
      <c r="AJ131" s="47" t="n"/>
      <c r="AK131" s="47" t="n"/>
      <c r="AL131" s="47" t="n"/>
      <c r="AM131" s="40" t="n"/>
      <c r="AN131" s="40" t="n"/>
      <c r="AO131" s="43" t="n"/>
      <c r="AP131" s="39" t="n"/>
      <c r="AQ131" s="39" t="n"/>
      <c r="AR131" s="39" t="n"/>
      <c r="AS131" s="39" t="n"/>
      <c r="AT131" s="39" t="n"/>
      <c r="AU131" s="39" t="n"/>
      <c r="AV131" s="39" t="n"/>
      <c r="AW131" s="39" t="n"/>
    </row>
    <row r="132" ht="23" customHeight="1">
      <c r="A132" s="39" t="n"/>
      <c r="B132" s="39" t="n"/>
      <c r="C132" s="40" t="n"/>
      <c r="D132" s="39" t="n"/>
      <c r="E132" s="40" t="n"/>
      <c r="F132" s="39" t="n"/>
      <c r="G132" s="39" t="n"/>
      <c r="H132" s="39" t="n"/>
      <c r="I132" s="40" t="n"/>
      <c r="J132" s="40" t="n"/>
      <c r="K132" s="39" t="n"/>
      <c r="L132" s="40" t="n"/>
      <c r="M132" s="42" t="n"/>
      <c r="N132" s="42" t="n"/>
      <c r="O132" s="43" t="n"/>
      <c r="P132" s="43" t="n"/>
      <c r="Q132" s="43" t="n"/>
      <c r="R132" s="39" t="n"/>
      <c r="S132" s="39" t="n"/>
      <c r="T132" s="39" t="n"/>
      <c r="U132" s="40" t="n"/>
      <c r="V132" s="40" t="n"/>
      <c r="W132" s="46" t="n"/>
      <c r="X132" s="46" t="n"/>
      <c r="Y132" s="46" t="n"/>
      <c r="Z132" s="40" t="n"/>
      <c r="AA132" s="40" t="n"/>
      <c r="AB132" s="40" t="n"/>
      <c r="AC132" s="40" t="n"/>
      <c r="AD132" s="40" t="n"/>
      <c r="AE132" s="47" t="n"/>
      <c r="AF132" s="40" t="n"/>
      <c r="AG132" s="40" t="n"/>
      <c r="AH132" s="40" t="n"/>
      <c r="AI132" s="40" t="n"/>
      <c r="AJ132" s="47" t="n"/>
      <c r="AK132" s="47" t="n"/>
      <c r="AL132" s="47" t="n"/>
      <c r="AM132" s="40" t="n"/>
      <c r="AN132" s="40" t="n"/>
      <c r="AO132" s="43" t="n"/>
      <c r="AP132" s="39" t="n"/>
      <c r="AQ132" s="39" t="n"/>
      <c r="AR132" s="39" t="n"/>
      <c r="AS132" s="39" t="n"/>
      <c r="AT132" s="39" t="n"/>
      <c r="AU132" s="39" t="n"/>
      <c r="AV132" s="39" t="n"/>
      <c r="AW132" s="39" t="n"/>
    </row>
    <row r="133" ht="23" customHeight="1">
      <c r="A133" s="39" t="n"/>
      <c r="B133" s="39" t="n"/>
      <c r="C133" s="40" t="n"/>
      <c r="D133" s="39" t="n"/>
      <c r="E133" s="40" t="n"/>
      <c r="F133" s="39" t="n"/>
      <c r="G133" s="39" t="n"/>
      <c r="H133" s="39" t="n"/>
      <c r="I133" s="40" t="n"/>
      <c r="J133" s="40" t="n"/>
      <c r="K133" s="39" t="n"/>
      <c r="L133" s="40" t="n"/>
      <c r="M133" s="42" t="n"/>
      <c r="N133" s="42" t="n"/>
      <c r="O133" s="43" t="n"/>
      <c r="P133" s="43" t="n"/>
      <c r="Q133" s="43" t="n"/>
      <c r="R133" s="39" t="n"/>
      <c r="S133" s="39" t="n"/>
      <c r="T133" s="39" t="n"/>
      <c r="U133" s="40" t="n"/>
      <c r="V133" s="40" t="n"/>
      <c r="W133" s="46" t="n"/>
      <c r="X133" s="46" t="n"/>
      <c r="Y133" s="46" t="n"/>
      <c r="Z133" s="40" t="n"/>
      <c r="AA133" s="40" t="n"/>
      <c r="AB133" s="40" t="n"/>
      <c r="AC133" s="40" t="n"/>
      <c r="AD133" s="40" t="n"/>
      <c r="AE133" s="47" t="n"/>
      <c r="AF133" s="40" t="n"/>
      <c r="AG133" s="40" t="n"/>
      <c r="AH133" s="40" t="n"/>
      <c r="AI133" s="40" t="n"/>
      <c r="AJ133" s="47" t="n"/>
      <c r="AK133" s="47" t="n"/>
      <c r="AL133" s="47" t="n"/>
      <c r="AM133" s="40" t="n"/>
      <c r="AN133" s="40" t="n"/>
      <c r="AO133" s="43" t="n"/>
      <c r="AP133" s="39" t="n"/>
      <c r="AQ133" s="39" t="n"/>
      <c r="AR133" s="39" t="n"/>
      <c r="AS133" s="39" t="n"/>
      <c r="AT133" s="39" t="n"/>
      <c r="AU133" s="39" t="n"/>
      <c r="AV133" s="39" t="n"/>
      <c r="AW133" s="39" t="n"/>
    </row>
    <row r="134" ht="23" customHeight="1">
      <c r="A134" s="39" t="n"/>
      <c r="B134" s="39" t="n"/>
      <c r="C134" s="40" t="n"/>
      <c r="D134" s="39" t="n"/>
      <c r="E134" s="40" t="n"/>
      <c r="F134" s="39" t="n"/>
      <c r="G134" s="39" t="n"/>
      <c r="H134" s="39" t="n"/>
      <c r="I134" s="40" t="n"/>
      <c r="J134" s="40" t="n"/>
      <c r="K134" s="39" t="n"/>
      <c r="L134" s="40" t="n"/>
      <c r="M134" s="42" t="n"/>
      <c r="N134" s="42" t="n"/>
      <c r="O134" s="43" t="n"/>
      <c r="P134" s="43" t="n"/>
      <c r="Q134" s="43" t="n"/>
      <c r="R134" s="39" t="n"/>
      <c r="S134" s="39" t="n"/>
      <c r="T134" s="39" t="n"/>
      <c r="U134" s="40" t="n"/>
      <c r="V134" s="40" t="n"/>
      <c r="W134" s="46" t="n"/>
      <c r="X134" s="46" t="n"/>
      <c r="Y134" s="46" t="n"/>
      <c r="Z134" s="40" t="n"/>
      <c r="AA134" s="40" t="n"/>
      <c r="AB134" s="40" t="n"/>
      <c r="AC134" s="40" t="n"/>
      <c r="AD134" s="40" t="n"/>
      <c r="AE134" s="47" t="n"/>
      <c r="AF134" s="40" t="n"/>
      <c r="AG134" s="40" t="n"/>
      <c r="AH134" s="40" t="n"/>
      <c r="AI134" s="40" t="n"/>
      <c r="AJ134" s="47" t="n"/>
      <c r="AK134" s="47" t="n"/>
      <c r="AL134" s="47" t="n"/>
      <c r="AM134" s="40" t="n"/>
      <c r="AN134" s="40" t="n"/>
      <c r="AO134" s="43" t="n"/>
      <c r="AP134" s="39" t="n"/>
      <c r="AQ134" s="39" t="n"/>
      <c r="AR134" s="39" t="n"/>
      <c r="AS134" s="39" t="n"/>
      <c r="AT134" s="39" t="n"/>
      <c r="AU134" s="39" t="n"/>
      <c r="AV134" s="39" t="n"/>
      <c r="AW134" s="39" t="n"/>
    </row>
    <row r="135" ht="23" customHeight="1">
      <c r="A135" s="39" t="n"/>
      <c r="B135" s="39" t="n"/>
      <c r="C135" s="40" t="n"/>
      <c r="D135" s="39" t="n"/>
      <c r="E135" s="40" t="n"/>
      <c r="F135" s="39" t="n"/>
      <c r="G135" s="39" t="n"/>
      <c r="H135" s="39" t="n"/>
      <c r="I135" s="40" t="n"/>
      <c r="J135" s="40" t="n"/>
      <c r="K135" s="39" t="n"/>
      <c r="L135" s="40" t="n"/>
      <c r="M135" s="42" t="n"/>
      <c r="N135" s="42" t="n"/>
      <c r="O135" s="43" t="n"/>
      <c r="P135" s="43" t="n"/>
      <c r="Q135" s="43" t="n"/>
      <c r="R135" s="39" t="n"/>
      <c r="S135" s="39" t="n"/>
      <c r="T135" s="39" t="n"/>
      <c r="U135" s="40" t="n"/>
      <c r="V135" s="40" t="n"/>
      <c r="W135" s="46" t="n"/>
      <c r="X135" s="46" t="n"/>
      <c r="Y135" s="46" t="n"/>
      <c r="Z135" s="40" t="n"/>
      <c r="AA135" s="40" t="n"/>
      <c r="AB135" s="40" t="n"/>
      <c r="AC135" s="40" t="n"/>
      <c r="AD135" s="40" t="n"/>
      <c r="AE135" s="47" t="n"/>
      <c r="AF135" s="40" t="n"/>
      <c r="AG135" s="40" t="n"/>
      <c r="AH135" s="40" t="n"/>
      <c r="AI135" s="40" t="n"/>
      <c r="AJ135" s="47" t="n"/>
      <c r="AK135" s="47" t="n"/>
      <c r="AL135" s="47" t="n"/>
      <c r="AM135" s="40" t="n"/>
      <c r="AN135" s="40" t="n"/>
      <c r="AO135" s="43" t="n"/>
      <c r="AP135" s="39" t="n"/>
      <c r="AQ135" s="39" t="n"/>
      <c r="AR135" s="39" t="n"/>
      <c r="AS135" s="39" t="n"/>
      <c r="AT135" s="39" t="n"/>
      <c r="AU135" s="39" t="n"/>
      <c r="AV135" s="39" t="n"/>
      <c r="AW135" s="39" t="n"/>
    </row>
    <row r="136" ht="23" customHeight="1">
      <c r="A136" s="39" t="n"/>
      <c r="B136" s="39" t="n"/>
      <c r="C136" s="40" t="n"/>
      <c r="D136" s="39" t="n"/>
      <c r="E136" s="40" t="n"/>
      <c r="F136" s="39" t="n"/>
      <c r="G136" s="39" t="n"/>
      <c r="H136" s="39" t="n"/>
      <c r="I136" s="40" t="n"/>
      <c r="J136" s="40" t="n"/>
      <c r="K136" s="39" t="n"/>
      <c r="L136" s="40" t="n"/>
      <c r="M136" s="42" t="n"/>
      <c r="N136" s="42" t="n"/>
      <c r="O136" s="43" t="n"/>
      <c r="P136" s="43" t="n"/>
      <c r="Q136" s="43" t="n"/>
      <c r="R136" s="39" t="n"/>
      <c r="S136" s="39" t="n"/>
      <c r="T136" s="39" t="n"/>
      <c r="U136" s="40" t="n"/>
      <c r="V136" s="40" t="n"/>
      <c r="W136" s="46" t="n"/>
      <c r="X136" s="46" t="n"/>
      <c r="Y136" s="46" t="n"/>
      <c r="Z136" s="40" t="n"/>
      <c r="AA136" s="40" t="n"/>
      <c r="AB136" s="40" t="n"/>
      <c r="AC136" s="40" t="n"/>
      <c r="AD136" s="40" t="n"/>
      <c r="AE136" s="47" t="n"/>
      <c r="AF136" s="40" t="n"/>
      <c r="AG136" s="40" t="n"/>
      <c r="AH136" s="40" t="n"/>
      <c r="AI136" s="40" t="n"/>
      <c r="AJ136" s="47" t="n"/>
      <c r="AK136" s="47" t="n"/>
      <c r="AL136" s="47" t="n"/>
      <c r="AM136" s="40" t="n"/>
      <c r="AN136" s="40" t="n"/>
      <c r="AO136" s="43" t="n"/>
      <c r="AP136" s="39" t="n"/>
      <c r="AQ136" s="39" t="n"/>
      <c r="AR136" s="39" t="n"/>
      <c r="AS136" s="39" t="n"/>
      <c r="AT136" s="39" t="n"/>
      <c r="AU136" s="39" t="n"/>
      <c r="AV136" s="39" t="n"/>
      <c r="AW136" s="39" t="n"/>
    </row>
    <row r="137" ht="23" customHeight="1">
      <c r="A137" s="39" t="n"/>
      <c r="B137" s="39" t="n"/>
      <c r="C137" s="40" t="n"/>
      <c r="D137" s="39" t="n"/>
      <c r="E137" s="40" t="n"/>
      <c r="F137" s="39" t="n"/>
      <c r="G137" s="39" t="n"/>
      <c r="H137" s="39" t="n"/>
      <c r="I137" s="40" t="n"/>
      <c r="J137" s="40" t="n"/>
      <c r="K137" s="39" t="n"/>
      <c r="L137" s="40" t="n"/>
      <c r="M137" s="42" t="n"/>
      <c r="N137" s="42" t="n"/>
      <c r="O137" s="43" t="n"/>
      <c r="P137" s="43" t="n"/>
      <c r="Q137" s="43" t="n"/>
      <c r="R137" s="39" t="n"/>
      <c r="S137" s="39" t="n"/>
      <c r="T137" s="39" t="n"/>
      <c r="U137" s="40" t="n"/>
      <c r="V137" s="40" t="n"/>
      <c r="W137" s="46" t="n"/>
      <c r="X137" s="46" t="n"/>
      <c r="Y137" s="46" t="n"/>
      <c r="Z137" s="40" t="n"/>
      <c r="AA137" s="40" t="n"/>
      <c r="AB137" s="40" t="n"/>
      <c r="AC137" s="40" t="n"/>
      <c r="AD137" s="40" t="n"/>
      <c r="AE137" s="47" t="n"/>
      <c r="AF137" s="40" t="n"/>
      <c r="AG137" s="40" t="n"/>
      <c r="AH137" s="40" t="n"/>
      <c r="AI137" s="40" t="n"/>
      <c r="AJ137" s="47" t="n"/>
      <c r="AK137" s="47" t="n"/>
      <c r="AL137" s="47" t="n"/>
      <c r="AM137" s="40" t="n"/>
      <c r="AN137" s="40" t="n"/>
      <c r="AO137" s="43" t="n"/>
      <c r="AP137" s="39" t="n"/>
      <c r="AQ137" s="39" t="n"/>
      <c r="AR137" s="39" t="n"/>
      <c r="AS137" s="39" t="n"/>
      <c r="AT137" s="39" t="n"/>
      <c r="AU137" s="39" t="n"/>
      <c r="AV137" s="39" t="n"/>
      <c r="AW137" s="39" t="n"/>
    </row>
    <row r="138" ht="23" customHeight="1">
      <c r="A138" s="39" t="n"/>
      <c r="B138" s="39" t="n"/>
      <c r="C138" s="40" t="n"/>
      <c r="D138" s="39" t="n"/>
      <c r="E138" s="40" t="n"/>
      <c r="F138" s="39" t="n"/>
      <c r="G138" s="39" t="n"/>
      <c r="H138" s="39" t="n"/>
      <c r="I138" s="40" t="n"/>
      <c r="J138" s="40" t="n"/>
      <c r="K138" s="39" t="n"/>
      <c r="L138" s="40" t="n"/>
      <c r="M138" s="42" t="n"/>
      <c r="N138" s="42" t="n"/>
      <c r="O138" s="43" t="n"/>
      <c r="P138" s="43" t="n"/>
      <c r="Q138" s="43" t="n"/>
      <c r="R138" s="39" t="n"/>
      <c r="S138" s="39" t="n"/>
      <c r="T138" s="39" t="n"/>
      <c r="U138" s="40" t="n"/>
      <c r="V138" s="40" t="n"/>
      <c r="W138" s="46" t="n"/>
      <c r="X138" s="46" t="n"/>
      <c r="Y138" s="46" t="n"/>
      <c r="Z138" s="40" t="n"/>
      <c r="AA138" s="40" t="n"/>
      <c r="AB138" s="40" t="n"/>
      <c r="AC138" s="40" t="n"/>
      <c r="AD138" s="40" t="n"/>
      <c r="AE138" s="47" t="n"/>
      <c r="AF138" s="40" t="n"/>
      <c r="AG138" s="40" t="n"/>
      <c r="AH138" s="40" t="n"/>
      <c r="AI138" s="40" t="n"/>
      <c r="AJ138" s="47" t="n"/>
      <c r="AK138" s="47" t="n"/>
      <c r="AL138" s="47" t="n"/>
      <c r="AM138" s="40" t="n"/>
      <c r="AN138" s="40" t="n"/>
      <c r="AO138" s="43" t="n"/>
      <c r="AP138" s="39" t="n"/>
      <c r="AQ138" s="39" t="n"/>
      <c r="AR138" s="39" t="n"/>
      <c r="AS138" s="39" t="n"/>
      <c r="AT138" s="39" t="n"/>
      <c r="AU138" s="39" t="n"/>
      <c r="AV138" s="39" t="n"/>
      <c r="AW138" s="39" t="n"/>
    </row>
    <row r="139" ht="23" customHeight="1">
      <c r="A139" s="39" t="n"/>
      <c r="B139" s="39" t="n"/>
      <c r="C139" s="40" t="n"/>
      <c r="D139" s="39" t="n"/>
      <c r="E139" s="40" t="n"/>
      <c r="F139" s="39" t="n"/>
      <c r="G139" s="39" t="n"/>
      <c r="H139" s="39" t="n"/>
      <c r="I139" s="40" t="n"/>
      <c r="J139" s="40" t="n"/>
      <c r="K139" s="39" t="n"/>
      <c r="L139" s="40" t="n"/>
      <c r="M139" s="42" t="n"/>
      <c r="N139" s="42" t="n"/>
      <c r="O139" s="43" t="n"/>
      <c r="P139" s="43" t="n"/>
      <c r="Q139" s="43" t="n"/>
      <c r="R139" s="39" t="n"/>
      <c r="S139" s="39" t="n"/>
      <c r="T139" s="39" t="n"/>
      <c r="U139" s="40" t="n"/>
      <c r="V139" s="40" t="n"/>
      <c r="W139" s="46" t="n"/>
      <c r="X139" s="46" t="n"/>
      <c r="Y139" s="46" t="n"/>
      <c r="Z139" s="40" t="n"/>
      <c r="AA139" s="40" t="n"/>
      <c r="AB139" s="40" t="n"/>
      <c r="AC139" s="40" t="n"/>
      <c r="AD139" s="40" t="n"/>
      <c r="AE139" s="47" t="n"/>
      <c r="AF139" s="40" t="n"/>
      <c r="AG139" s="40" t="n"/>
      <c r="AH139" s="40" t="n"/>
      <c r="AI139" s="40" t="n"/>
      <c r="AJ139" s="47" t="n"/>
      <c r="AK139" s="47" t="n"/>
      <c r="AL139" s="47" t="n"/>
      <c r="AM139" s="40" t="n"/>
      <c r="AN139" s="40" t="n"/>
      <c r="AO139" s="43" t="n"/>
      <c r="AP139" s="39" t="n"/>
      <c r="AQ139" s="39" t="n"/>
      <c r="AR139" s="39" t="n"/>
      <c r="AS139" s="39" t="n"/>
      <c r="AT139" s="39" t="n"/>
      <c r="AU139" s="39" t="n"/>
      <c r="AV139" s="39" t="n"/>
      <c r="AW139" s="39" t="n"/>
    </row>
    <row r="140" ht="23" customHeight="1">
      <c r="A140" s="39" t="n"/>
      <c r="B140" s="39" t="n"/>
      <c r="C140" s="40" t="n"/>
      <c r="D140" s="39" t="n"/>
      <c r="E140" s="40" t="n"/>
      <c r="F140" s="39" t="n"/>
      <c r="G140" s="39" t="n"/>
      <c r="H140" s="39" t="n"/>
      <c r="I140" s="40" t="n"/>
      <c r="J140" s="40" t="n"/>
      <c r="K140" s="39" t="n"/>
      <c r="L140" s="40" t="n"/>
      <c r="M140" s="42" t="n"/>
      <c r="N140" s="42" t="n"/>
      <c r="O140" s="43" t="n"/>
      <c r="P140" s="43" t="n"/>
      <c r="Q140" s="43" t="n"/>
      <c r="R140" s="39" t="n"/>
      <c r="S140" s="39" t="n"/>
      <c r="T140" s="39" t="n"/>
      <c r="U140" s="40" t="n"/>
      <c r="V140" s="40" t="n"/>
      <c r="W140" s="46" t="n"/>
      <c r="X140" s="46" t="n"/>
      <c r="Y140" s="46" t="n"/>
      <c r="Z140" s="40" t="n"/>
      <c r="AA140" s="40" t="n"/>
      <c r="AB140" s="40" t="n"/>
      <c r="AC140" s="40" t="n"/>
      <c r="AD140" s="40" t="n"/>
      <c r="AE140" s="47" t="n"/>
      <c r="AF140" s="40" t="n"/>
      <c r="AG140" s="40" t="n"/>
      <c r="AH140" s="40" t="n"/>
      <c r="AI140" s="40" t="n"/>
      <c r="AJ140" s="47" t="n"/>
      <c r="AK140" s="47" t="n"/>
      <c r="AL140" s="47" t="n"/>
      <c r="AM140" s="40" t="n"/>
      <c r="AN140" s="40" t="n"/>
      <c r="AO140" s="43" t="n"/>
      <c r="AP140" s="39" t="n"/>
      <c r="AQ140" s="39" t="n"/>
      <c r="AR140" s="39" t="n"/>
      <c r="AS140" s="39" t="n"/>
      <c r="AT140" s="39" t="n"/>
      <c r="AU140" s="39" t="n"/>
      <c r="AV140" s="39" t="n"/>
      <c r="AW140" s="39" t="n"/>
    </row>
    <row r="141" ht="23" customHeight="1">
      <c r="A141" s="39" t="n"/>
      <c r="B141" s="39" t="n"/>
      <c r="C141" s="40" t="n"/>
      <c r="D141" s="39" t="n"/>
      <c r="E141" s="40" t="n"/>
      <c r="F141" s="39" t="n"/>
      <c r="G141" s="39" t="n"/>
      <c r="H141" s="39" t="n"/>
      <c r="I141" s="40" t="n"/>
      <c r="J141" s="40" t="n"/>
      <c r="K141" s="39" t="n"/>
      <c r="L141" s="40" t="n"/>
      <c r="M141" s="42" t="n"/>
      <c r="N141" s="42" t="n"/>
      <c r="O141" s="43" t="n"/>
      <c r="P141" s="43" t="n"/>
      <c r="Q141" s="43" t="n"/>
      <c r="R141" s="39" t="n"/>
      <c r="S141" s="39" t="n"/>
      <c r="T141" s="39" t="n"/>
      <c r="U141" s="40" t="n"/>
      <c r="V141" s="40" t="n"/>
      <c r="W141" s="46" t="n"/>
      <c r="X141" s="46" t="n"/>
      <c r="Y141" s="46" t="n"/>
      <c r="Z141" s="40" t="n"/>
      <c r="AA141" s="40" t="n"/>
      <c r="AB141" s="40" t="n"/>
      <c r="AC141" s="40" t="n"/>
      <c r="AD141" s="40" t="n"/>
      <c r="AE141" s="47" t="n"/>
      <c r="AF141" s="40" t="n"/>
      <c r="AG141" s="40" t="n"/>
      <c r="AH141" s="40" t="n"/>
      <c r="AI141" s="40" t="n"/>
      <c r="AJ141" s="47" t="n"/>
      <c r="AK141" s="47" t="n"/>
      <c r="AL141" s="47" t="n"/>
      <c r="AM141" s="40" t="n"/>
      <c r="AN141" s="40" t="n"/>
      <c r="AO141" s="43" t="n"/>
      <c r="AP141" s="39" t="n"/>
      <c r="AQ141" s="39" t="n"/>
      <c r="AR141" s="39" t="n"/>
      <c r="AS141" s="39" t="n"/>
      <c r="AT141" s="39" t="n"/>
      <c r="AU141" s="39" t="n"/>
      <c r="AV141" s="39" t="n"/>
      <c r="AW141" s="39" t="n"/>
    </row>
    <row r="142" ht="23" customHeight="1">
      <c r="A142" s="39" t="n"/>
      <c r="B142" s="39" t="n"/>
      <c r="C142" s="40" t="n"/>
      <c r="D142" s="39" t="n"/>
      <c r="E142" s="40" t="n"/>
      <c r="F142" s="39" t="n"/>
      <c r="G142" s="39" t="n"/>
      <c r="H142" s="39" t="n"/>
      <c r="I142" s="40" t="n"/>
      <c r="J142" s="40" t="n"/>
      <c r="K142" s="39" t="n"/>
      <c r="L142" s="40" t="n"/>
      <c r="M142" s="42" t="n"/>
      <c r="N142" s="42" t="n"/>
      <c r="O142" s="43" t="n"/>
      <c r="P142" s="43" t="n"/>
      <c r="Q142" s="43" t="n"/>
      <c r="R142" s="39" t="n"/>
      <c r="S142" s="39" t="n"/>
      <c r="T142" s="39" t="n"/>
      <c r="U142" s="40" t="n"/>
      <c r="V142" s="40" t="n"/>
      <c r="W142" s="46" t="n"/>
      <c r="X142" s="46" t="n"/>
      <c r="Y142" s="46" t="n"/>
      <c r="Z142" s="40" t="n"/>
      <c r="AA142" s="40" t="n"/>
      <c r="AB142" s="40" t="n"/>
      <c r="AC142" s="40" t="n"/>
      <c r="AD142" s="40" t="n"/>
      <c r="AE142" s="47" t="n"/>
      <c r="AF142" s="40" t="n"/>
      <c r="AG142" s="40" t="n"/>
      <c r="AH142" s="40" t="n"/>
      <c r="AI142" s="40" t="n"/>
      <c r="AJ142" s="47" t="n"/>
      <c r="AK142" s="47" t="n"/>
      <c r="AL142" s="47" t="n"/>
      <c r="AM142" s="40" t="n"/>
      <c r="AN142" s="40" t="n"/>
      <c r="AO142" s="43" t="n"/>
      <c r="AP142" s="39" t="n"/>
      <c r="AQ142" s="39" t="n"/>
      <c r="AR142" s="39" t="n"/>
      <c r="AS142" s="39" t="n"/>
      <c r="AT142" s="39" t="n"/>
      <c r="AU142" s="39" t="n"/>
      <c r="AV142" s="39" t="n"/>
      <c r="AW142" s="39" t="n"/>
    </row>
    <row r="143" ht="23" customHeight="1">
      <c r="A143" s="39" t="n"/>
      <c r="B143" s="39" t="n"/>
      <c r="C143" s="40" t="n"/>
      <c r="D143" s="39" t="n"/>
      <c r="E143" s="40" t="n"/>
      <c r="F143" s="39" t="n"/>
      <c r="G143" s="39" t="n"/>
      <c r="H143" s="39" t="n"/>
      <c r="I143" s="40" t="n"/>
      <c r="J143" s="40" t="n"/>
      <c r="K143" s="39" t="n"/>
      <c r="L143" s="40" t="n"/>
      <c r="M143" s="42" t="n"/>
      <c r="N143" s="42" t="n"/>
      <c r="O143" s="43" t="n"/>
      <c r="P143" s="43" t="n"/>
      <c r="Q143" s="43" t="n"/>
      <c r="R143" s="39" t="n"/>
      <c r="S143" s="39" t="n"/>
      <c r="T143" s="39" t="n"/>
      <c r="U143" s="40" t="n"/>
      <c r="V143" s="40" t="n"/>
      <c r="W143" s="46" t="n"/>
      <c r="X143" s="46" t="n"/>
      <c r="Y143" s="46" t="n"/>
      <c r="Z143" s="40" t="n"/>
      <c r="AA143" s="40" t="n"/>
      <c r="AB143" s="40" t="n"/>
      <c r="AC143" s="40" t="n"/>
      <c r="AD143" s="40" t="n"/>
      <c r="AE143" s="47" t="n"/>
      <c r="AF143" s="40" t="n"/>
      <c r="AG143" s="40" t="n"/>
      <c r="AH143" s="40" t="n"/>
      <c r="AI143" s="40" t="n"/>
      <c r="AJ143" s="47" t="n"/>
      <c r="AK143" s="47" t="n"/>
      <c r="AL143" s="47" t="n"/>
      <c r="AM143" s="40" t="n"/>
      <c r="AN143" s="40" t="n"/>
      <c r="AO143" s="43" t="n"/>
      <c r="AP143" s="39" t="n"/>
      <c r="AQ143" s="39" t="n"/>
      <c r="AR143" s="39" t="n"/>
      <c r="AS143" s="39" t="n"/>
      <c r="AT143" s="39" t="n"/>
      <c r="AU143" s="39" t="n"/>
      <c r="AV143" s="39" t="n"/>
      <c r="AW143" s="39" t="n"/>
    </row>
    <row r="144" ht="23" customHeight="1">
      <c r="A144" s="39" t="n"/>
      <c r="B144" s="39" t="n"/>
      <c r="C144" s="40" t="n"/>
      <c r="D144" s="39" t="n"/>
      <c r="E144" s="40" t="n"/>
      <c r="F144" s="39" t="n"/>
      <c r="G144" s="39" t="n"/>
      <c r="H144" s="39" t="n"/>
      <c r="I144" s="40" t="n"/>
      <c r="J144" s="40" t="n"/>
      <c r="K144" s="39" t="n"/>
      <c r="L144" s="40" t="n"/>
      <c r="M144" s="42" t="n"/>
      <c r="N144" s="42" t="n"/>
      <c r="O144" s="43" t="n"/>
      <c r="P144" s="43" t="n"/>
      <c r="Q144" s="43" t="n"/>
      <c r="R144" s="39" t="n"/>
      <c r="S144" s="39" t="n"/>
      <c r="T144" s="39" t="n"/>
      <c r="U144" s="40" t="n"/>
      <c r="V144" s="40" t="n"/>
      <c r="W144" s="46" t="n"/>
      <c r="X144" s="46" t="n"/>
      <c r="Y144" s="46" t="n"/>
      <c r="Z144" s="40" t="n"/>
      <c r="AA144" s="40" t="n"/>
      <c r="AB144" s="40" t="n"/>
      <c r="AC144" s="40" t="n"/>
      <c r="AD144" s="40" t="n"/>
      <c r="AE144" s="47" t="n"/>
      <c r="AF144" s="40" t="n"/>
      <c r="AG144" s="40" t="n"/>
      <c r="AH144" s="40" t="n"/>
      <c r="AI144" s="40" t="n"/>
      <c r="AJ144" s="47" t="n"/>
      <c r="AK144" s="47" t="n"/>
      <c r="AL144" s="47" t="n"/>
      <c r="AM144" s="40" t="n"/>
      <c r="AN144" s="40" t="n"/>
      <c r="AO144" s="43" t="n"/>
      <c r="AP144" s="39" t="n"/>
      <c r="AQ144" s="39" t="n"/>
      <c r="AR144" s="39" t="n"/>
      <c r="AS144" s="39" t="n"/>
      <c r="AT144" s="39" t="n"/>
      <c r="AU144" s="39" t="n"/>
      <c r="AV144" s="39" t="n"/>
      <c r="AW144" s="39" t="n"/>
    </row>
    <row r="145" ht="23" customHeight="1">
      <c r="A145" s="39" t="n"/>
      <c r="B145" s="39" t="n"/>
      <c r="C145" s="40" t="n"/>
      <c r="D145" s="39" t="n"/>
      <c r="E145" s="40" t="n"/>
      <c r="F145" s="39" t="n"/>
      <c r="G145" s="39" t="n"/>
      <c r="H145" s="39" t="n"/>
      <c r="I145" s="40" t="n"/>
      <c r="J145" s="40" t="n"/>
      <c r="K145" s="39" t="n"/>
      <c r="L145" s="40" t="n"/>
      <c r="M145" s="42" t="n"/>
      <c r="N145" s="42" t="n"/>
      <c r="O145" s="43" t="n"/>
      <c r="P145" s="43" t="n"/>
      <c r="Q145" s="43" t="n"/>
      <c r="R145" s="39" t="n"/>
      <c r="S145" s="39" t="n"/>
      <c r="T145" s="39" t="n"/>
      <c r="U145" s="40" t="n"/>
      <c r="V145" s="40" t="n"/>
      <c r="W145" s="46" t="n"/>
      <c r="X145" s="46" t="n"/>
      <c r="Y145" s="46" t="n"/>
      <c r="Z145" s="40" t="n"/>
      <c r="AA145" s="40" t="n"/>
      <c r="AB145" s="40" t="n"/>
      <c r="AC145" s="40" t="n"/>
      <c r="AD145" s="40" t="n"/>
      <c r="AE145" s="47" t="n"/>
      <c r="AF145" s="40" t="n"/>
      <c r="AG145" s="40" t="n"/>
      <c r="AH145" s="40" t="n"/>
      <c r="AI145" s="40" t="n"/>
      <c r="AJ145" s="47" t="n"/>
      <c r="AK145" s="47" t="n"/>
      <c r="AL145" s="47" t="n"/>
      <c r="AM145" s="40" t="n"/>
      <c r="AN145" s="40" t="n"/>
      <c r="AO145" s="43" t="n"/>
      <c r="AP145" s="39" t="n"/>
      <c r="AQ145" s="39" t="n"/>
      <c r="AR145" s="39" t="n"/>
      <c r="AS145" s="39" t="n"/>
      <c r="AT145" s="39" t="n"/>
      <c r="AU145" s="39" t="n"/>
      <c r="AV145" s="39" t="n"/>
      <c r="AW145" s="39" t="n"/>
    </row>
    <row r="146" ht="23" customHeight="1">
      <c r="A146" s="39" t="n"/>
      <c r="B146" s="39" t="n"/>
      <c r="C146" s="40" t="n"/>
      <c r="D146" s="39" t="n"/>
      <c r="E146" s="40" t="n"/>
      <c r="F146" s="39" t="n"/>
      <c r="G146" s="39" t="n"/>
      <c r="H146" s="39" t="n"/>
      <c r="I146" s="40" t="n"/>
      <c r="J146" s="40" t="n"/>
      <c r="K146" s="39" t="n"/>
      <c r="L146" s="40" t="n"/>
      <c r="M146" s="42" t="n"/>
      <c r="N146" s="42" t="n"/>
      <c r="O146" s="43" t="n"/>
      <c r="P146" s="43" t="n"/>
      <c r="Q146" s="43" t="n"/>
      <c r="R146" s="39" t="n"/>
      <c r="S146" s="39" t="n"/>
      <c r="T146" s="39" t="n"/>
      <c r="U146" s="40" t="n"/>
      <c r="V146" s="40" t="n"/>
      <c r="W146" s="46" t="n"/>
      <c r="X146" s="46" t="n"/>
      <c r="Y146" s="46" t="n"/>
      <c r="Z146" s="40" t="n"/>
      <c r="AA146" s="40" t="n"/>
      <c r="AB146" s="40" t="n"/>
      <c r="AC146" s="40" t="n"/>
      <c r="AD146" s="40" t="n"/>
      <c r="AE146" s="47" t="n"/>
      <c r="AF146" s="40" t="n"/>
      <c r="AG146" s="40" t="n"/>
      <c r="AH146" s="40" t="n"/>
      <c r="AI146" s="40" t="n"/>
      <c r="AJ146" s="47" t="n"/>
      <c r="AK146" s="47" t="n"/>
      <c r="AL146" s="47" t="n"/>
      <c r="AM146" s="40" t="n"/>
      <c r="AN146" s="40" t="n"/>
      <c r="AO146" s="43" t="n"/>
      <c r="AP146" s="39" t="n"/>
      <c r="AQ146" s="39" t="n"/>
      <c r="AR146" s="39" t="n"/>
      <c r="AS146" s="39" t="n"/>
      <c r="AT146" s="39" t="n"/>
      <c r="AU146" s="39" t="n"/>
      <c r="AV146" s="39" t="n"/>
      <c r="AW146" s="39" t="n"/>
    </row>
    <row r="147" ht="23" customHeight="1">
      <c r="A147" s="39" t="n"/>
      <c r="B147" s="39" t="n"/>
      <c r="C147" s="40" t="n"/>
      <c r="D147" s="39" t="n"/>
      <c r="E147" s="40" t="n"/>
      <c r="F147" s="39" t="n"/>
      <c r="G147" s="39" t="n"/>
      <c r="H147" s="39" t="n"/>
      <c r="I147" s="40" t="n"/>
      <c r="J147" s="40" t="n"/>
      <c r="K147" s="39" t="n"/>
      <c r="L147" s="40" t="n"/>
      <c r="M147" s="42" t="n"/>
      <c r="N147" s="42" t="n"/>
      <c r="O147" s="43" t="n"/>
      <c r="P147" s="43" t="n"/>
      <c r="Q147" s="43" t="n"/>
      <c r="R147" s="39" t="n"/>
      <c r="S147" s="39" t="n"/>
      <c r="T147" s="39" t="n"/>
      <c r="U147" s="40" t="n"/>
      <c r="V147" s="40" t="n"/>
      <c r="W147" s="46" t="n"/>
      <c r="X147" s="46" t="n"/>
      <c r="Y147" s="46" t="n"/>
      <c r="Z147" s="40" t="n"/>
      <c r="AA147" s="40" t="n"/>
      <c r="AB147" s="40" t="n"/>
      <c r="AC147" s="40" t="n"/>
      <c r="AD147" s="40" t="n"/>
      <c r="AE147" s="47" t="n"/>
      <c r="AF147" s="40" t="n"/>
      <c r="AG147" s="40" t="n"/>
      <c r="AH147" s="40" t="n"/>
      <c r="AI147" s="40" t="n"/>
      <c r="AJ147" s="47" t="n"/>
      <c r="AK147" s="47" t="n"/>
      <c r="AL147" s="47" t="n"/>
      <c r="AM147" s="40" t="n"/>
      <c r="AN147" s="40" t="n"/>
      <c r="AO147" s="43" t="n"/>
      <c r="AP147" s="39" t="n"/>
      <c r="AQ147" s="39" t="n"/>
      <c r="AR147" s="39" t="n"/>
      <c r="AS147" s="39" t="n"/>
      <c r="AT147" s="39" t="n"/>
      <c r="AU147" s="39" t="n"/>
      <c r="AV147" s="39" t="n"/>
      <c r="AW147" s="39" t="n"/>
    </row>
    <row r="148" ht="23" customHeight="1">
      <c r="A148" s="39" t="n"/>
      <c r="B148" s="39" t="n"/>
      <c r="C148" s="40" t="n"/>
      <c r="D148" s="39" t="n"/>
      <c r="E148" s="40" t="n"/>
      <c r="F148" s="39" t="n"/>
      <c r="G148" s="39" t="n"/>
      <c r="H148" s="39" t="n"/>
      <c r="I148" s="40" t="n"/>
      <c r="J148" s="40" t="n"/>
      <c r="K148" s="39" t="n"/>
      <c r="L148" s="40" t="n"/>
      <c r="M148" s="42" t="n"/>
      <c r="N148" s="42" t="n"/>
      <c r="O148" s="43" t="n"/>
      <c r="P148" s="43" t="n"/>
      <c r="Q148" s="43" t="n"/>
      <c r="R148" s="39" t="n"/>
      <c r="S148" s="39" t="n"/>
      <c r="T148" s="39" t="n"/>
      <c r="U148" s="40" t="n"/>
      <c r="V148" s="40" t="n"/>
      <c r="W148" s="46" t="n"/>
      <c r="X148" s="46" t="n"/>
      <c r="Y148" s="46" t="n"/>
      <c r="Z148" s="40" t="n"/>
      <c r="AA148" s="40" t="n"/>
      <c r="AB148" s="40" t="n"/>
      <c r="AC148" s="40" t="n"/>
      <c r="AD148" s="40" t="n"/>
      <c r="AE148" s="47" t="n"/>
      <c r="AF148" s="40" t="n"/>
      <c r="AG148" s="40" t="n"/>
      <c r="AH148" s="40" t="n"/>
      <c r="AI148" s="40" t="n"/>
      <c r="AJ148" s="47" t="n"/>
      <c r="AK148" s="47" t="n"/>
      <c r="AL148" s="47" t="n"/>
      <c r="AM148" s="40" t="n"/>
      <c r="AN148" s="40" t="n"/>
      <c r="AO148" s="43" t="n"/>
      <c r="AP148" s="39" t="n"/>
      <c r="AQ148" s="39" t="n"/>
      <c r="AR148" s="39" t="n"/>
      <c r="AS148" s="39" t="n"/>
      <c r="AT148" s="39" t="n"/>
      <c r="AU148" s="39" t="n"/>
      <c r="AV148" s="39" t="n"/>
      <c r="AW148" s="39" t="n"/>
    </row>
    <row r="149" ht="23" customHeight="1">
      <c r="A149" s="39" t="n"/>
      <c r="B149" s="39" t="n"/>
      <c r="C149" s="40" t="n"/>
      <c r="D149" s="39" t="n"/>
      <c r="E149" s="40" t="n"/>
      <c r="F149" s="39" t="n"/>
      <c r="G149" s="39" t="n"/>
      <c r="H149" s="39" t="n"/>
      <c r="I149" s="40" t="n"/>
      <c r="J149" s="40" t="n"/>
      <c r="K149" s="39" t="n"/>
      <c r="L149" s="40" t="n"/>
      <c r="M149" s="42" t="n"/>
      <c r="N149" s="42" t="n"/>
      <c r="O149" s="43" t="n"/>
      <c r="P149" s="43" t="n"/>
      <c r="Q149" s="43" t="n"/>
      <c r="R149" s="39" t="n"/>
      <c r="S149" s="39" t="n"/>
      <c r="T149" s="39" t="n"/>
      <c r="U149" s="40" t="n"/>
      <c r="V149" s="40" t="n"/>
      <c r="W149" s="46" t="n"/>
      <c r="X149" s="46" t="n"/>
      <c r="Y149" s="46" t="n"/>
      <c r="Z149" s="40" t="n"/>
      <c r="AA149" s="40" t="n"/>
      <c r="AB149" s="40" t="n"/>
      <c r="AC149" s="40" t="n"/>
      <c r="AD149" s="40" t="n"/>
      <c r="AE149" s="47" t="n"/>
      <c r="AF149" s="40" t="n"/>
      <c r="AG149" s="40" t="n"/>
      <c r="AH149" s="40" t="n"/>
      <c r="AI149" s="40" t="n"/>
      <c r="AJ149" s="47" t="n"/>
      <c r="AK149" s="47" t="n"/>
      <c r="AL149" s="47" t="n"/>
      <c r="AM149" s="40" t="n"/>
      <c r="AN149" s="40" t="n"/>
      <c r="AO149" s="43" t="n"/>
      <c r="AP149" s="39" t="n"/>
      <c r="AQ149" s="39" t="n"/>
      <c r="AR149" s="39" t="n"/>
      <c r="AS149" s="39" t="n"/>
      <c r="AT149" s="39" t="n"/>
      <c r="AU149" s="39" t="n"/>
      <c r="AV149" s="39" t="n"/>
      <c r="AW149" s="39" t="n"/>
    </row>
    <row r="150" ht="23" customHeight="1">
      <c r="A150" s="39" t="n"/>
      <c r="B150" s="39" t="n"/>
      <c r="C150" s="40" t="n"/>
      <c r="D150" s="39" t="n"/>
      <c r="E150" s="40" t="n"/>
      <c r="F150" s="39" t="n"/>
      <c r="G150" s="39" t="n"/>
      <c r="H150" s="39" t="n"/>
      <c r="I150" s="40" t="n"/>
      <c r="J150" s="40" t="n"/>
      <c r="K150" s="39" t="n"/>
      <c r="L150" s="40" t="n"/>
      <c r="M150" s="42" t="n"/>
      <c r="N150" s="42" t="n"/>
      <c r="O150" s="43" t="n"/>
      <c r="P150" s="43" t="n"/>
      <c r="Q150" s="43" t="n"/>
      <c r="R150" s="39" t="n"/>
      <c r="S150" s="39" t="n"/>
      <c r="T150" s="39" t="n"/>
      <c r="U150" s="40" t="n"/>
      <c r="V150" s="40" t="n"/>
      <c r="W150" s="46" t="n"/>
      <c r="X150" s="46" t="n"/>
      <c r="Y150" s="46" t="n"/>
      <c r="Z150" s="40" t="n"/>
      <c r="AA150" s="40" t="n"/>
      <c r="AB150" s="40" t="n"/>
      <c r="AC150" s="40" t="n"/>
      <c r="AD150" s="40" t="n"/>
      <c r="AE150" s="47" t="n"/>
      <c r="AF150" s="40" t="n"/>
      <c r="AG150" s="40" t="n"/>
      <c r="AH150" s="40" t="n"/>
      <c r="AI150" s="40" t="n"/>
      <c r="AJ150" s="47" t="n"/>
      <c r="AK150" s="47" t="n"/>
      <c r="AL150" s="47" t="n"/>
      <c r="AM150" s="40" t="n"/>
      <c r="AN150" s="40" t="n"/>
      <c r="AO150" s="43" t="n"/>
      <c r="AP150" s="39" t="n"/>
      <c r="AQ150" s="39" t="n"/>
      <c r="AR150" s="39" t="n"/>
      <c r="AS150" s="39" t="n"/>
      <c r="AT150" s="39" t="n"/>
      <c r="AU150" s="39" t="n"/>
      <c r="AV150" s="39" t="n"/>
      <c r="AW150" s="39" t="n"/>
    </row>
    <row r="151" ht="23" customHeight="1">
      <c r="A151" s="39" t="n"/>
      <c r="B151" s="39" t="n"/>
      <c r="C151" s="40" t="n"/>
      <c r="D151" s="39" t="n"/>
      <c r="E151" s="40" t="n"/>
      <c r="F151" s="39" t="n"/>
      <c r="G151" s="39" t="n"/>
      <c r="H151" s="39" t="n"/>
      <c r="I151" s="40" t="n"/>
      <c r="J151" s="40" t="n"/>
      <c r="K151" s="39" t="n"/>
      <c r="L151" s="40" t="n"/>
      <c r="M151" s="42" t="n"/>
      <c r="N151" s="42" t="n"/>
      <c r="O151" s="43" t="n"/>
      <c r="P151" s="43" t="n"/>
      <c r="Q151" s="43" t="n"/>
      <c r="R151" s="39" t="n"/>
      <c r="S151" s="39" t="n"/>
      <c r="T151" s="39" t="n"/>
      <c r="U151" s="40" t="n"/>
      <c r="V151" s="40" t="n"/>
      <c r="W151" s="46" t="n"/>
      <c r="X151" s="46" t="n"/>
      <c r="Y151" s="46" t="n"/>
      <c r="Z151" s="40" t="n"/>
      <c r="AA151" s="40" t="n"/>
      <c r="AB151" s="40" t="n"/>
      <c r="AC151" s="40" t="n"/>
      <c r="AD151" s="40" t="n"/>
      <c r="AE151" s="47" t="n"/>
      <c r="AF151" s="40" t="n"/>
      <c r="AG151" s="40" t="n"/>
      <c r="AH151" s="40" t="n"/>
      <c r="AI151" s="40" t="n"/>
      <c r="AJ151" s="47" t="n"/>
      <c r="AK151" s="47" t="n"/>
      <c r="AL151" s="47" t="n"/>
      <c r="AM151" s="40" t="n"/>
      <c r="AN151" s="40" t="n"/>
      <c r="AO151" s="43" t="n"/>
      <c r="AP151" s="39" t="n"/>
      <c r="AQ151" s="39" t="n"/>
      <c r="AR151" s="39" t="n"/>
      <c r="AS151" s="39" t="n"/>
      <c r="AT151" s="39" t="n"/>
      <c r="AU151" s="39" t="n"/>
      <c r="AV151" s="39" t="n"/>
      <c r="AW151" s="39" t="n"/>
    </row>
    <row r="152" ht="23" customHeight="1">
      <c r="A152" s="39" t="n"/>
      <c r="B152" s="39" t="n"/>
      <c r="C152" s="40" t="n"/>
      <c r="D152" s="39" t="n"/>
      <c r="E152" s="40" t="n"/>
      <c r="F152" s="39" t="n"/>
      <c r="G152" s="39" t="n"/>
      <c r="H152" s="39" t="n"/>
      <c r="I152" s="40" t="n"/>
      <c r="J152" s="40" t="n"/>
      <c r="K152" s="39" t="n"/>
      <c r="L152" s="40" t="n"/>
      <c r="M152" s="42" t="n"/>
      <c r="N152" s="42" t="n"/>
      <c r="O152" s="43" t="n"/>
      <c r="P152" s="43" t="n"/>
      <c r="Q152" s="43" t="n"/>
      <c r="R152" s="39" t="n"/>
      <c r="S152" s="39" t="n"/>
      <c r="T152" s="39" t="n"/>
      <c r="U152" s="40" t="n"/>
      <c r="V152" s="40" t="n"/>
      <c r="W152" s="46" t="n"/>
      <c r="X152" s="46" t="n"/>
      <c r="Y152" s="46" t="n"/>
      <c r="Z152" s="40" t="n"/>
      <c r="AA152" s="40" t="n"/>
      <c r="AB152" s="40" t="n"/>
      <c r="AC152" s="40" t="n"/>
      <c r="AD152" s="40" t="n"/>
      <c r="AE152" s="47" t="n"/>
      <c r="AF152" s="40" t="n"/>
      <c r="AG152" s="40" t="n"/>
      <c r="AH152" s="40" t="n"/>
      <c r="AI152" s="40" t="n"/>
      <c r="AJ152" s="47" t="n"/>
      <c r="AK152" s="47" t="n"/>
      <c r="AL152" s="47" t="n"/>
      <c r="AM152" s="40" t="n"/>
      <c r="AN152" s="40" t="n"/>
      <c r="AO152" s="43" t="n"/>
      <c r="AP152" s="39" t="n"/>
      <c r="AQ152" s="39" t="n"/>
      <c r="AR152" s="39" t="n"/>
      <c r="AS152" s="39" t="n"/>
      <c r="AT152" s="39" t="n"/>
      <c r="AU152" s="39" t="n"/>
      <c r="AV152" s="39" t="n"/>
      <c r="AW152" s="39" t="n"/>
    </row>
    <row r="153" ht="23" customHeight="1">
      <c r="A153" s="39" t="n"/>
      <c r="B153" s="39" t="n"/>
      <c r="C153" s="40" t="n"/>
      <c r="D153" s="39" t="n"/>
      <c r="E153" s="40" t="n"/>
      <c r="F153" s="39" t="n"/>
      <c r="G153" s="39" t="n"/>
      <c r="H153" s="39" t="n"/>
      <c r="I153" s="40" t="n"/>
      <c r="J153" s="40" t="n"/>
      <c r="K153" s="39" t="n"/>
      <c r="L153" s="40" t="n"/>
      <c r="M153" s="42" t="n"/>
      <c r="N153" s="42" t="n"/>
      <c r="O153" s="43" t="n"/>
      <c r="P153" s="43" t="n"/>
      <c r="Q153" s="43" t="n"/>
      <c r="R153" s="39" t="n"/>
      <c r="S153" s="39" t="n"/>
      <c r="T153" s="39" t="n"/>
      <c r="U153" s="40" t="n"/>
      <c r="V153" s="40" t="n"/>
      <c r="W153" s="46" t="n"/>
      <c r="X153" s="46" t="n"/>
      <c r="Y153" s="46" t="n"/>
      <c r="Z153" s="40" t="n"/>
      <c r="AA153" s="40" t="n"/>
      <c r="AB153" s="40" t="n"/>
      <c r="AC153" s="40" t="n"/>
      <c r="AD153" s="40" t="n"/>
      <c r="AE153" s="47" t="n"/>
      <c r="AF153" s="40" t="n"/>
      <c r="AG153" s="40" t="n"/>
      <c r="AH153" s="40" t="n"/>
      <c r="AI153" s="40" t="n"/>
      <c r="AJ153" s="47" t="n"/>
      <c r="AK153" s="47" t="n"/>
      <c r="AL153" s="47" t="n"/>
      <c r="AM153" s="40" t="n"/>
      <c r="AN153" s="40" t="n"/>
      <c r="AO153" s="43" t="n"/>
      <c r="AP153" s="39" t="n"/>
      <c r="AQ153" s="39" t="n"/>
      <c r="AR153" s="39" t="n"/>
      <c r="AS153" s="39" t="n"/>
      <c r="AT153" s="39" t="n"/>
      <c r="AU153" s="39" t="n"/>
      <c r="AV153" s="39" t="n"/>
      <c r="AW153" s="39" t="n"/>
    </row>
    <row r="154" ht="23" customHeight="1">
      <c r="A154" s="39" t="n"/>
      <c r="B154" s="39" t="n"/>
      <c r="C154" s="40" t="n"/>
      <c r="D154" s="39" t="n"/>
      <c r="E154" s="40" t="n"/>
      <c r="F154" s="39" t="n"/>
      <c r="G154" s="39" t="n"/>
      <c r="H154" s="39" t="n"/>
      <c r="I154" s="40" t="n"/>
      <c r="J154" s="40" t="n"/>
      <c r="K154" s="39" t="n"/>
      <c r="L154" s="40" t="n"/>
      <c r="M154" s="42" t="n"/>
      <c r="N154" s="42" t="n"/>
      <c r="O154" s="43" t="n"/>
      <c r="P154" s="43" t="n"/>
      <c r="Q154" s="43" t="n"/>
      <c r="R154" s="39" t="n"/>
      <c r="S154" s="39" t="n"/>
      <c r="T154" s="39" t="n"/>
      <c r="U154" s="40" t="n"/>
      <c r="V154" s="40" t="n"/>
      <c r="W154" s="46" t="n"/>
      <c r="X154" s="46" t="n"/>
      <c r="Y154" s="46" t="n"/>
      <c r="Z154" s="40" t="n"/>
      <c r="AA154" s="40" t="n"/>
      <c r="AB154" s="40" t="n"/>
      <c r="AC154" s="40" t="n"/>
      <c r="AD154" s="40" t="n"/>
      <c r="AE154" s="47" t="n"/>
      <c r="AF154" s="40" t="n"/>
      <c r="AG154" s="40" t="n"/>
      <c r="AH154" s="40" t="n"/>
      <c r="AI154" s="40" t="n"/>
      <c r="AJ154" s="47" t="n"/>
      <c r="AK154" s="47" t="n"/>
      <c r="AL154" s="47" t="n"/>
      <c r="AM154" s="40" t="n"/>
      <c r="AN154" s="40" t="n"/>
      <c r="AO154" s="43" t="n"/>
      <c r="AP154" s="39" t="n"/>
      <c r="AQ154" s="39" t="n"/>
      <c r="AR154" s="39" t="n"/>
      <c r="AS154" s="39" t="n"/>
      <c r="AT154" s="39" t="n"/>
      <c r="AU154" s="39" t="n"/>
      <c r="AV154" s="39" t="n"/>
      <c r="AW154" s="39" t="n"/>
    </row>
    <row r="155" ht="23" customHeight="1">
      <c r="A155" s="39" t="n"/>
      <c r="B155" s="39" t="n"/>
      <c r="C155" s="40" t="n"/>
      <c r="D155" s="39" t="n"/>
      <c r="E155" s="40" t="n"/>
      <c r="F155" s="39" t="n"/>
      <c r="G155" s="39" t="n"/>
      <c r="H155" s="39" t="n"/>
      <c r="I155" s="40" t="n"/>
      <c r="J155" s="40" t="n"/>
      <c r="K155" s="39" t="n"/>
      <c r="L155" s="40" t="n"/>
      <c r="M155" s="42" t="n"/>
      <c r="N155" s="42" t="n"/>
      <c r="O155" s="43" t="n"/>
      <c r="P155" s="43" t="n"/>
      <c r="Q155" s="43" t="n"/>
      <c r="R155" s="39" t="n"/>
      <c r="S155" s="39" t="n"/>
      <c r="T155" s="39" t="n"/>
      <c r="U155" s="40" t="n"/>
      <c r="V155" s="40" t="n"/>
      <c r="W155" s="46" t="n"/>
      <c r="X155" s="46" t="n"/>
      <c r="Y155" s="46" t="n"/>
      <c r="Z155" s="40" t="n"/>
      <c r="AA155" s="40" t="n"/>
      <c r="AB155" s="40" t="n"/>
      <c r="AC155" s="40" t="n"/>
      <c r="AD155" s="40" t="n"/>
      <c r="AE155" s="47" t="n"/>
      <c r="AF155" s="40" t="n"/>
      <c r="AG155" s="40" t="n"/>
      <c r="AH155" s="40" t="n"/>
      <c r="AI155" s="40" t="n"/>
      <c r="AJ155" s="47" t="n"/>
      <c r="AK155" s="47" t="n"/>
      <c r="AL155" s="47" t="n"/>
      <c r="AM155" s="40" t="n"/>
      <c r="AN155" s="40" t="n"/>
      <c r="AO155" s="43" t="n"/>
      <c r="AP155" s="39" t="n"/>
      <c r="AQ155" s="39" t="n"/>
      <c r="AR155" s="39" t="n"/>
      <c r="AS155" s="39" t="n"/>
      <c r="AT155" s="39" t="n"/>
      <c r="AU155" s="39" t="n"/>
      <c r="AV155" s="39" t="n"/>
      <c r="AW155" s="39" t="n"/>
    </row>
    <row r="156" ht="23" customHeight="1">
      <c r="A156" s="39" t="n"/>
      <c r="B156" s="39" t="n"/>
      <c r="C156" s="40" t="n"/>
      <c r="D156" s="39" t="n"/>
      <c r="E156" s="40" t="n"/>
      <c r="F156" s="39" t="n"/>
      <c r="G156" s="39" t="n"/>
      <c r="H156" s="39" t="n"/>
      <c r="I156" s="40" t="n"/>
      <c r="J156" s="40" t="n"/>
      <c r="K156" s="39" t="n"/>
      <c r="L156" s="40" t="n"/>
      <c r="M156" s="42" t="n"/>
      <c r="N156" s="42" t="n"/>
      <c r="O156" s="43" t="n"/>
      <c r="P156" s="43" t="n"/>
      <c r="Q156" s="43" t="n"/>
      <c r="R156" s="39" t="n"/>
      <c r="S156" s="39" t="n"/>
      <c r="T156" s="39" t="n"/>
      <c r="U156" s="40" t="n"/>
      <c r="V156" s="40" t="n"/>
      <c r="W156" s="46" t="n"/>
      <c r="X156" s="46" t="n"/>
      <c r="Y156" s="46" t="n"/>
      <c r="Z156" s="40" t="n"/>
      <c r="AA156" s="40" t="n"/>
      <c r="AB156" s="40" t="n"/>
      <c r="AC156" s="40" t="n"/>
      <c r="AD156" s="40" t="n"/>
      <c r="AE156" s="47" t="n"/>
      <c r="AF156" s="40" t="n"/>
      <c r="AG156" s="40" t="n"/>
      <c r="AH156" s="40" t="n"/>
      <c r="AI156" s="40" t="n"/>
      <c r="AJ156" s="47" t="n"/>
      <c r="AK156" s="47" t="n"/>
      <c r="AL156" s="47" t="n"/>
      <c r="AM156" s="40" t="n"/>
      <c r="AN156" s="40" t="n"/>
      <c r="AO156" s="43" t="n"/>
      <c r="AP156" s="39" t="n"/>
      <c r="AQ156" s="39" t="n"/>
      <c r="AR156" s="39" t="n"/>
      <c r="AS156" s="39" t="n"/>
      <c r="AT156" s="39" t="n"/>
      <c r="AU156" s="39" t="n"/>
      <c r="AV156" s="39" t="n"/>
      <c r="AW156" s="39" t="n"/>
    </row>
    <row r="157" ht="23" customHeight="1">
      <c r="A157" s="39" t="n"/>
      <c r="B157" s="39" t="n"/>
      <c r="C157" s="40" t="n"/>
      <c r="D157" s="39" t="n"/>
      <c r="E157" s="40" t="n"/>
      <c r="F157" s="39" t="n"/>
      <c r="G157" s="39" t="n"/>
      <c r="H157" s="39" t="n"/>
      <c r="I157" s="40" t="n"/>
      <c r="J157" s="40" t="n"/>
      <c r="K157" s="39" t="n"/>
      <c r="L157" s="40" t="n"/>
      <c r="M157" s="42" t="n"/>
      <c r="N157" s="42" t="n"/>
      <c r="O157" s="43" t="n"/>
      <c r="P157" s="43" t="n"/>
      <c r="Q157" s="43" t="n"/>
      <c r="R157" s="39" t="n"/>
      <c r="S157" s="39" t="n"/>
      <c r="T157" s="39" t="n"/>
      <c r="U157" s="40" t="n"/>
      <c r="V157" s="40" t="n"/>
      <c r="W157" s="46" t="n"/>
      <c r="X157" s="46" t="n"/>
      <c r="Y157" s="46" t="n"/>
      <c r="Z157" s="40" t="n"/>
      <c r="AA157" s="40" t="n"/>
      <c r="AB157" s="40" t="n"/>
      <c r="AC157" s="40" t="n"/>
      <c r="AD157" s="40" t="n"/>
      <c r="AE157" s="47" t="n"/>
      <c r="AF157" s="40" t="n"/>
      <c r="AG157" s="40" t="n"/>
      <c r="AH157" s="40" t="n"/>
      <c r="AI157" s="40" t="n"/>
      <c r="AJ157" s="47" t="n"/>
      <c r="AK157" s="47" t="n"/>
      <c r="AL157" s="47" t="n"/>
      <c r="AM157" s="40" t="n"/>
      <c r="AN157" s="40" t="n"/>
      <c r="AO157" s="43" t="n"/>
      <c r="AP157" s="39" t="n"/>
      <c r="AQ157" s="39" t="n"/>
      <c r="AR157" s="39" t="n"/>
      <c r="AS157" s="39" t="n"/>
      <c r="AT157" s="39" t="n"/>
      <c r="AU157" s="39" t="n"/>
      <c r="AV157" s="39" t="n"/>
      <c r="AW157" s="39" t="n"/>
    </row>
    <row r="158" ht="23" customHeight="1">
      <c r="A158" s="39" t="n"/>
      <c r="B158" s="39" t="n"/>
      <c r="C158" s="40" t="n"/>
      <c r="D158" s="39" t="n"/>
      <c r="E158" s="40" t="n"/>
      <c r="F158" s="39" t="n"/>
      <c r="G158" s="39" t="n"/>
      <c r="H158" s="39" t="n"/>
      <c r="I158" s="40" t="n"/>
      <c r="J158" s="40" t="n"/>
      <c r="K158" s="39" t="n"/>
      <c r="L158" s="40" t="n"/>
      <c r="M158" s="42" t="n"/>
      <c r="N158" s="42" t="n"/>
      <c r="O158" s="43" t="n"/>
      <c r="P158" s="43" t="n"/>
      <c r="Q158" s="43" t="n"/>
      <c r="R158" s="39" t="n"/>
      <c r="S158" s="39" t="n"/>
      <c r="T158" s="39" t="n"/>
      <c r="U158" s="40" t="n"/>
      <c r="V158" s="40" t="n"/>
      <c r="W158" s="46" t="n"/>
      <c r="X158" s="46" t="n"/>
      <c r="Y158" s="46" t="n"/>
      <c r="Z158" s="40" t="n"/>
      <c r="AA158" s="40" t="n"/>
      <c r="AB158" s="40" t="n"/>
      <c r="AC158" s="40" t="n"/>
      <c r="AD158" s="40" t="n"/>
      <c r="AE158" s="47" t="n"/>
      <c r="AF158" s="40" t="n"/>
      <c r="AG158" s="40" t="n"/>
      <c r="AH158" s="40" t="n"/>
      <c r="AI158" s="40" t="n"/>
      <c r="AJ158" s="47" t="n"/>
      <c r="AK158" s="47" t="n"/>
      <c r="AL158" s="47" t="n"/>
      <c r="AM158" s="40" t="n"/>
      <c r="AN158" s="40" t="n"/>
      <c r="AO158" s="43" t="n"/>
      <c r="AP158" s="39" t="n"/>
      <c r="AQ158" s="39" t="n"/>
      <c r="AR158" s="39" t="n"/>
      <c r="AS158" s="39" t="n"/>
      <c r="AT158" s="39" t="n"/>
      <c r="AU158" s="39" t="n"/>
      <c r="AV158" s="39" t="n"/>
      <c r="AW158" s="39" t="n"/>
    </row>
    <row r="159" ht="23" customHeight="1">
      <c r="A159" s="39" t="n"/>
      <c r="B159" s="39" t="n"/>
      <c r="C159" s="40" t="n"/>
      <c r="D159" s="39" t="n"/>
      <c r="E159" s="40" t="n"/>
      <c r="F159" s="39" t="n"/>
      <c r="G159" s="39" t="n"/>
      <c r="H159" s="39" t="n"/>
      <c r="I159" s="40" t="n"/>
      <c r="J159" s="40" t="n"/>
      <c r="K159" s="39" t="n"/>
      <c r="L159" s="40" t="n"/>
      <c r="M159" s="42" t="n"/>
      <c r="N159" s="42" t="n"/>
      <c r="O159" s="43" t="n"/>
      <c r="P159" s="43" t="n"/>
      <c r="Q159" s="43" t="n"/>
      <c r="R159" s="39" t="n"/>
      <c r="S159" s="39" t="n"/>
      <c r="T159" s="39" t="n"/>
      <c r="U159" s="40" t="n"/>
      <c r="V159" s="40" t="n"/>
      <c r="W159" s="46" t="n"/>
      <c r="X159" s="46" t="n"/>
      <c r="Y159" s="46" t="n"/>
      <c r="Z159" s="40" t="n"/>
      <c r="AA159" s="40" t="n"/>
      <c r="AB159" s="40" t="n"/>
      <c r="AC159" s="40" t="n"/>
      <c r="AD159" s="40" t="n"/>
      <c r="AE159" s="47" t="n"/>
      <c r="AF159" s="40" t="n"/>
      <c r="AG159" s="40" t="n"/>
      <c r="AH159" s="40" t="n"/>
      <c r="AI159" s="40" t="n"/>
      <c r="AJ159" s="47" t="n"/>
      <c r="AK159" s="47" t="n"/>
      <c r="AL159" s="47" t="n"/>
      <c r="AM159" s="40" t="n"/>
      <c r="AN159" s="40" t="n"/>
      <c r="AO159" s="43" t="n"/>
      <c r="AP159" s="39" t="n"/>
      <c r="AQ159" s="39" t="n"/>
      <c r="AR159" s="39" t="n"/>
      <c r="AS159" s="39" t="n"/>
      <c r="AT159" s="39" t="n"/>
      <c r="AU159" s="39" t="n"/>
      <c r="AV159" s="39" t="n"/>
      <c r="AW159" s="39" t="n"/>
    </row>
    <row r="160" ht="23" customHeight="1">
      <c r="A160" s="39" t="n"/>
      <c r="B160" s="39" t="n"/>
      <c r="C160" s="40" t="n"/>
      <c r="D160" s="39" t="n"/>
      <c r="E160" s="40" t="n"/>
      <c r="F160" s="39" t="n"/>
      <c r="G160" s="39" t="n"/>
      <c r="H160" s="39" t="n"/>
      <c r="I160" s="40" t="n"/>
      <c r="J160" s="40" t="n"/>
      <c r="K160" s="39" t="n"/>
      <c r="L160" s="40" t="n"/>
      <c r="M160" s="42" t="n"/>
      <c r="N160" s="42" t="n"/>
      <c r="O160" s="43" t="n"/>
      <c r="P160" s="43" t="n"/>
      <c r="Q160" s="43" t="n"/>
      <c r="R160" s="39" t="n"/>
      <c r="S160" s="39" t="n"/>
      <c r="T160" s="39" t="n"/>
      <c r="U160" s="40" t="n"/>
      <c r="V160" s="40" t="n"/>
      <c r="W160" s="46" t="n"/>
      <c r="X160" s="46" t="n"/>
      <c r="Y160" s="46" t="n"/>
      <c r="Z160" s="40" t="n"/>
      <c r="AA160" s="40" t="n"/>
      <c r="AB160" s="40" t="n"/>
      <c r="AC160" s="40" t="n"/>
      <c r="AD160" s="40" t="n"/>
      <c r="AE160" s="47" t="n"/>
      <c r="AF160" s="40" t="n"/>
      <c r="AG160" s="40" t="n"/>
      <c r="AH160" s="40" t="n"/>
      <c r="AI160" s="40" t="n"/>
      <c r="AJ160" s="47" t="n"/>
      <c r="AK160" s="47" t="n"/>
      <c r="AL160" s="47" t="n"/>
      <c r="AM160" s="40" t="n"/>
      <c r="AN160" s="40" t="n"/>
      <c r="AO160" s="43" t="n"/>
      <c r="AP160" s="39" t="n"/>
      <c r="AQ160" s="39" t="n"/>
      <c r="AR160" s="39" t="n"/>
      <c r="AS160" s="39" t="n"/>
      <c r="AT160" s="39" t="n"/>
      <c r="AU160" s="39" t="n"/>
      <c r="AV160" s="39" t="n"/>
      <c r="AW160" s="39" t="n"/>
    </row>
    <row r="161" ht="23" customHeight="1">
      <c r="A161" s="39" t="n"/>
      <c r="B161" s="39" t="n"/>
      <c r="C161" s="40" t="n"/>
      <c r="D161" s="39" t="n"/>
      <c r="E161" s="40" t="n"/>
      <c r="F161" s="39" t="n"/>
      <c r="G161" s="39" t="n"/>
      <c r="H161" s="39" t="n"/>
      <c r="I161" s="40" t="n"/>
      <c r="J161" s="40" t="n"/>
      <c r="K161" s="39" t="n"/>
      <c r="L161" s="40" t="n"/>
      <c r="M161" s="42" t="n"/>
      <c r="N161" s="42" t="n"/>
      <c r="O161" s="43" t="n"/>
      <c r="P161" s="43" t="n"/>
      <c r="Q161" s="43" t="n"/>
      <c r="R161" s="39" t="n"/>
      <c r="S161" s="39" t="n"/>
      <c r="T161" s="39" t="n"/>
      <c r="U161" s="40" t="n"/>
      <c r="V161" s="40" t="n"/>
      <c r="W161" s="46" t="n"/>
      <c r="X161" s="46" t="n"/>
      <c r="Y161" s="46" t="n"/>
      <c r="Z161" s="40" t="n"/>
      <c r="AA161" s="40" t="n"/>
      <c r="AB161" s="40" t="n"/>
      <c r="AC161" s="40" t="n"/>
      <c r="AD161" s="40" t="n"/>
      <c r="AE161" s="47" t="n"/>
      <c r="AF161" s="40" t="n"/>
      <c r="AG161" s="40" t="n"/>
      <c r="AH161" s="40" t="n"/>
      <c r="AI161" s="40" t="n"/>
      <c r="AJ161" s="47" t="n"/>
      <c r="AK161" s="47" t="n"/>
      <c r="AL161" s="47" t="n"/>
      <c r="AM161" s="40" t="n"/>
      <c r="AN161" s="40" t="n"/>
      <c r="AO161" s="43" t="n"/>
      <c r="AP161" s="39" t="n"/>
      <c r="AQ161" s="39" t="n"/>
      <c r="AR161" s="39" t="n"/>
      <c r="AS161" s="39" t="n"/>
      <c r="AT161" s="39" t="n"/>
      <c r="AU161" s="39" t="n"/>
      <c r="AV161" s="39" t="n"/>
      <c r="AW161" s="39" t="n"/>
    </row>
    <row r="162" ht="23" customHeight="1">
      <c r="A162" s="39" t="n"/>
      <c r="B162" s="39" t="n"/>
      <c r="C162" s="40" t="n"/>
      <c r="D162" s="39" t="n"/>
      <c r="E162" s="40" t="n"/>
      <c r="F162" s="39" t="n"/>
      <c r="G162" s="39" t="n"/>
      <c r="H162" s="39" t="n"/>
      <c r="I162" s="40" t="n"/>
      <c r="J162" s="40" t="n"/>
      <c r="K162" s="39" t="n"/>
      <c r="L162" s="40" t="n"/>
      <c r="M162" s="42" t="n"/>
      <c r="N162" s="42" t="n"/>
      <c r="O162" s="43" t="n"/>
      <c r="P162" s="43" t="n"/>
      <c r="Q162" s="43" t="n"/>
      <c r="R162" s="39" t="n"/>
      <c r="S162" s="39" t="n"/>
      <c r="T162" s="39" t="n"/>
      <c r="U162" s="40" t="n"/>
      <c r="V162" s="40" t="n"/>
      <c r="W162" s="46" t="n"/>
      <c r="X162" s="46" t="n"/>
      <c r="Y162" s="46" t="n"/>
      <c r="Z162" s="40" t="n"/>
      <c r="AA162" s="40" t="n"/>
      <c r="AB162" s="40" t="n"/>
      <c r="AC162" s="40" t="n"/>
      <c r="AD162" s="40" t="n"/>
      <c r="AE162" s="47" t="n"/>
      <c r="AF162" s="40" t="n"/>
      <c r="AG162" s="40" t="n"/>
      <c r="AH162" s="40" t="n"/>
      <c r="AI162" s="40" t="n"/>
      <c r="AJ162" s="47" t="n"/>
      <c r="AK162" s="47" t="n"/>
      <c r="AL162" s="47" t="n"/>
      <c r="AM162" s="40" t="n"/>
      <c r="AN162" s="40" t="n"/>
      <c r="AO162" s="43" t="n"/>
      <c r="AP162" s="39" t="n"/>
      <c r="AQ162" s="39" t="n"/>
      <c r="AR162" s="39" t="n"/>
      <c r="AS162" s="39" t="n"/>
      <c r="AT162" s="39" t="n"/>
      <c r="AU162" s="39" t="n"/>
      <c r="AV162" s="39" t="n"/>
      <c r="AW162" s="39" t="n"/>
    </row>
    <row r="163" ht="23" customHeight="1">
      <c r="A163" s="39" t="n"/>
      <c r="B163" s="39" t="n"/>
      <c r="C163" s="40" t="n"/>
      <c r="D163" s="39" t="n"/>
      <c r="E163" s="40" t="n"/>
      <c r="F163" s="39" t="n"/>
      <c r="G163" s="39" t="n"/>
      <c r="H163" s="39" t="n"/>
      <c r="I163" s="40" t="n"/>
      <c r="J163" s="40" t="n"/>
      <c r="K163" s="39" t="n"/>
      <c r="L163" s="40" t="n"/>
      <c r="M163" s="42" t="n"/>
      <c r="N163" s="42" t="n"/>
      <c r="O163" s="43" t="n"/>
      <c r="P163" s="43" t="n"/>
      <c r="Q163" s="43" t="n"/>
      <c r="R163" s="39" t="n"/>
      <c r="S163" s="39" t="n"/>
      <c r="T163" s="39" t="n"/>
      <c r="U163" s="40" t="n"/>
      <c r="V163" s="40" t="n"/>
      <c r="W163" s="46" t="n"/>
      <c r="X163" s="46" t="n"/>
      <c r="Y163" s="46" t="n"/>
      <c r="Z163" s="40" t="n"/>
      <c r="AA163" s="40" t="n"/>
      <c r="AB163" s="40" t="n"/>
      <c r="AC163" s="40" t="n"/>
      <c r="AD163" s="40" t="n"/>
      <c r="AE163" s="47" t="n"/>
      <c r="AF163" s="40" t="n"/>
      <c r="AG163" s="40" t="n"/>
      <c r="AH163" s="40" t="n"/>
      <c r="AI163" s="40" t="n"/>
      <c r="AJ163" s="47" t="n"/>
      <c r="AK163" s="47" t="n"/>
      <c r="AL163" s="47" t="n"/>
      <c r="AM163" s="40" t="n"/>
      <c r="AN163" s="40" t="n"/>
      <c r="AO163" s="43" t="n"/>
      <c r="AP163" s="39" t="n"/>
      <c r="AQ163" s="39" t="n"/>
      <c r="AR163" s="39" t="n"/>
      <c r="AS163" s="39" t="n"/>
      <c r="AT163" s="39" t="n"/>
      <c r="AU163" s="39" t="n"/>
      <c r="AV163" s="39" t="n"/>
      <c r="AW163" s="39" t="n"/>
    </row>
    <row r="164" ht="23" customHeight="1">
      <c r="A164" s="39" t="n"/>
      <c r="B164" s="39" t="n"/>
      <c r="C164" s="40" t="n"/>
      <c r="D164" s="39" t="n"/>
      <c r="E164" s="40" t="n"/>
      <c r="F164" s="39" t="n"/>
      <c r="G164" s="39" t="n"/>
      <c r="H164" s="39" t="n"/>
      <c r="I164" s="40" t="n"/>
      <c r="J164" s="40" t="n"/>
      <c r="K164" s="39" t="n"/>
      <c r="L164" s="40" t="n"/>
      <c r="M164" s="42" t="n"/>
      <c r="N164" s="42" t="n"/>
      <c r="O164" s="43" t="n"/>
      <c r="P164" s="43" t="n"/>
      <c r="Q164" s="43" t="n"/>
      <c r="R164" s="39" t="n"/>
      <c r="S164" s="39" t="n"/>
      <c r="T164" s="39" t="n"/>
      <c r="U164" s="40" t="n"/>
      <c r="V164" s="40" t="n"/>
      <c r="W164" s="46" t="n"/>
      <c r="X164" s="46" t="n"/>
      <c r="Y164" s="46" t="n"/>
      <c r="Z164" s="40" t="n"/>
      <c r="AA164" s="40" t="n"/>
      <c r="AB164" s="40" t="n"/>
      <c r="AC164" s="40" t="n"/>
      <c r="AD164" s="40" t="n"/>
      <c r="AE164" s="47" t="n"/>
      <c r="AF164" s="40" t="n"/>
      <c r="AG164" s="40" t="n"/>
      <c r="AH164" s="40" t="n"/>
      <c r="AI164" s="40" t="n"/>
      <c r="AJ164" s="47" t="n"/>
      <c r="AK164" s="47" t="n"/>
      <c r="AL164" s="47" t="n"/>
      <c r="AM164" s="40" t="n"/>
      <c r="AN164" s="40" t="n"/>
      <c r="AO164" s="43" t="n"/>
      <c r="AP164" s="39" t="n"/>
      <c r="AQ164" s="39" t="n"/>
      <c r="AR164" s="39" t="n"/>
      <c r="AS164" s="39" t="n"/>
      <c r="AT164" s="39" t="n"/>
      <c r="AU164" s="39" t="n"/>
      <c r="AV164" s="39" t="n"/>
      <c r="AW164" s="39" t="n"/>
    </row>
    <row r="165" ht="23" customHeight="1">
      <c r="A165" s="39" t="n"/>
      <c r="B165" s="39" t="n"/>
      <c r="C165" s="40" t="n"/>
      <c r="D165" s="39" t="n"/>
      <c r="E165" s="40" t="n"/>
      <c r="F165" s="39" t="n"/>
      <c r="G165" s="39" t="n"/>
      <c r="H165" s="39" t="n"/>
      <c r="I165" s="40" t="n"/>
      <c r="J165" s="40" t="n"/>
      <c r="K165" s="39" t="n"/>
      <c r="L165" s="40" t="n"/>
      <c r="M165" s="42" t="n"/>
      <c r="N165" s="42" t="n"/>
      <c r="O165" s="43" t="n"/>
      <c r="P165" s="43" t="n"/>
      <c r="Q165" s="43" t="n"/>
      <c r="R165" s="39" t="n"/>
      <c r="S165" s="39" t="n"/>
      <c r="T165" s="39" t="n"/>
      <c r="U165" s="40" t="n"/>
      <c r="V165" s="40" t="n"/>
      <c r="W165" s="46" t="n"/>
      <c r="X165" s="46" t="n"/>
      <c r="Y165" s="46" t="n"/>
      <c r="Z165" s="40" t="n"/>
      <c r="AA165" s="40" t="n"/>
      <c r="AB165" s="40" t="n"/>
      <c r="AC165" s="40" t="n"/>
      <c r="AD165" s="40" t="n"/>
      <c r="AE165" s="47" t="n"/>
      <c r="AF165" s="40" t="n"/>
      <c r="AG165" s="40" t="n"/>
      <c r="AH165" s="40" t="n"/>
      <c r="AI165" s="40" t="n"/>
      <c r="AJ165" s="47" t="n"/>
      <c r="AK165" s="47" t="n"/>
      <c r="AL165" s="47" t="n"/>
      <c r="AM165" s="40" t="n"/>
      <c r="AN165" s="40" t="n"/>
      <c r="AO165" s="43" t="n"/>
      <c r="AP165" s="39" t="n"/>
      <c r="AQ165" s="39" t="n"/>
      <c r="AR165" s="39" t="n"/>
      <c r="AS165" s="39" t="n"/>
      <c r="AT165" s="39" t="n"/>
      <c r="AU165" s="39" t="n"/>
      <c r="AV165" s="39" t="n"/>
      <c r="AW165" s="39" t="n"/>
    </row>
    <row r="166" ht="23" customHeight="1">
      <c r="A166" s="39" t="n"/>
      <c r="B166" s="39" t="n"/>
      <c r="C166" s="40" t="n"/>
      <c r="D166" s="39" t="n"/>
      <c r="E166" s="40" t="n"/>
      <c r="F166" s="39" t="n"/>
      <c r="G166" s="39" t="n"/>
      <c r="H166" s="39" t="n"/>
      <c r="I166" s="40" t="n"/>
      <c r="J166" s="40" t="n"/>
      <c r="K166" s="39" t="n"/>
      <c r="L166" s="40" t="n"/>
      <c r="M166" s="42" t="n"/>
      <c r="N166" s="42" t="n"/>
      <c r="O166" s="43" t="n"/>
      <c r="P166" s="43" t="n"/>
      <c r="Q166" s="43" t="n"/>
      <c r="R166" s="39" t="n"/>
      <c r="S166" s="39" t="n"/>
      <c r="T166" s="39" t="n"/>
      <c r="U166" s="40" t="n"/>
      <c r="V166" s="40" t="n"/>
      <c r="W166" s="46" t="n"/>
      <c r="X166" s="46" t="n"/>
      <c r="Y166" s="46" t="n"/>
      <c r="Z166" s="40" t="n"/>
      <c r="AA166" s="40" t="n"/>
      <c r="AB166" s="40" t="n"/>
      <c r="AC166" s="40" t="n"/>
      <c r="AD166" s="40" t="n"/>
      <c r="AE166" s="47" t="n"/>
      <c r="AF166" s="40" t="n"/>
      <c r="AG166" s="40" t="n"/>
      <c r="AH166" s="40" t="n"/>
      <c r="AI166" s="40" t="n"/>
      <c r="AJ166" s="47" t="n"/>
      <c r="AK166" s="47" t="n"/>
      <c r="AL166" s="47" t="n"/>
      <c r="AM166" s="40" t="n"/>
      <c r="AN166" s="40" t="n"/>
      <c r="AO166" s="43" t="n"/>
      <c r="AP166" s="39" t="n"/>
      <c r="AQ166" s="39" t="n"/>
      <c r="AR166" s="39" t="n"/>
      <c r="AS166" s="39" t="n"/>
      <c r="AT166" s="39" t="n"/>
      <c r="AU166" s="39" t="n"/>
      <c r="AV166" s="39" t="n"/>
      <c r="AW166" s="39" t="n"/>
    </row>
    <row r="167" ht="23" customHeight="1">
      <c r="A167" s="39" t="n"/>
      <c r="B167" s="39" t="n"/>
      <c r="C167" s="40" t="n"/>
      <c r="D167" s="39" t="n"/>
      <c r="E167" s="40" t="n"/>
      <c r="F167" s="39" t="n"/>
      <c r="G167" s="39" t="n"/>
      <c r="H167" s="39" t="n"/>
      <c r="I167" s="40" t="n"/>
      <c r="J167" s="40" t="n"/>
      <c r="K167" s="39" t="n"/>
      <c r="L167" s="40" t="n"/>
      <c r="M167" s="42" t="n"/>
      <c r="N167" s="42" t="n"/>
      <c r="O167" s="43" t="n"/>
      <c r="P167" s="43" t="n"/>
      <c r="Q167" s="43" t="n"/>
      <c r="R167" s="39" t="n"/>
      <c r="S167" s="39" t="n"/>
      <c r="T167" s="39" t="n"/>
      <c r="U167" s="40" t="n"/>
      <c r="V167" s="40" t="n"/>
      <c r="W167" s="46" t="n"/>
      <c r="X167" s="46" t="n"/>
      <c r="Y167" s="46" t="n"/>
      <c r="Z167" s="40" t="n"/>
      <c r="AA167" s="40" t="n"/>
      <c r="AB167" s="40" t="n"/>
      <c r="AC167" s="40" t="n"/>
      <c r="AD167" s="40" t="n"/>
      <c r="AE167" s="47" t="n"/>
      <c r="AF167" s="40" t="n"/>
      <c r="AG167" s="40" t="n"/>
      <c r="AH167" s="40" t="n"/>
      <c r="AI167" s="40" t="n"/>
      <c r="AJ167" s="47" t="n"/>
      <c r="AK167" s="47" t="n"/>
      <c r="AL167" s="47" t="n"/>
      <c r="AM167" s="40" t="n"/>
      <c r="AN167" s="40" t="n"/>
      <c r="AO167" s="43" t="n"/>
      <c r="AP167" s="39" t="n"/>
      <c r="AQ167" s="39" t="n"/>
      <c r="AR167" s="39" t="n"/>
      <c r="AS167" s="39" t="n"/>
      <c r="AT167" s="39" t="n"/>
      <c r="AU167" s="39" t="n"/>
      <c r="AV167" s="39" t="n"/>
      <c r="AW167" s="39" t="n"/>
    </row>
    <row r="168" ht="23" customHeight="1">
      <c r="A168" s="39" t="n"/>
      <c r="B168" s="39" t="n"/>
      <c r="C168" s="40" t="n"/>
      <c r="D168" s="39" t="n"/>
      <c r="E168" s="40" t="n"/>
      <c r="F168" s="39" t="n"/>
      <c r="G168" s="39" t="n"/>
      <c r="H168" s="39" t="n"/>
      <c r="I168" s="40" t="n"/>
      <c r="J168" s="40" t="n"/>
      <c r="K168" s="39" t="n"/>
      <c r="L168" s="40" t="n"/>
      <c r="M168" s="42" t="n"/>
      <c r="N168" s="42" t="n"/>
      <c r="O168" s="43" t="n"/>
      <c r="P168" s="43" t="n"/>
      <c r="Q168" s="43" t="n"/>
      <c r="R168" s="39" t="n"/>
      <c r="S168" s="39" t="n"/>
      <c r="T168" s="39" t="n"/>
      <c r="U168" s="40" t="n"/>
      <c r="V168" s="40" t="n"/>
      <c r="W168" s="46" t="n"/>
      <c r="X168" s="46" t="n"/>
      <c r="Y168" s="46" t="n"/>
      <c r="Z168" s="40" t="n"/>
      <c r="AA168" s="40" t="n"/>
      <c r="AB168" s="40" t="n"/>
      <c r="AC168" s="40" t="n"/>
      <c r="AD168" s="40" t="n"/>
      <c r="AE168" s="47" t="n"/>
      <c r="AF168" s="40" t="n"/>
      <c r="AG168" s="40" t="n"/>
      <c r="AH168" s="40" t="n"/>
      <c r="AI168" s="40" t="n"/>
      <c r="AJ168" s="47" t="n"/>
      <c r="AK168" s="47" t="n"/>
      <c r="AL168" s="47" t="n"/>
      <c r="AM168" s="40" t="n"/>
      <c r="AN168" s="40" t="n"/>
      <c r="AO168" s="43" t="n"/>
      <c r="AP168" s="39" t="n"/>
      <c r="AQ168" s="39" t="n"/>
      <c r="AR168" s="39" t="n"/>
      <c r="AS168" s="39" t="n"/>
      <c r="AT168" s="39" t="n"/>
      <c r="AU168" s="39" t="n"/>
      <c r="AV168" s="39" t="n"/>
      <c r="AW168" s="39" t="n"/>
    </row>
    <row r="169" ht="23" customHeight="1">
      <c r="A169" s="39" t="n"/>
      <c r="B169" s="39" t="n"/>
      <c r="C169" s="40" t="n"/>
      <c r="D169" s="39" t="n"/>
      <c r="E169" s="40" t="n"/>
      <c r="F169" s="39" t="n"/>
      <c r="G169" s="39" t="n"/>
      <c r="H169" s="39" t="n"/>
      <c r="I169" s="40" t="n"/>
      <c r="J169" s="40" t="n"/>
      <c r="K169" s="39" t="n"/>
      <c r="L169" s="40" t="n"/>
      <c r="M169" s="42" t="n"/>
      <c r="N169" s="42" t="n"/>
      <c r="O169" s="43" t="n"/>
      <c r="P169" s="43" t="n"/>
      <c r="Q169" s="43" t="n"/>
      <c r="R169" s="39" t="n"/>
      <c r="S169" s="39" t="n"/>
      <c r="T169" s="39" t="n"/>
      <c r="U169" s="40" t="n"/>
      <c r="V169" s="40" t="n"/>
      <c r="W169" s="46" t="n"/>
      <c r="X169" s="46" t="n"/>
      <c r="Y169" s="46" t="n"/>
      <c r="Z169" s="40" t="n"/>
      <c r="AA169" s="40" t="n"/>
      <c r="AB169" s="40" t="n"/>
      <c r="AC169" s="40" t="n"/>
      <c r="AD169" s="40" t="n"/>
      <c r="AE169" s="47" t="n"/>
      <c r="AF169" s="40" t="n"/>
      <c r="AG169" s="40" t="n"/>
      <c r="AH169" s="40" t="n"/>
      <c r="AI169" s="40" t="n"/>
      <c r="AJ169" s="47" t="n"/>
      <c r="AK169" s="47" t="n"/>
      <c r="AL169" s="47" t="n"/>
      <c r="AM169" s="40" t="n"/>
      <c r="AN169" s="40" t="n"/>
      <c r="AO169" s="43" t="n"/>
      <c r="AP169" s="39" t="n"/>
      <c r="AQ169" s="39" t="n"/>
      <c r="AR169" s="39" t="n"/>
      <c r="AS169" s="39" t="n"/>
      <c r="AT169" s="39" t="n"/>
      <c r="AU169" s="39" t="n"/>
      <c r="AV169" s="39" t="n"/>
      <c r="AW169" s="39" t="n"/>
    </row>
    <row r="170" ht="23" customHeight="1">
      <c r="A170" s="39" t="n"/>
      <c r="B170" s="39" t="n"/>
      <c r="C170" s="40" t="n"/>
      <c r="D170" s="39" t="n"/>
      <c r="E170" s="40" t="n"/>
      <c r="F170" s="39" t="n"/>
      <c r="G170" s="39" t="n"/>
      <c r="H170" s="39" t="n"/>
      <c r="I170" s="40" t="n"/>
      <c r="J170" s="40" t="n"/>
      <c r="K170" s="39" t="n"/>
      <c r="L170" s="40" t="n"/>
      <c r="M170" s="42" t="n"/>
      <c r="N170" s="42" t="n"/>
      <c r="O170" s="43" t="n"/>
      <c r="P170" s="43" t="n"/>
      <c r="Q170" s="43" t="n"/>
      <c r="R170" s="39" t="n"/>
      <c r="S170" s="39" t="n"/>
      <c r="T170" s="39" t="n"/>
      <c r="U170" s="40" t="n"/>
      <c r="V170" s="40" t="n"/>
      <c r="W170" s="46" t="n"/>
      <c r="X170" s="46" t="n"/>
      <c r="Y170" s="46" t="n"/>
      <c r="Z170" s="40" t="n"/>
      <c r="AA170" s="40" t="n"/>
      <c r="AB170" s="40" t="n"/>
      <c r="AC170" s="40" t="n"/>
      <c r="AD170" s="40" t="n"/>
      <c r="AE170" s="47" t="n"/>
      <c r="AF170" s="40" t="n"/>
      <c r="AG170" s="40" t="n"/>
      <c r="AH170" s="40" t="n"/>
      <c r="AI170" s="40" t="n"/>
      <c r="AJ170" s="47" t="n"/>
      <c r="AK170" s="47" t="n"/>
      <c r="AL170" s="47" t="n"/>
      <c r="AM170" s="40" t="n"/>
      <c r="AN170" s="40" t="n"/>
      <c r="AO170" s="43" t="n"/>
      <c r="AP170" s="39" t="n"/>
      <c r="AQ170" s="39" t="n"/>
      <c r="AR170" s="39" t="n"/>
      <c r="AS170" s="39" t="n"/>
      <c r="AT170" s="39" t="n"/>
      <c r="AU170" s="39" t="n"/>
      <c r="AV170" s="39" t="n"/>
      <c r="AW170" s="39" t="n"/>
    </row>
    <row r="171" ht="23" customHeight="1">
      <c r="A171" s="39" t="n"/>
      <c r="B171" s="39" t="n"/>
      <c r="C171" s="40" t="n"/>
      <c r="D171" s="39" t="n"/>
      <c r="E171" s="40" t="n"/>
      <c r="F171" s="39" t="n"/>
      <c r="G171" s="39" t="n"/>
      <c r="H171" s="39" t="n"/>
      <c r="I171" s="40" t="n"/>
      <c r="J171" s="40" t="n"/>
      <c r="K171" s="39" t="n"/>
      <c r="L171" s="40" t="n"/>
      <c r="M171" s="42" t="n"/>
      <c r="N171" s="42" t="n"/>
      <c r="O171" s="43" t="n"/>
      <c r="P171" s="43" t="n"/>
      <c r="Q171" s="43" t="n"/>
      <c r="R171" s="39" t="n"/>
      <c r="S171" s="39" t="n"/>
      <c r="T171" s="39" t="n"/>
      <c r="U171" s="40" t="n"/>
      <c r="V171" s="40" t="n"/>
      <c r="W171" s="46" t="n"/>
      <c r="X171" s="46" t="n"/>
      <c r="Y171" s="46" t="n"/>
      <c r="Z171" s="40" t="n"/>
      <c r="AA171" s="40" t="n"/>
      <c r="AB171" s="40" t="n"/>
      <c r="AC171" s="40" t="n"/>
      <c r="AD171" s="40" t="n"/>
      <c r="AE171" s="47" t="n"/>
      <c r="AF171" s="40" t="n"/>
      <c r="AG171" s="40" t="n"/>
      <c r="AH171" s="40" t="n"/>
      <c r="AI171" s="40" t="n"/>
      <c r="AJ171" s="47" t="n"/>
      <c r="AK171" s="47" t="n"/>
      <c r="AL171" s="47" t="n"/>
      <c r="AM171" s="40" t="n"/>
      <c r="AN171" s="40" t="n"/>
      <c r="AO171" s="43" t="n"/>
      <c r="AP171" s="39" t="n"/>
      <c r="AQ171" s="39" t="n"/>
      <c r="AR171" s="39" t="n"/>
      <c r="AS171" s="39" t="n"/>
      <c r="AT171" s="39" t="n"/>
      <c r="AU171" s="39" t="n"/>
      <c r="AV171" s="39" t="n"/>
      <c r="AW171" s="39" t="n"/>
    </row>
    <row r="172" ht="23" customHeight="1">
      <c r="A172" s="39" t="n"/>
      <c r="B172" s="39" t="n"/>
      <c r="C172" s="40" t="n"/>
      <c r="D172" s="39" t="n"/>
      <c r="E172" s="40" t="n"/>
      <c r="F172" s="39" t="n"/>
      <c r="G172" s="39" t="n"/>
      <c r="H172" s="39" t="n"/>
      <c r="I172" s="40" t="n"/>
      <c r="J172" s="40" t="n"/>
      <c r="K172" s="39" t="n"/>
      <c r="L172" s="40" t="n"/>
      <c r="M172" s="42" t="n"/>
      <c r="N172" s="42" t="n"/>
      <c r="O172" s="43" t="n"/>
      <c r="P172" s="43" t="n"/>
      <c r="Q172" s="43" t="n"/>
      <c r="R172" s="39" t="n"/>
      <c r="S172" s="39" t="n"/>
      <c r="T172" s="39" t="n"/>
      <c r="U172" s="40" t="n"/>
      <c r="V172" s="40" t="n"/>
      <c r="W172" s="46" t="n"/>
      <c r="X172" s="46" t="n"/>
      <c r="Y172" s="46" t="n"/>
      <c r="Z172" s="40" t="n"/>
      <c r="AA172" s="40" t="n"/>
      <c r="AB172" s="40" t="n"/>
      <c r="AC172" s="40" t="n"/>
      <c r="AD172" s="40" t="n"/>
      <c r="AE172" s="47" t="n"/>
      <c r="AF172" s="40" t="n"/>
      <c r="AG172" s="40" t="n"/>
      <c r="AH172" s="40" t="n"/>
      <c r="AI172" s="40" t="n"/>
      <c r="AJ172" s="47" t="n"/>
      <c r="AK172" s="47" t="n"/>
      <c r="AL172" s="47" t="n"/>
      <c r="AM172" s="40" t="n"/>
      <c r="AN172" s="40" t="n"/>
      <c r="AO172" s="43" t="n"/>
      <c r="AP172" s="39" t="n"/>
      <c r="AQ172" s="39" t="n"/>
      <c r="AR172" s="39" t="n"/>
      <c r="AS172" s="39" t="n"/>
      <c r="AT172" s="39" t="n"/>
      <c r="AU172" s="39" t="n"/>
      <c r="AV172" s="39" t="n"/>
      <c r="AW172" s="39" t="n"/>
    </row>
    <row r="173" ht="23" customHeight="1">
      <c r="A173" s="39" t="n"/>
      <c r="B173" s="39" t="n"/>
      <c r="C173" s="40" t="n"/>
      <c r="D173" s="39" t="n"/>
      <c r="E173" s="40" t="n"/>
      <c r="F173" s="39" t="n"/>
      <c r="G173" s="39" t="n"/>
      <c r="H173" s="39" t="n"/>
      <c r="I173" s="40" t="n"/>
      <c r="J173" s="40" t="n"/>
      <c r="K173" s="39" t="n"/>
      <c r="L173" s="40" t="n"/>
      <c r="M173" s="42" t="n"/>
      <c r="N173" s="42" t="n"/>
      <c r="O173" s="43" t="n"/>
      <c r="P173" s="43" t="n"/>
      <c r="Q173" s="43" t="n"/>
      <c r="R173" s="39" t="n"/>
      <c r="S173" s="39" t="n"/>
      <c r="T173" s="39" t="n"/>
      <c r="U173" s="40" t="n"/>
      <c r="V173" s="40" t="n"/>
      <c r="W173" s="46" t="n"/>
      <c r="X173" s="46" t="n"/>
      <c r="Y173" s="46" t="n"/>
      <c r="Z173" s="40" t="n"/>
      <c r="AA173" s="40" t="n"/>
      <c r="AB173" s="40" t="n"/>
      <c r="AC173" s="40" t="n"/>
      <c r="AD173" s="40" t="n"/>
      <c r="AE173" s="47" t="n"/>
      <c r="AF173" s="40" t="n"/>
      <c r="AG173" s="40" t="n"/>
      <c r="AH173" s="40" t="n"/>
      <c r="AI173" s="40" t="n"/>
      <c r="AJ173" s="47" t="n"/>
      <c r="AK173" s="47" t="n"/>
      <c r="AL173" s="47" t="n"/>
      <c r="AM173" s="40" t="n"/>
      <c r="AN173" s="40" t="n"/>
      <c r="AO173" s="43" t="n"/>
      <c r="AP173" s="39" t="n"/>
      <c r="AQ173" s="39" t="n"/>
      <c r="AR173" s="39" t="n"/>
      <c r="AS173" s="39" t="n"/>
      <c r="AT173" s="39" t="n"/>
      <c r="AU173" s="39" t="n"/>
      <c r="AV173" s="39" t="n"/>
      <c r="AW173" s="39" t="n"/>
    </row>
    <row r="174" ht="23" customHeight="1">
      <c r="A174" s="39" t="n"/>
      <c r="B174" s="39" t="n"/>
      <c r="C174" s="40" t="n"/>
      <c r="D174" s="39" t="n"/>
      <c r="E174" s="40" t="n"/>
      <c r="F174" s="39" t="n"/>
      <c r="G174" s="39" t="n"/>
      <c r="H174" s="39" t="n"/>
      <c r="I174" s="40" t="n"/>
      <c r="J174" s="40" t="n"/>
      <c r="K174" s="39" t="n"/>
      <c r="L174" s="40" t="n"/>
      <c r="M174" s="42" t="n"/>
      <c r="N174" s="42" t="n"/>
      <c r="O174" s="43" t="n"/>
      <c r="P174" s="43" t="n"/>
      <c r="Q174" s="43" t="n"/>
      <c r="R174" s="39" t="n"/>
      <c r="S174" s="39" t="n"/>
      <c r="T174" s="39" t="n"/>
      <c r="U174" s="40" t="n"/>
      <c r="V174" s="40" t="n"/>
      <c r="W174" s="46" t="n"/>
      <c r="X174" s="46" t="n"/>
      <c r="Y174" s="46" t="n"/>
      <c r="Z174" s="40" t="n"/>
      <c r="AA174" s="40" t="n"/>
      <c r="AB174" s="40" t="n"/>
      <c r="AC174" s="40" t="n"/>
      <c r="AD174" s="40" t="n"/>
      <c r="AE174" s="47" t="n"/>
      <c r="AF174" s="40" t="n"/>
      <c r="AG174" s="40" t="n"/>
      <c r="AH174" s="40" t="n"/>
      <c r="AI174" s="40" t="n"/>
      <c r="AJ174" s="47" t="n"/>
      <c r="AK174" s="47" t="n"/>
      <c r="AL174" s="47" t="n"/>
      <c r="AM174" s="40" t="n"/>
      <c r="AN174" s="40" t="n"/>
      <c r="AO174" s="43" t="n"/>
      <c r="AP174" s="39" t="n"/>
      <c r="AQ174" s="39" t="n"/>
      <c r="AR174" s="39" t="n"/>
      <c r="AS174" s="39" t="n"/>
      <c r="AT174" s="39" t="n"/>
      <c r="AU174" s="39" t="n"/>
      <c r="AV174" s="39" t="n"/>
      <c r="AW174" s="39" t="n"/>
    </row>
    <row r="175" ht="23" customHeight="1">
      <c r="A175" s="39" t="n"/>
      <c r="B175" s="39" t="n"/>
      <c r="C175" s="40" t="n"/>
      <c r="D175" s="39" t="n"/>
      <c r="E175" s="40" t="n"/>
      <c r="F175" s="39" t="n"/>
      <c r="G175" s="39" t="n"/>
      <c r="H175" s="39" t="n"/>
      <c r="I175" s="40" t="n"/>
      <c r="J175" s="40" t="n"/>
      <c r="K175" s="39" t="n"/>
      <c r="L175" s="40" t="n"/>
      <c r="M175" s="42" t="n"/>
      <c r="N175" s="42" t="n"/>
      <c r="O175" s="43" t="n"/>
      <c r="P175" s="43" t="n"/>
      <c r="Q175" s="43" t="n"/>
      <c r="R175" s="39" t="n"/>
      <c r="S175" s="39" t="n"/>
      <c r="T175" s="39" t="n"/>
      <c r="U175" s="40" t="n"/>
      <c r="V175" s="40" t="n"/>
      <c r="W175" s="46" t="n"/>
      <c r="X175" s="46" t="n"/>
      <c r="Y175" s="46" t="n"/>
      <c r="Z175" s="40" t="n"/>
      <c r="AA175" s="40" t="n"/>
      <c r="AB175" s="40" t="n"/>
      <c r="AC175" s="40" t="n"/>
      <c r="AD175" s="40" t="n"/>
      <c r="AE175" s="47" t="n"/>
      <c r="AF175" s="40" t="n"/>
      <c r="AG175" s="40" t="n"/>
      <c r="AH175" s="40" t="n"/>
      <c r="AI175" s="40" t="n"/>
      <c r="AJ175" s="47" t="n"/>
      <c r="AK175" s="47" t="n"/>
      <c r="AL175" s="47" t="n"/>
      <c r="AM175" s="40" t="n"/>
      <c r="AN175" s="40" t="n"/>
      <c r="AO175" s="43" t="n"/>
      <c r="AP175" s="39" t="n"/>
      <c r="AQ175" s="39" t="n"/>
      <c r="AR175" s="39" t="n"/>
      <c r="AS175" s="39" t="n"/>
      <c r="AT175" s="39" t="n"/>
      <c r="AU175" s="39" t="n"/>
      <c r="AV175" s="39" t="n"/>
      <c r="AW175" s="39" t="n"/>
    </row>
    <row r="176" ht="23" customHeight="1">
      <c r="A176" s="39" t="n"/>
      <c r="B176" s="39" t="n"/>
      <c r="C176" s="40" t="n"/>
      <c r="D176" s="39" t="n"/>
      <c r="E176" s="40" t="n"/>
      <c r="F176" s="39" t="n"/>
      <c r="G176" s="39" t="n"/>
      <c r="H176" s="39" t="n"/>
      <c r="I176" s="40" t="n"/>
      <c r="J176" s="40" t="n"/>
      <c r="K176" s="39" t="n"/>
      <c r="L176" s="40" t="n"/>
      <c r="M176" s="42" t="n"/>
      <c r="N176" s="42" t="n"/>
      <c r="O176" s="43" t="n"/>
      <c r="P176" s="43" t="n"/>
      <c r="Q176" s="43" t="n"/>
      <c r="R176" s="39" t="n"/>
      <c r="S176" s="39" t="n"/>
      <c r="T176" s="39" t="n"/>
      <c r="U176" s="40" t="n"/>
      <c r="V176" s="40" t="n"/>
      <c r="W176" s="46" t="n"/>
      <c r="X176" s="46" t="n"/>
      <c r="Y176" s="46" t="n"/>
      <c r="Z176" s="40" t="n"/>
      <c r="AA176" s="40" t="n"/>
      <c r="AB176" s="40" t="n"/>
      <c r="AC176" s="40" t="n"/>
      <c r="AD176" s="40" t="n"/>
      <c r="AE176" s="47" t="n"/>
      <c r="AF176" s="40" t="n"/>
      <c r="AG176" s="40" t="n"/>
      <c r="AH176" s="40" t="n"/>
      <c r="AI176" s="40" t="n"/>
      <c r="AJ176" s="47" t="n"/>
      <c r="AK176" s="47" t="n"/>
      <c r="AL176" s="47" t="n"/>
      <c r="AM176" s="40" t="n"/>
      <c r="AN176" s="40" t="n"/>
      <c r="AO176" s="43" t="n"/>
      <c r="AP176" s="39" t="n"/>
      <c r="AQ176" s="39" t="n"/>
      <c r="AR176" s="39" t="n"/>
      <c r="AS176" s="39" t="n"/>
      <c r="AT176" s="39" t="n"/>
      <c r="AU176" s="39" t="n"/>
      <c r="AV176" s="39" t="n"/>
      <c r="AW176" s="39" t="n"/>
    </row>
    <row r="177" ht="23" customHeight="1">
      <c r="A177" s="39" t="n"/>
      <c r="B177" s="39" t="n"/>
      <c r="C177" s="40" t="n"/>
      <c r="D177" s="39" t="n"/>
      <c r="E177" s="40" t="n"/>
      <c r="F177" s="39" t="n"/>
      <c r="G177" s="39" t="n"/>
      <c r="H177" s="39" t="n"/>
      <c r="I177" s="40" t="n"/>
      <c r="J177" s="40" t="n"/>
      <c r="K177" s="39" t="n"/>
      <c r="L177" s="40" t="n"/>
      <c r="M177" s="42" t="n"/>
      <c r="N177" s="42" t="n"/>
      <c r="O177" s="43" t="n"/>
      <c r="P177" s="43" t="n"/>
      <c r="Q177" s="43" t="n"/>
      <c r="R177" s="39" t="n"/>
      <c r="S177" s="39" t="n"/>
      <c r="T177" s="39" t="n"/>
      <c r="U177" s="40" t="n"/>
      <c r="V177" s="40" t="n"/>
      <c r="W177" s="46" t="n"/>
      <c r="X177" s="46" t="n"/>
      <c r="Y177" s="46" t="n"/>
      <c r="Z177" s="40" t="n"/>
      <c r="AA177" s="40" t="n"/>
      <c r="AB177" s="40" t="n"/>
      <c r="AC177" s="40" t="n"/>
      <c r="AD177" s="40" t="n"/>
      <c r="AE177" s="47" t="n"/>
      <c r="AF177" s="40" t="n"/>
      <c r="AG177" s="40" t="n"/>
      <c r="AH177" s="40" t="n"/>
      <c r="AI177" s="40" t="n"/>
      <c r="AJ177" s="47" t="n"/>
      <c r="AK177" s="47" t="n"/>
      <c r="AL177" s="47" t="n"/>
      <c r="AM177" s="40" t="n"/>
      <c r="AN177" s="40" t="n"/>
      <c r="AO177" s="43" t="n"/>
      <c r="AP177" s="39" t="n"/>
      <c r="AQ177" s="39" t="n"/>
      <c r="AR177" s="39" t="n"/>
      <c r="AS177" s="39" t="n"/>
      <c r="AT177" s="39" t="n"/>
      <c r="AU177" s="39" t="n"/>
      <c r="AV177" s="39" t="n"/>
      <c r="AW177" s="39" t="n"/>
    </row>
    <row r="178" ht="23" customHeight="1">
      <c r="A178" s="39" t="n"/>
      <c r="B178" s="39" t="n"/>
      <c r="C178" s="40" t="n"/>
      <c r="D178" s="39" t="n"/>
      <c r="E178" s="40" t="n"/>
      <c r="F178" s="39" t="n"/>
      <c r="G178" s="39" t="n"/>
      <c r="H178" s="39" t="n"/>
      <c r="I178" s="40" t="n"/>
      <c r="J178" s="40" t="n"/>
      <c r="K178" s="39" t="n"/>
      <c r="L178" s="40" t="n"/>
      <c r="M178" s="42" t="n"/>
      <c r="N178" s="42" t="n"/>
      <c r="O178" s="43" t="n"/>
      <c r="P178" s="43" t="n"/>
      <c r="Q178" s="43" t="n"/>
      <c r="R178" s="39" t="n"/>
      <c r="S178" s="39" t="n"/>
      <c r="T178" s="39" t="n"/>
      <c r="U178" s="40" t="n"/>
      <c r="V178" s="40" t="n"/>
      <c r="W178" s="46" t="n"/>
      <c r="X178" s="46" t="n"/>
      <c r="Y178" s="46" t="n"/>
      <c r="Z178" s="40" t="n"/>
      <c r="AA178" s="40" t="n"/>
      <c r="AB178" s="40" t="n"/>
      <c r="AC178" s="40" t="n"/>
      <c r="AD178" s="40" t="n"/>
      <c r="AE178" s="47" t="n"/>
      <c r="AF178" s="40" t="n"/>
      <c r="AG178" s="40" t="n"/>
      <c r="AH178" s="40" t="n"/>
      <c r="AI178" s="40" t="n"/>
      <c r="AJ178" s="47" t="n"/>
      <c r="AK178" s="47" t="n"/>
      <c r="AL178" s="47" t="n"/>
      <c r="AM178" s="40" t="n"/>
      <c r="AN178" s="40" t="n"/>
      <c r="AO178" s="43" t="n"/>
      <c r="AP178" s="39" t="n"/>
      <c r="AQ178" s="39" t="n"/>
      <c r="AR178" s="39" t="n"/>
      <c r="AS178" s="39" t="n"/>
      <c r="AT178" s="39" t="n"/>
      <c r="AU178" s="39" t="n"/>
      <c r="AV178" s="39" t="n"/>
      <c r="AW178" s="39" t="n"/>
    </row>
    <row r="179" ht="23" customHeight="1">
      <c r="A179" s="39" t="n"/>
      <c r="B179" s="39" t="n"/>
      <c r="C179" s="40" t="n"/>
      <c r="D179" s="39" t="n"/>
      <c r="E179" s="40" t="n"/>
      <c r="F179" s="39" t="n"/>
      <c r="G179" s="39" t="n"/>
      <c r="H179" s="39" t="n"/>
      <c r="I179" s="40" t="n"/>
      <c r="J179" s="40" t="n"/>
      <c r="K179" s="39" t="n"/>
      <c r="L179" s="40" t="n"/>
      <c r="M179" s="42" t="n"/>
      <c r="N179" s="42" t="n"/>
      <c r="O179" s="43" t="n"/>
      <c r="P179" s="43" t="n"/>
      <c r="Q179" s="43" t="n"/>
      <c r="R179" s="39" t="n"/>
      <c r="S179" s="39" t="n"/>
      <c r="T179" s="39" t="n"/>
      <c r="U179" s="40" t="n"/>
      <c r="V179" s="40" t="n"/>
      <c r="W179" s="46" t="n"/>
      <c r="X179" s="46" t="n"/>
      <c r="Y179" s="46" t="n"/>
      <c r="Z179" s="40" t="n"/>
      <c r="AA179" s="40" t="n"/>
      <c r="AB179" s="40" t="n"/>
      <c r="AC179" s="40" t="n"/>
      <c r="AD179" s="40" t="n"/>
      <c r="AE179" s="47" t="n"/>
      <c r="AF179" s="40" t="n"/>
      <c r="AG179" s="40" t="n"/>
      <c r="AH179" s="40" t="n"/>
      <c r="AI179" s="40" t="n"/>
      <c r="AJ179" s="47" t="n"/>
      <c r="AK179" s="47" t="n"/>
      <c r="AL179" s="47" t="n"/>
      <c r="AM179" s="40" t="n"/>
      <c r="AN179" s="40" t="n"/>
      <c r="AO179" s="43" t="n"/>
      <c r="AP179" s="39" t="n"/>
      <c r="AQ179" s="39" t="n"/>
      <c r="AR179" s="39" t="n"/>
      <c r="AS179" s="39" t="n"/>
      <c r="AT179" s="39" t="n"/>
      <c r="AU179" s="39" t="n"/>
      <c r="AV179" s="39" t="n"/>
      <c r="AW179" s="39" t="n"/>
    </row>
    <row r="180" ht="23" customHeight="1">
      <c r="A180" s="39" t="n"/>
      <c r="B180" s="39" t="n"/>
      <c r="C180" s="40" t="n"/>
      <c r="D180" s="39" t="n"/>
      <c r="E180" s="40" t="n"/>
      <c r="F180" s="39" t="n"/>
      <c r="G180" s="39" t="n"/>
      <c r="H180" s="39" t="n"/>
      <c r="I180" s="40" t="n"/>
      <c r="J180" s="40" t="n"/>
      <c r="K180" s="39" t="n"/>
      <c r="L180" s="40" t="n"/>
      <c r="M180" s="42" t="n"/>
      <c r="N180" s="42" t="n"/>
      <c r="O180" s="43" t="n"/>
      <c r="P180" s="43" t="n"/>
      <c r="Q180" s="43" t="n"/>
      <c r="R180" s="39" t="n"/>
      <c r="S180" s="39" t="n"/>
      <c r="T180" s="39" t="n"/>
      <c r="U180" s="40" t="n"/>
      <c r="V180" s="40" t="n"/>
      <c r="W180" s="46" t="n"/>
      <c r="X180" s="46" t="n"/>
      <c r="Y180" s="46" t="n"/>
      <c r="Z180" s="40" t="n"/>
      <c r="AA180" s="40" t="n"/>
      <c r="AB180" s="40" t="n"/>
      <c r="AC180" s="40" t="n"/>
      <c r="AD180" s="40" t="n"/>
      <c r="AE180" s="47" t="n"/>
      <c r="AF180" s="40" t="n"/>
      <c r="AG180" s="40" t="n"/>
      <c r="AH180" s="40" t="n"/>
      <c r="AI180" s="40" t="n"/>
      <c r="AJ180" s="47" t="n"/>
      <c r="AK180" s="47" t="n"/>
      <c r="AL180" s="47" t="n"/>
      <c r="AM180" s="40" t="n"/>
      <c r="AN180" s="40" t="n"/>
      <c r="AO180" s="43" t="n"/>
      <c r="AP180" s="39" t="n"/>
      <c r="AQ180" s="39" t="n"/>
      <c r="AR180" s="39" t="n"/>
      <c r="AS180" s="39" t="n"/>
      <c r="AT180" s="39" t="n"/>
      <c r="AU180" s="39" t="n"/>
      <c r="AV180" s="39" t="n"/>
      <c r="AW180" s="39" t="n"/>
    </row>
    <row r="181" ht="23" customHeight="1">
      <c r="A181" s="39" t="n"/>
      <c r="B181" s="39" t="n"/>
      <c r="C181" s="40" t="n"/>
      <c r="D181" s="39" t="n"/>
      <c r="E181" s="40" t="n"/>
      <c r="F181" s="39" t="n"/>
      <c r="G181" s="39" t="n"/>
      <c r="H181" s="39" t="n"/>
      <c r="I181" s="40" t="n"/>
      <c r="J181" s="40" t="n"/>
      <c r="K181" s="39" t="n"/>
      <c r="L181" s="40" t="n"/>
      <c r="M181" s="42" t="n"/>
      <c r="N181" s="42" t="n"/>
      <c r="O181" s="43" t="n"/>
      <c r="P181" s="43" t="n"/>
      <c r="Q181" s="43" t="n"/>
      <c r="R181" s="39" t="n"/>
      <c r="S181" s="39" t="n"/>
      <c r="T181" s="39" t="n"/>
      <c r="U181" s="40" t="n"/>
      <c r="V181" s="40" t="n"/>
      <c r="W181" s="46" t="n"/>
      <c r="X181" s="46" t="n"/>
      <c r="Y181" s="46" t="n"/>
      <c r="Z181" s="40" t="n"/>
      <c r="AA181" s="40" t="n"/>
      <c r="AB181" s="40" t="n"/>
      <c r="AC181" s="40" t="n"/>
      <c r="AD181" s="40" t="n"/>
      <c r="AE181" s="47" t="n"/>
      <c r="AF181" s="40" t="n"/>
      <c r="AG181" s="40" t="n"/>
      <c r="AH181" s="40" t="n"/>
      <c r="AI181" s="40" t="n"/>
      <c r="AJ181" s="47" t="n"/>
      <c r="AK181" s="47" t="n"/>
      <c r="AL181" s="47" t="n"/>
      <c r="AM181" s="40" t="n"/>
      <c r="AN181" s="40" t="n"/>
      <c r="AO181" s="43" t="n"/>
      <c r="AP181" s="39" t="n"/>
      <c r="AQ181" s="39" t="n"/>
      <c r="AR181" s="39" t="n"/>
      <c r="AS181" s="39" t="n"/>
      <c r="AT181" s="39" t="n"/>
      <c r="AU181" s="39" t="n"/>
      <c r="AV181" s="39" t="n"/>
      <c r="AW181" s="39" t="n"/>
    </row>
    <row r="182" ht="23" customHeight="1">
      <c r="A182" s="39" t="n"/>
      <c r="B182" s="39" t="n"/>
      <c r="C182" s="40" t="n"/>
      <c r="D182" s="39" t="n"/>
      <c r="E182" s="40" t="n"/>
      <c r="F182" s="39" t="n"/>
      <c r="G182" s="39" t="n"/>
      <c r="H182" s="39" t="n"/>
      <c r="I182" s="40" t="n"/>
      <c r="J182" s="40" t="n"/>
      <c r="K182" s="39" t="n"/>
      <c r="L182" s="40" t="n"/>
      <c r="M182" s="42" t="n"/>
      <c r="N182" s="42" t="n"/>
      <c r="O182" s="43" t="n"/>
      <c r="P182" s="43" t="n"/>
      <c r="Q182" s="43" t="n"/>
      <c r="R182" s="39" t="n"/>
      <c r="S182" s="39" t="n"/>
      <c r="T182" s="39" t="n"/>
      <c r="U182" s="40" t="n"/>
      <c r="V182" s="40" t="n"/>
      <c r="W182" s="46" t="n"/>
      <c r="X182" s="46" t="n"/>
      <c r="Y182" s="46" t="n"/>
      <c r="Z182" s="40" t="n"/>
      <c r="AA182" s="40" t="n"/>
      <c r="AB182" s="40" t="n"/>
      <c r="AC182" s="40" t="n"/>
      <c r="AD182" s="40" t="n"/>
      <c r="AE182" s="47" t="n"/>
      <c r="AF182" s="40" t="n"/>
      <c r="AG182" s="40" t="n"/>
      <c r="AH182" s="40" t="n"/>
      <c r="AI182" s="40" t="n"/>
      <c r="AJ182" s="47" t="n"/>
      <c r="AK182" s="47" t="n"/>
      <c r="AL182" s="47" t="n"/>
      <c r="AM182" s="40" t="n"/>
      <c r="AN182" s="40" t="n"/>
      <c r="AO182" s="43" t="n"/>
      <c r="AP182" s="39" t="n"/>
      <c r="AQ182" s="39" t="n"/>
      <c r="AR182" s="39" t="n"/>
      <c r="AS182" s="39" t="n"/>
      <c r="AT182" s="39" t="n"/>
      <c r="AU182" s="39" t="n"/>
      <c r="AV182" s="39" t="n"/>
      <c r="AW182" s="39" t="n"/>
    </row>
    <row r="183" ht="23" customHeight="1">
      <c r="A183" s="39" t="n"/>
      <c r="B183" s="39" t="n"/>
      <c r="C183" s="40" t="n"/>
      <c r="D183" s="39" t="n"/>
      <c r="E183" s="40" t="n"/>
      <c r="F183" s="39" t="n"/>
      <c r="G183" s="39" t="n"/>
      <c r="H183" s="39" t="n"/>
      <c r="I183" s="40" t="n"/>
      <c r="J183" s="40" t="n"/>
      <c r="K183" s="39" t="n"/>
      <c r="L183" s="40" t="n"/>
      <c r="M183" s="42" t="n"/>
      <c r="N183" s="42" t="n"/>
      <c r="O183" s="43" t="n"/>
      <c r="P183" s="43" t="n"/>
      <c r="Q183" s="43" t="n"/>
      <c r="R183" s="39" t="n"/>
      <c r="S183" s="39" t="n"/>
      <c r="T183" s="39" t="n"/>
      <c r="U183" s="40" t="n"/>
      <c r="V183" s="40" t="n"/>
      <c r="W183" s="46" t="n"/>
      <c r="X183" s="46" t="n"/>
      <c r="Y183" s="46" t="n"/>
      <c r="Z183" s="40" t="n"/>
      <c r="AA183" s="40" t="n"/>
      <c r="AB183" s="40" t="n"/>
      <c r="AC183" s="40" t="n"/>
      <c r="AD183" s="40" t="n"/>
      <c r="AE183" s="47" t="n"/>
      <c r="AF183" s="40" t="n"/>
      <c r="AG183" s="40" t="n"/>
      <c r="AH183" s="40" t="n"/>
      <c r="AI183" s="40" t="n"/>
      <c r="AJ183" s="47" t="n"/>
      <c r="AK183" s="47" t="n"/>
      <c r="AL183" s="47" t="n"/>
      <c r="AM183" s="40" t="n"/>
      <c r="AN183" s="40" t="n"/>
      <c r="AO183" s="43" t="n"/>
      <c r="AP183" s="39" t="n"/>
      <c r="AQ183" s="39" t="n"/>
      <c r="AR183" s="39" t="n"/>
      <c r="AS183" s="39" t="n"/>
      <c r="AT183" s="39" t="n"/>
      <c r="AU183" s="39" t="n"/>
      <c r="AV183" s="39" t="n"/>
      <c r="AW183" s="39" t="n"/>
    </row>
    <row r="184" ht="23" customHeight="1">
      <c r="A184" s="39" t="n"/>
      <c r="B184" s="39" t="n"/>
      <c r="C184" s="40" t="n"/>
      <c r="D184" s="39" t="n"/>
      <c r="E184" s="40" t="n"/>
      <c r="F184" s="39" t="n"/>
      <c r="G184" s="39" t="n"/>
      <c r="H184" s="39" t="n"/>
      <c r="I184" s="40" t="n"/>
      <c r="J184" s="40" t="n"/>
      <c r="K184" s="39" t="n"/>
      <c r="L184" s="40" t="n"/>
      <c r="M184" s="42" t="n"/>
      <c r="N184" s="42" t="n"/>
      <c r="O184" s="43" t="n"/>
      <c r="P184" s="43" t="n"/>
      <c r="Q184" s="43" t="n"/>
      <c r="R184" s="39" t="n"/>
      <c r="S184" s="39" t="n"/>
      <c r="T184" s="39" t="n"/>
      <c r="U184" s="40" t="n"/>
      <c r="V184" s="40" t="n"/>
      <c r="W184" s="46" t="n"/>
      <c r="X184" s="46" t="n"/>
      <c r="Y184" s="46" t="n"/>
      <c r="Z184" s="40" t="n"/>
      <c r="AA184" s="40" t="n"/>
      <c r="AB184" s="40" t="n"/>
      <c r="AC184" s="40" t="n"/>
      <c r="AD184" s="40" t="n"/>
      <c r="AE184" s="47" t="n"/>
      <c r="AF184" s="40" t="n"/>
      <c r="AG184" s="40" t="n"/>
      <c r="AH184" s="40" t="n"/>
      <c r="AI184" s="40" t="n"/>
      <c r="AJ184" s="47" t="n"/>
      <c r="AK184" s="47" t="n"/>
      <c r="AL184" s="47" t="n"/>
      <c r="AM184" s="40" t="n"/>
      <c r="AN184" s="40" t="n"/>
      <c r="AO184" s="43" t="n"/>
      <c r="AP184" s="39" t="n"/>
      <c r="AQ184" s="39" t="n"/>
      <c r="AR184" s="39" t="n"/>
      <c r="AS184" s="39" t="n"/>
      <c r="AT184" s="39" t="n"/>
      <c r="AU184" s="39" t="n"/>
      <c r="AV184" s="39" t="n"/>
      <c r="AW184" s="39" t="n"/>
    </row>
    <row r="185" ht="23" customHeight="1">
      <c r="A185" s="39" t="n"/>
      <c r="B185" s="39" t="n"/>
      <c r="C185" s="40" t="n"/>
      <c r="D185" s="39" t="n"/>
      <c r="E185" s="40" t="n"/>
      <c r="F185" s="39" t="n"/>
      <c r="G185" s="39" t="n"/>
      <c r="H185" s="39" t="n"/>
      <c r="I185" s="40" t="n"/>
      <c r="J185" s="40" t="n"/>
      <c r="K185" s="39" t="n"/>
      <c r="L185" s="40" t="n"/>
      <c r="M185" s="42" t="n"/>
      <c r="N185" s="42" t="n"/>
      <c r="O185" s="43" t="n"/>
      <c r="P185" s="43" t="n"/>
      <c r="Q185" s="43" t="n"/>
      <c r="R185" s="39" t="n"/>
      <c r="S185" s="39" t="n"/>
      <c r="T185" s="39" t="n"/>
      <c r="U185" s="40" t="n"/>
      <c r="V185" s="40" t="n"/>
      <c r="W185" s="46" t="n"/>
      <c r="X185" s="46" t="n"/>
      <c r="Y185" s="46" t="n"/>
      <c r="Z185" s="40" t="n"/>
      <c r="AA185" s="40" t="n"/>
      <c r="AB185" s="40" t="n"/>
      <c r="AC185" s="40" t="n"/>
      <c r="AD185" s="40" t="n"/>
      <c r="AE185" s="47" t="n"/>
      <c r="AF185" s="40" t="n"/>
      <c r="AG185" s="40" t="n"/>
      <c r="AH185" s="40" t="n"/>
      <c r="AI185" s="40" t="n"/>
      <c r="AJ185" s="47" t="n"/>
      <c r="AK185" s="47" t="n"/>
      <c r="AL185" s="47" t="n"/>
      <c r="AM185" s="40" t="n"/>
      <c r="AN185" s="40" t="n"/>
      <c r="AO185" s="43" t="n"/>
      <c r="AP185" s="39" t="n"/>
      <c r="AQ185" s="39" t="n"/>
      <c r="AR185" s="39" t="n"/>
      <c r="AS185" s="39" t="n"/>
      <c r="AT185" s="39" t="n"/>
      <c r="AU185" s="39" t="n"/>
      <c r="AV185" s="39" t="n"/>
      <c r="AW185" s="39" t="n"/>
    </row>
    <row r="186" ht="23" customHeight="1">
      <c r="A186" s="39" t="n"/>
      <c r="B186" s="39" t="n"/>
      <c r="C186" s="40" t="n"/>
      <c r="D186" s="39" t="n"/>
      <c r="E186" s="40" t="n"/>
      <c r="F186" s="39" t="n"/>
      <c r="G186" s="39" t="n"/>
      <c r="H186" s="39" t="n"/>
      <c r="I186" s="40" t="n"/>
      <c r="J186" s="40" t="n"/>
      <c r="K186" s="39" t="n"/>
      <c r="L186" s="40" t="n"/>
      <c r="M186" s="42" t="n"/>
      <c r="N186" s="42" t="n"/>
      <c r="O186" s="43" t="n"/>
      <c r="P186" s="43" t="n"/>
      <c r="Q186" s="43" t="n"/>
      <c r="R186" s="39" t="n"/>
      <c r="S186" s="39" t="n"/>
      <c r="T186" s="39" t="n"/>
      <c r="U186" s="40" t="n"/>
      <c r="V186" s="40" t="n"/>
      <c r="W186" s="46" t="n"/>
      <c r="X186" s="46" t="n"/>
      <c r="Y186" s="46" t="n"/>
      <c r="Z186" s="40" t="n"/>
      <c r="AA186" s="40" t="n"/>
      <c r="AB186" s="40" t="n"/>
      <c r="AC186" s="40" t="n"/>
      <c r="AD186" s="40" t="n"/>
      <c r="AE186" s="47" t="n"/>
      <c r="AF186" s="40" t="n"/>
      <c r="AG186" s="40" t="n"/>
      <c r="AH186" s="40" t="n"/>
      <c r="AI186" s="40" t="n"/>
      <c r="AJ186" s="47" t="n"/>
      <c r="AK186" s="47" t="n"/>
      <c r="AL186" s="47" t="n"/>
      <c r="AM186" s="40" t="n"/>
      <c r="AN186" s="40" t="n"/>
      <c r="AO186" s="43" t="n"/>
      <c r="AP186" s="39" t="n"/>
      <c r="AQ186" s="39" t="n"/>
      <c r="AR186" s="39" t="n"/>
      <c r="AS186" s="39" t="n"/>
      <c r="AT186" s="39" t="n"/>
      <c r="AU186" s="39" t="n"/>
      <c r="AV186" s="39" t="n"/>
      <c r="AW186" s="39" t="n"/>
    </row>
    <row r="187" ht="23" customHeight="1">
      <c r="A187" s="39" t="n"/>
      <c r="B187" s="39" t="n"/>
      <c r="C187" s="40" t="n"/>
      <c r="D187" s="39" t="n"/>
      <c r="E187" s="40" t="n"/>
      <c r="F187" s="39" t="n"/>
      <c r="G187" s="39" t="n"/>
      <c r="H187" s="39" t="n"/>
      <c r="I187" s="40" t="n"/>
      <c r="J187" s="40" t="n"/>
      <c r="K187" s="39" t="n"/>
      <c r="L187" s="40" t="n"/>
      <c r="M187" s="42" t="n"/>
      <c r="N187" s="42" t="n"/>
      <c r="O187" s="43" t="n"/>
      <c r="P187" s="43" t="n"/>
      <c r="Q187" s="43" t="n"/>
      <c r="R187" s="39" t="n"/>
      <c r="S187" s="39" t="n"/>
      <c r="T187" s="39" t="n"/>
      <c r="U187" s="40" t="n"/>
      <c r="V187" s="40" t="n"/>
      <c r="W187" s="46" t="n"/>
      <c r="X187" s="46" t="n"/>
      <c r="Y187" s="46" t="n"/>
      <c r="Z187" s="40" t="n"/>
      <c r="AA187" s="40" t="n"/>
      <c r="AB187" s="40" t="n"/>
      <c r="AC187" s="40" t="n"/>
      <c r="AD187" s="40" t="n"/>
      <c r="AE187" s="47" t="n"/>
      <c r="AF187" s="40" t="n"/>
      <c r="AG187" s="40" t="n"/>
      <c r="AH187" s="40" t="n"/>
      <c r="AI187" s="40" t="n"/>
      <c r="AJ187" s="47" t="n"/>
      <c r="AK187" s="47" t="n"/>
      <c r="AL187" s="47" t="n"/>
      <c r="AM187" s="40" t="n"/>
      <c r="AN187" s="40" t="n"/>
      <c r="AO187" s="43" t="n"/>
      <c r="AP187" s="39" t="n"/>
      <c r="AQ187" s="39" t="n"/>
      <c r="AR187" s="39" t="n"/>
      <c r="AS187" s="39" t="n"/>
      <c r="AT187" s="39" t="n"/>
      <c r="AU187" s="39" t="n"/>
      <c r="AV187" s="39" t="n"/>
      <c r="AW187" s="39" t="n"/>
    </row>
    <row r="188" ht="23" customHeight="1">
      <c r="A188" s="39" t="n"/>
      <c r="B188" s="39" t="n"/>
      <c r="C188" s="40" t="n"/>
      <c r="D188" s="39" t="n"/>
      <c r="E188" s="40" t="n"/>
      <c r="F188" s="39" t="n"/>
      <c r="G188" s="39" t="n"/>
      <c r="H188" s="39" t="n"/>
      <c r="I188" s="40" t="n"/>
      <c r="J188" s="40" t="n"/>
      <c r="K188" s="39" t="n"/>
      <c r="L188" s="40" t="n"/>
      <c r="M188" s="42" t="n"/>
      <c r="N188" s="42" t="n"/>
      <c r="O188" s="43" t="n"/>
      <c r="P188" s="43" t="n"/>
      <c r="Q188" s="43" t="n"/>
      <c r="R188" s="39" t="n"/>
      <c r="S188" s="39" t="n"/>
      <c r="T188" s="39" t="n"/>
      <c r="U188" s="40" t="n"/>
      <c r="V188" s="40" t="n"/>
      <c r="W188" s="46" t="n"/>
      <c r="X188" s="46" t="n"/>
      <c r="Y188" s="46" t="n"/>
      <c r="Z188" s="40" t="n"/>
      <c r="AA188" s="40" t="n"/>
      <c r="AB188" s="40" t="n"/>
      <c r="AC188" s="40" t="n"/>
      <c r="AD188" s="40" t="n"/>
      <c r="AE188" s="47" t="n"/>
      <c r="AF188" s="40" t="n"/>
      <c r="AG188" s="40" t="n"/>
      <c r="AH188" s="40" t="n"/>
      <c r="AI188" s="40" t="n"/>
      <c r="AJ188" s="47" t="n"/>
      <c r="AK188" s="47" t="n"/>
      <c r="AL188" s="47" t="n"/>
      <c r="AM188" s="40" t="n"/>
      <c r="AN188" s="40" t="n"/>
      <c r="AO188" s="43" t="n"/>
      <c r="AP188" s="39" t="n"/>
      <c r="AQ188" s="39" t="n"/>
      <c r="AR188" s="39" t="n"/>
      <c r="AS188" s="39" t="n"/>
      <c r="AT188" s="39" t="n"/>
      <c r="AU188" s="39" t="n"/>
      <c r="AV188" s="39" t="n"/>
      <c r="AW188" s="39" t="n"/>
    </row>
    <row r="189" ht="23" customHeight="1">
      <c r="A189" s="39" t="n"/>
      <c r="B189" s="39" t="n"/>
      <c r="C189" s="40" t="n"/>
      <c r="D189" s="39" t="n"/>
      <c r="E189" s="40" t="n"/>
      <c r="F189" s="39" t="n"/>
      <c r="G189" s="39" t="n"/>
      <c r="H189" s="39" t="n"/>
      <c r="I189" s="40" t="n"/>
      <c r="J189" s="40" t="n"/>
      <c r="K189" s="39" t="n"/>
      <c r="L189" s="40" t="n"/>
      <c r="M189" s="42" t="n"/>
      <c r="N189" s="42" t="n"/>
      <c r="O189" s="43" t="n"/>
      <c r="P189" s="43" t="n"/>
      <c r="Q189" s="43" t="n"/>
      <c r="R189" s="39" t="n"/>
      <c r="S189" s="39" t="n"/>
      <c r="T189" s="39" t="n"/>
      <c r="U189" s="40" t="n"/>
      <c r="V189" s="40" t="n"/>
      <c r="W189" s="46" t="n"/>
      <c r="X189" s="46" t="n"/>
      <c r="Y189" s="46" t="n"/>
      <c r="Z189" s="40" t="n"/>
      <c r="AA189" s="40" t="n"/>
      <c r="AB189" s="40" t="n"/>
      <c r="AC189" s="40" t="n"/>
      <c r="AD189" s="40" t="n"/>
      <c r="AE189" s="47" t="n"/>
      <c r="AF189" s="40" t="n"/>
      <c r="AG189" s="40" t="n"/>
      <c r="AH189" s="40" t="n"/>
      <c r="AI189" s="40" t="n"/>
      <c r="AJ189" s="47" t="n"/>
      <c r="AK189" s="47" t="n"/>
      <c r="AL189" s="47" t="n"/>
      <c r="AM189" s="40" t="n"/>
      <c r="AN189" s="40" t="n"/>
      <c r="AO189" s="43" t="n"/>
      <c r="AP189" s="39" t="n"/>
      <c r="AQ189" s="39" t="n"/>
      <c r="AR189" s="39" t="n"/>
      <c r="AS189" s="39" t="n"/>
      <c r="AT189" s="39" t="n"/>
      <c r="AU189" s="39" t="n"/>
      <c r="AV189" s="39" t="n"/>
      <c r="AW189" s="39" t="n"/>
    </row>
    <row r="190" ht="23" customHeight="1">
      <c r="A190" s="39" t="n"/>
      <c r="B190" s="39" t="n"/>
      <c r="C190" s="40" t="n"/>
      <c r="D190" s="39" t="n"/>
      <c r="E190" s="40" t="n"/>
      <c r="F190" s="39" t="n"/>
      <c r="G190" s="39" t="n"/>
      <c r="H190" s="39" t="n"/>
      <c r="I190" s="40" t="n"/>
      <c r="J190" s="40" t="n"/>
      <c r="K190" s="39" t="n"/>
      <c r="L190" s="40" t="n"/>
      <c r="M190" s="42" t="n"/>
      <c r="N190" s="42" t="n"/>
      <c r="O190" s="43" t="n"/>
      <c r="P190" s="43" t="n"/>
      <c r="Q190" s="43" t="n"/>
      <c r="R190" s="39" t="n"/>
      <c r="S190" s="39" t="n"/>
      <c r="T190" s="39" t="n"/>
      <c r="U190" s="40" t="n"/>
      <c r="V190" s="40" t="n"/>
      <c r="W190" s="46" t="n"/>
      <c r="X190" s="46" t="n"/>
      <c r="Y190" s="46" t="n"/>
      <c r="Z190" s="40" t="n"/>
      <c r="AA190" s="40" t="n"/>
      <c r="AB190" s="40" t="n"/>
      <c r="AC190" s="40" t="n"/>
      <c r="AD190" s="40" t="n"/>
      <c r="AE190" s="47" t="n"/>
      <c r="AF190" s="40" t="n"/>
      <c r="AG190" s="40" t="n"/>
      <c r="AH190" s="40" t="n"/>
      <c r="AI190" s="40" t="n"/>
      <c r="AJ190" s="47" t="n"/>
      <c r="AK190" s="47" t="n"/>
      <c r="AL190" s="47" t="n"/>
      <c r="AM190" s="40" t="n"/>
      <c r="AN190" s="40" t="n"/>
      <c r="AO190" s="43" t="n"/>
      <c r="AP190" s="39" t="n"/>
      <c r="AQ190" s="39" t="n"/>
      <c r="AR190" s="39" t="n"/>
      <c r="AS190" s="39" t="n"/>
      <c r="AT190" s="39" t="n"/>
      <c r="AU190" s="39" t="n"/>
      <c r="AV190" s="39" t="n"/>
      <c r="AW190" s="39" t="n"/>
    </row>
    <row r="191" ht="23" customHeight="1">
      <c r="A191" s="39" t="n"/>
      <c r="B191" s="39" t="n"/>
      <c r="C191" s="40" t="n"/>
      <c r="D191" s="39" t="n"/>
      <c r="E191" s="40" t="n"/>
      <c r="F191" s="39" t="n"/>
      <c r="G191" s="39" t="n"/>
      <c r="H191" s="39" t="n"/>
      <c r="I191" s="40" t="n"/>
      <c r="J191" s="40" t="n"/>
      <c r="K191" s="39" t="n"/>
      <c r="L191" s="40" t="n"/>
      <c r="M191" s="42" t="n"/>
      <c r="N191" s="42" t="n"/>
      <c r="O191" s="43" t="n"/>
      <c r="P191" s="43" t="n"/>
      <c r="Q191" s="43" t="n"/>
      <c r="R191" s="39" t="n"/>
      <c r="S191" s="39" t="n"/>
      <c r="T191" s="39" t="n"/>
      <c r="U191" s="40" t="n"/>
      <c r="V191" s="40" t="n"/>
      <c r="W191" s="46" t="n"/>
      <c r="X191" s="46" t="n"/>
      <c r="Y191" s="46" t="n"/>
      <c r="Z191" s="40" t="n"/>
      <c r="AA191" s="40" t="n"/>
      <c r="AB191" s="40" t="n"/>
      <c r="AC191" s="40" t="n"/>
      <c r="AD191" s="40" t="n"/>
      <c r="AE191" s="47" t="n"/>
      <c r="AF191" s="40" t="n"/>
      <c r="AG191" s="40" t="n"/>
      <c r="AH191" s="40" t="n"/>
      <c r="AI191" s="40" t="n"/>
      <c r="AJ191" s="47" t="n"/>
      <c r="AK191" s="47" t="n"/>
      <c r="AL191" s="47" t="n"/>
      <c r="AM191" s="40" t="n"/>
      <c r="AN191" s="40" t="n"/>
      <c r="AO191" s="43" t="n"/>
      <c r="AP191" s="39" t="n"/>
      <c r="AQ191" s="39" t="n"/>
      <c r="AR191" s="39" t="n"/>
      <c r="AS191" s="39" t="n"/>
      <c r="AT191" s="39" t="n"/>
      <c r="AU191" s="39" t="n"/>
      <c r="AV191" s="39" t="n"/>
      <c r="AW191" s="39" t="n"/>
    </row>
    <row r="192" ht="23" customHeight="1">
      <c r="A192" s="39" t="n"/>
      <c r="B192" s="39" t="n"/>
      <c r="C192" s="40" t="n"/>
      <c r="D192" s="39" t="n"/>
      <c r="E192" s="40" t="n"/>
      <c r="F192" s="39" t="n"/>
      <c r="G192" s="39" t="n"/>
      <c r="H192" s="39" t="n"/>
      <c r="I192" s="40" t="n"/>
      <c r="J192" s="40" t="n"/>
      <c r="K192" s="39" t="n"/>
      <c r="L192" s="40" t="n"/>
      <c r="M192" s="42" t="n"/>
      <c r="N192" s="42" t="n"/>
      <c r="O192" s="43" t="n"/>
      <c r="P192" s="43" t="n"/>
      <c r="Q192" s="43" t="n"/>
      <c r="R192" s="39" t="n"/>
      <c r="S192" s="39" t="n"/>
      <c r="T192" s="39" t="n"/>
      <c r="U192" s="40" t="n"/>
      <c r="V192" s="40" t="n"/>
      <c r="W192" s="46" t="n"/>
      <c r="X192" s="46" t="n"/>
      <c r="Y192" s="46" t="n"/>
      <c r="Z192" s="40" t="n"/>
      <c r="AA192" s="40" t="n"/>
      <c r="AB192" s="40" t="n"/>
      <c r="AC192" s="40" t="n"/>
      <c r="AD192" s="40" t="n"/>
      <c r="AE192" s="47" t="n"/>
      <c r="AF192" s="40" t="n"/>
      <c r="AG192" s="40" t="n"/>
      <c r="AH192" s="40" t="n"/>
      <c r="AI192" s="40" t="n"/>
      <c r="AJ192" s="47" t="n"/>
      <c r="AK192" s="47" t="n"/>
      <c r="AL192" s="47" t="n"/>
      <c r="AM192" s="40" t="n"/>
      <c r="AN192" s="40" t="n"/>
      <c r="AO192" s="43" t="n"/>
      <c r="AP192" s="39" t="n"/>
      <c r="AQ192" s="39" t="n"/>
      <c r="AR192" s="39" t="n"/>
      <c r="AS192" s="39" t="n"/>
      <c r="AT192" s="39" t="n"/>
      <c r="AU192" s="39" t="n"/>
      <c r="AV192" s="39" t="n"/>
      <c r="AW192" s="39" t="n"/>
    </row>
    <row r="193" ht="23" customHeight="1">
      <c r="A193" s="39" t="n"/>
      <c r="B193" s="39" t="n"/>
      <c r="C193" s="40" t="n"/>
      <c r="D193" s="39" t="n"/>
      <c r="E193" s="40" t="n"/>
      <c r="F193" s="39" t="n"/>
      <c r="G193" s="39" t="n"/>
      <c r="H193" s="39" t="n"/>
      <c r="I193" s="40" t="n"/>
      <c r="J193" s="40" t="n"/>
      <c r="K193" s="39" t="n"/>
      <c r="L193" s="40" t="n"/>
      <c r="M193" s="42" t="n"/>
      <c r="N193" s="42" t="n"/>
      <c r="O193" s="43" t="n"/>
      <c r="P193" s="43" t="n"/>
      <c r="Q193" s="43" t="n"/>
      <c r="R193" s="39" t="n"/>
      <c r="S193" s="39" t="n"/>
      <c r="T193" s="39" t="n"/>
      <c r="U193" s="40" t="n"/>
      <c r="V193" s="40" t="n"/>
      <c r="W193" s="46" t="n"/>
      <c r="X193" s="46" t="n"/>
      <c r="Y193" s="46" t="n"/>
      <c r="Z193" s="40" t="n"/>
      <c r="AA193" s="40" t="n"/>
      <c r="AB193" s="40" t="n"/>
      <c r="AC193" s="40" t="n"/>
      <c r="AD193" s="40" t="n"/>
      <c r="AE193" s="47" t="n"/>
      <c r="AF193" s="40" t="n"/>
      <c r="AG193" s="40" t="n"/>
      <c r="AH193" s="40" t="n"/>
      <c r="AI193" s="40" t="n"/>
      <c r="AJ193" s="47" t="n"/>
      <c r="AK193" s="47" t="n"/>
      <c r="AL193" s="47" t="n"/>
      <c r="AM193" s="40" t="n"/>
      <c r="AN193" s="40" t="n"/>
      <c r="AO193" s="43" t="n"/>
      <c r="AP193" s="39" t="n"/>
      <c r="AQ193" s="39" t="n"/>
      <c r="AR193" s="39" t="n"/>
      <c r="AS193" s="39" t="n"/>
      <c r="AT193" s="39" t="n"/>
      <c r="AU193" s="39" t="n"/>
      <c r="AV193" s="39" t="n"/>
      <c r="AW193" s="39" t="n"/>
    </row>
    <row r="194" ht="23" customHeight="1">
      <c r="A194" s="39" t="n"/>
      <c r="B194" s="39" t="n"/>
      <c r="C194" s="40" t="n"/>
      <c r="D194" s="39" t="n"/>
      <c r="E194" s="40" t="n"/>
      <c r="F194" s="39" t="n"/>
      <c r="G194" s="39" t="n"/>
      <c r="H194" s="39" t="n"/>
      <c r="I194" s="40" t="n"/>
      <c r="J194" s="40" t="n"/>
      <c r="K194" s="39" t="n"/>
      <c r="L194" s="40" t="n"/>
      <c r="M194" s="42" t="n"/>
      <c r="N194" s="42" t="n"/>
      <c r="O194" s="43" t="n"/>
      <c r="P194" s="43" t="n"/>
      <c r="Q194" s="43" t="n"/>
      <c r="R194" s="39" t="n"/>
      <c r="S194" s="39" t="n"/>
      <c r="T194" s="39" t="n"/>
      <c r="U194" s="40" t="n"/>
      <c r="V194" s="40" t="n"/>
      <c r="W194" s="46" t="n"/>
      <c r="X194" s="46" t="n"/>
      <c r="Y194" s="46" t="n"/>
      <c r="Z194" s="40" t="n"/>
      <c r="AA194" s="40" t="n"/>
      <c r="AB194" s="40" t="n"/>
      <c r="AC194" s="40" t="n"/>
      <c r="AD194" s="40" t="n"/>
      <c r="AE194" s="47" t="n"/>
      <c r="AF194" s="40" t="n"/>
      <c r="AG194" s="40" t="n"/>
      <c r="AH194" s="40" t="n"/>
      <c r="AI194" s="40" t="n"/>
      <c r="AJ194" s="47" t="n"/>
      <c r="AK194" s="47" t="n"/>
      <c r="AL194" s="47" t="n"/>
      <c r="AM194" s="40" t="n"/>
      <c r="AN194" s="40" t="n"/>
      <c r="AO194" s="43" t="n"/>
      <c r="AP194" s="39" t="n"/>
      <c r="AQ194" s="39" t="n"/>
      <c r="AR194" s="39" t="n"/>
      <c r="AS194" s="39" t="n"/>
      <c r="AT194" s="39" t="n"/>
      <c r="AU194" s="39" t="n"/>
      <c r="AV194" s="39" t="n"/>
      <c r="AW194" s="39" t="n"/>
    </row>
    <row r="195" ht="23" customHeight="1">
      <c r="A195" s="39" t="n"/>
      <c r="B195" s="39" t="n"/>
      <c r="C195" s="40" t="n"/>
      <c r="D195" s="39" t="n"/>
      <c r="E195" s="40" t="n"/>
      <c r="F195" s="39" t="n"/>
      <c r="G195" s="39" t="n"/>
      <c r="H195" s="39" t="n"/>
      <c r="I195" s="40" t="n"/>
      <c r="J195" s="40" t="n"/>
      <c r="K195" s="39" t="n"/>
      <c r="L195" s="40" t="n"/>
      <c r="M195" s="42" t="n"/>
      <c r="N195" s="42" t="n"/>
      <c r="O195" s="43" t="n"/>
      <c r="P195" s="43" t="n"/>
      <c r="Q195" s="43" t="n"/>
      <c r="R195" s="39" t="n"/>
      <c r="S195" s="39" t="n"/>
      <c r="T195" s="39" t="n"/>
      <c r="U195" s="40" t="n"/>
      <c r="V195" s="40" t="n"/>
      <c r="W195" s="46" t="n"/>
      <c r="X195" s="46" t="n"/>
      <c r="Y195" s="46" t="n"/>
      <c r="Z195" s="40" t="n"/>
      <c r="AA195" s="40" t="n"/>
      <c r="AB195" s="40" t="n"/>
      <c r="AC195" s="40" t="n"/>
      <c r="AD195" s="40" t="n"/>
      <c r="AE195" s="47" t="n"/>
      <c r="AF195" s="40" t="n"/>
      <c r="AG195" s="40" t="n"/>
      <c r="AH195" s="40" t="n"/>
      <c r="AI195" s="40" t="n"/>
      <c r="AJ195" s="47" t="n"/>
      <c r="AK195" s="47" t="n"/>
      <c r="AL195" s="47" t="n"/>
      <c r="AM195" s="40" t="n"/>
      <c r="AN195" s="40" t="n"/>
      <c r="AO195" s="43" t="n"/>
      <c r="AP195" s="39" t="n"/>
      <c r="AQ195" s="39" t="n"/>
      <c r="AR195" s="39" t="n"/>
      <c r="AS195" s="39" t="n"/>
      <c r="AT195" s="39" t="n"/>
      <c r="AU195" s="39" t="n"/>
      <c r="AV195" s="39" t="n"/>
      <c r="AW195" s="39" t="n"/>
    </row>
    <row r="196" ht="23" customHeight="1">
      <c r="A196" s="39" t="n"/>
      <c r="B196" s="39" t="n"/>
      <c r="C196" s="40" t="n"/>
      <c r="D196" s="39" t="n"/>
      <c r="E196" s="40" t="n"/>
      <c r="F196" s="39" t="n"/>
      <c r="G196" s="39" t="n"/>
      <c r="H196" s="39" t="n"/>
      <c r="I196" s="40" t="n"/>
      <c r="J196" s="40" t="n"/>
      <c r="K196" s="39" t="n"/>
      <c r="L196" s="40" t="n"/>
      <c r="M196" s="42" t="n"/>
      <c r="N196" s="42" t="n"/>
      <c r="O196" s="43" t="n"/>
      <c r="P196" s="43" t="n"/>
      <c r="Q196" s="43" t="n"/>
      <c r="R196" s="39" t="n"/>
      <c r="S196" s="39" t="n"/>
      <c r="T196" s="39" t="n"/>
      <c r="U196" s="40" t="n"/>
      <c r="V196" s="40" t="n"/>
      <c r="W196" s="46" t="n"/>
      <c r="X196" s="46" t="n"/>
      <c r="Y196" s="46" t="n"/>
      <c r="Z196" s="40" t="n"/>
      <c r="AA196" s="40" t="n"/>
      <c r="AB196" s="40" t="n"/>
      <c r="AC196" s="40" t="n"/>
      <c r="AD196" s="40" t="n"/>
      <c r="AE196" s="47" t="n"/>
      <c r="AF196" s="40" t="n"/>
      <c r="AG196" s="40" t="n"/>
      <c r="AH196" s="40" t="n"/>
      <c r="AI196" s="40" t="n"/>
      <c r="AJ196" s="47" t="n"/>
      <c r="AK196" s="47" t="n"/>
      <c r="AL196" s="47" t="n"/>
      <c r="AM196" s="40" t="n"/>
      <c r="AN196" s="40" t="n"/>
      <c r="AO196" s="43" t="n"/>
      <c r="AP196" s="39" t="n"/>
      <c r="AQ196" s="39" t="n"/>
      <c r="AR196" s="39" t="n"/>
      <c r="AS196" s="39" t="n"/>
      <c r="AT196" s="39" t="n"/>
      <c r="AU196" s="39" t="n"/>
      <c r="AV196" s="39" t="n"/>
      <c r="AW196" s="39" t="n"/>
    </row>
    <row r="197" ht="23" customHeight="1">
      <c r="A197" s="39" t="n"/>
      <c r="B197" s="39" t="n"/>
      <c r="C197" s="40" t="n"/>
      <c r="D197" s="39" t="n"/>
      <c r="E197" s="40" t="n"/>
      <c r="F197" s="39" t="n"/>
      <c r="G197" s="39" t="n"/>
      <c r="H197" s="39" t="n"/>
      <c r="I197" s="40" t="n"/>
      <c r="J197" s="40" t="n"/>
      <c r="K197" s="39" t="n"/>
      <c r="L197" s="40" t="n"/>
      <c r="M197" s="42" t="n"/>
      <c r="N197" s="42" t="n"/>
      <c r="O197" s="43" t="n"/>
      <c r="P197" s="43" t="n"/>
      <c r="Q197" s="43" t="n"/>
      <c r="R197" s="39" t="n"/>
      <c r="S197" s="39" t="n"/>
      <c r="T197" s="39" t="n"/>
      <c r="U197" s="40" t="n"/>
      <c r="V197" s="40" t="n"/>
      <c r="W197" s="46" t="n"/>
      <c r="X197" s="46" t="n"/>
      <c r="Y197" s="46" t="n"/>
      <c r="Z197" s="40" t="n"/>
      <c r="AA197" s="40" t="n"/>
      <c r="AB197" s="40" t="n"/>
      <c r="AC197" s="40" t="n"/>
      <c r="AD197" s="40" t="n"/>
      <c r="AE197" s="47" t="n"/>
      <c r="AF197" s="40" t="n"/>
      <c r="AG197" s="40" t="n"/>
      <c r="AH197" s="40" t="n"/>
      <c r="AI197" s="40" t="n"/>
      <c r="AJ197" s="47" t="n"/>
      <c r="AK197" s="47" t="n"/>
      <c r="AL197" s="47" t="n"/>
      <c r="AM197" s="40" t="n"/>
      <c r="AN197" s="40" t="n"/>
      <c r="AO197" s="43" t="n"/>
      <c r="AP197" s="39" t="n"/>
      <c r="AQ197" s="39" t="n"/>
      <c r="AR197" s="39" t="n"/>
      <c r="AS197" s="39" t="n"/>
      <c r="AT197" s="39" t="n"/>
      <c r="AU197" s="39" t="n"/>
      <c r="AV197" s="39" t="n"/>
      <c r="AW197" s="39" t="n"/>
    </row>
    <row r="198" ht="23" customHeight="1">
      <c r="A198" s="39" t="n"/>
      <c r="B198" s="39" t="n"/>
      <c r="C198" s="40" t="n"/>
      <c r="D198" s="39" t="n"/>
      <c r="E198" s="40" t="n"/>
      <c r="F198" s="39" t="n"/>
      <c r="G198" s="39" t="n"/>
      <c r="H198" s="39" t="n"/>
      <c r="I198" s="40" t="n"/>
      <c r="J198" s="40" t="n"/>
      <c r="K198" s="39" t="n"/>
      <c r="L198" s="40" t="n"/>
      <c r="M198" s="42" t="n"/>
      <c r="N198" s="42" t="n"/>
      <c r="O198" s="43" t="n"/>
      <c r="P198" s="43" t="n"/>
      <c r="Q198" s="43" t="n"/>
      <c r="R198" s="39" t="n"/>
      <c r="S198" s="39" t="n"/>
      <c r="T198" s="39" t="n"/>
      <c r="U198" s="40" t="n"/>
      <c r="V198" s="40" t="n"/>
      <c r="W198" s="46" t="n"/>
      <c r="X198" s="46" t="n"/>
      <c r="Y198" s="46" t="n"/>
      <c r="Z198" s="40" t="n"/>
      <c r="AA198" s="40" t="n"/>
      <c r="AB198" s="40" t="n"/>
      <c r="AC198" s="40" t="n"/>
      <c r="AD198" s="40" t="n"/>
      <c r="AE198" s="47" t="n"/>
      <c r="AF198" s="40" t="n"/>
      <c r="AG198" s="40" t="n"/>
      <c r="AH198" s="40" t="n"/>
      <c r="AI198" s="40" t="n"/>
      <c r="AJ198" s="47" t="n"/>
      <c r="AK198" s="47" t="n"/>
      <c r="AL198" s="47" t="n"/>
      <c r="AM198" s="40" t="n"/>
      <c r="AN198" s="40" t="n"/>
      <c r="AO198" s="43" t="n"/>
      <c r="AP198" s="39" t="n"/>
      <c r="AQ198" s="39" t="n"/>
      <c r="AR198" s="39" t="n"/>
      <c r="AS198" s="39" t="n"/>
      <c r="AT198" s="39" t="n"/>
      <c r="AU198" s="39" t="n"/>
      <c r="AV198" s="39" t="n"/>
      <c r="AW198" s="39" t="n"/>
    </row>
    <row r="199" ht="23" customHeight="1">
      <c r="A199" s="39" t="n"/>
      <c r="B199" s="39" t="n"/>
      <c r="C199" s="40" t="n"/>
      <c r="D199" s="39" t="n"/>
      <c r="E199" s="40" t="n"/>
      <c r="F199" s="39" t="n"/>
      <c r="G199" s="39" t="n"/>
      <c r="H199" s="39" t="n"/>
      <c r="I199" s="40" t="n"/>
      <c r="J199" s="40" t="n"/>
      <c r="K199" s="39" t="n"/>
      <c r="L199" s="40" t="n"/>
      <c r="M199" s="42" t="n"/>
      <c r="N199" s="42" t="n"/>
      <c r="O199" s="43" t="n"/>
      <c r="P199" s="43" t="n"/>
      <c r="Q199" s="43" t="n"/>
      <c r="R199" s="39" t="n"/>
      <c r="S199" s="39" t="n"/>
      <c r="T199" s="39" t="n"/>
      <c r="U199" s="40" t="n"/>
      <c r="V199" s="40" t="n"/>
      <c r="W199" s="46" t="n"/>
      <c r="X199" s="46" t="n"/>
      <c r="Y199" s="46" t="n"/>
      <c r="Z199" s="40" t="n"/>
      <c r="AA199" s="40" t="n"/>
      <c r="AB199" s="40" t="n"/>
      <c r="AC199" s="40" t="n"/>
      <c r="AD199" s="40" t="n"/>
      <c r="AE199" s="47" t="n"/>
      <c r="AF199" s="40" t="n"/>
      <c r="AG199" s="40" t="n"/>
      <c r="AH199" s="40" t="n"/>
      <c r="AI199" s="40" t="n"/>
      <c r="AJ199" s="47" t="n"/>
      <c r="AK199" s="47" t="n"/>
      <c r="AL199" s="47" t="n"/>
      <c r="AM199" s="40" t="n"/>
      <c r="AN199" s="40" t="n"/>
      <c r="AO199" s="43" t="n"/>
      <c r="AP199" s="39" t="n"/>
      <c r="AQ199" s="39" t="n"/>
      <c r="AR199" s="39" t="n"/>
      <c r="AS199" s="39" t="n"/>
      <c r="AT199" s="39" t="n"/>
      <c r="AU199" s="39" t="n"/>
      <c r="AV199" s="39" t="n"/>
      <c r="AW199" s="39" t="n"/>
    </row>
    <row r="200" ht="23" customHeight="1">
      <c r="A200" s="39" t="n"/>
      <c r="B200" s="39" t="n"/>
      <c r="C200" s="40" t="n"/>
      <c r="D200" s="39" t="n"/>
      <c r="E200" s="40" t="n"/>
      <c r="F200" s="39" t="n"/>
      <c r="G200" s="39" t="n"/>
      <c r="H200" s="39" t="n"/>
      <c r="I200" s="40" t="n"/>
      <c r="J200" s="40" t="n"/>
      <c r="K200" s="39" t="n"/>
      <c r="L200" s="40" t="n"/>
      <c r="M200" s="42" t="n"/>
      <c r="N200" s="42" t="n"/>
      <c r="O200" s="43" t="n"/>
      <c r="P200" s="43" t="n"/>
      <c r="Q200" s="43" t="n"/>
      <c r="R200" s="39" t="n"/>
      <c r="S200" s="39" t="n"/>
      <c r="T200" s="39" t="n"/>
      <c r="U200" s="40" t="n"/>
      <c r="V200" s="40" t="n"/>
      <c r="W200" s="46" t="n"/>
      <c r="X200" s="46" t="n"/>
      <c r="Y200" s="46" t="n"/>
      <c r="Z200" s="40" t="n"/>
      <c r="AA200" s="40" t="n"/>
      <c r="AB200" s="40" t="n"/>
      <c r="AC200" s="40" t="n"/>
      <c r="AD200" s="40" t="n"/>
      <c r="AE200" s="47" t="n"/>
      <c r="AF200" s="40" t="n"/>
      <c r="AG200" s="40" t="n"/>
      <c r="AH200" s="40" t="n"/>
      <c r="AI200" s="40" t="n"/>
      <c r="AJ200" s="47" t="n"/>
      <c r="AK200" s="47" t="n"/>
      <c r="AL200" s="47" t="n"/>
      <c r="AM200" s="40" t="n"/>
      <c r="AN200" s="40" t="n"/>
      <c r="AO200" s="43" t="n"/>
      <c r="AP200" s="39" t="n"/>
      <c r="AQ200" s="39" t="n"/>
      <c r="AR200" s="39" t="n"/>
      <c r="AS200" s="39" t="n"/>
      <c r="AT200" s="39" t="n"/>
      <c r="AU200" s="39" t="n"/>
      <c r="AV200" s="39" t="n"/>
      <c r="AW200" s="39" t="n"/>
    </row>
    <row r="201" ht="23" customHeight="1">
      <c r="A201" s="39" t="n"/>
      <c r="B201" s="39" t="n"/>
      <c r="C201" s="40" t="n"/>
      <c r="D201" s="39" t="n"/>
      <c r="E201" s="40" t="n"/>
      <c r="F201" s="39" t="n"/>
      <c r="G201" s="39" t="n"/>
      <c r="H201" s="39" t="n"/>
      <c r="I201" s="40" t="n"/>
      <c r="J201" s="40" t="n"/>
      <c r="K201" s="39" t="n"/>
      <c r="L201" s="40" t="n"/>
      <c r="M201" s="42" t="n"/>
      <c r="N201" s="42" t="n"/>
      <c r="O201" s="43" t="n"/>
      <c r="P201" s="43" t="n"/>
      <c r="Q201" s="43" t="n"/>
      <c r="R201" s="39" t="n"/>
      <c r="S201" s="39" t="n"/>
      <c r="T201" s="39" t="n"/>
      <c r="U201" s="40" t="n"/>
      <c r="V201" s="40" t="n"/>
      <c r="W201" s="46" t="n"/>
      <c r="X201" s="46" t="n"/>
      <c r="Y201" s="46" t="n"/>
      <c r="Z201" s="40" t="n"/>
      <c r="AA201" s="40" t="n"/>
      <c r="AB201" s="40" t="n"/>
      <c r="AC201" s="40" t="n"/>
      <c r="AD201" s="40" t="n"/>
      <c r="AE201" s="47" t="n"/>
      <c r="AF201" s="40" t="n"/>
      <c r="AG201" s="40" t="n"/>
      <c r="AH201" s="40" t="n"/>
      <c r="AI201" s="40" t="n"/>
      <c r="AJ201" s="47" t="n"/>
      <c r="AK201" s="47" t="n"/>
      <c r="AL201" s="47" t="n"/>
      <c r="AM201" s="40" t="n"/>
      <c r="AN201" s="40" t="n"/>
      <c r="AO201" s="43" t="n"/>
      <c r="AP201" s="39" t="n"/>
      <c r="AQ201" s="39" t="n"/>
      <c r="AR201" s="39" t="n"/>
      <c r="AS201" s="39" t="n"/>
      <c r="AT201" s="39" t="n"/>
      <c r="AU201" s="39" t="n"/>
      <c r="AV201" s="39" t="n"/>
      <c r="AW201" s="39" t="n"/>
    </row>
    <row r="202" ht="23" customHeight="1">
      <c r="A202" s="39" t="n"/>
      <c r="B202" s="39" t="n"/>
      <c r="C202" s="40" t="n"/>
      <c r="D202" s="39" t="n"/>
      <c r="E202" s="40" t="n"/>
      <c r="F202" s="39" t="n"/>
      <c r="G202" s="39" t="n"/>
      <c r="H202" s="39" t="n"/>
      <c r="I202" s="40" t="n"/>
      <c r="J202" s="40" t="n"/>
      <c r="K202" s="39" t="n"/>
      <c r="L202" s="40" t="n"/>
      <c r="M202" s="42" t="n"/>
      <c r="N202" s="42" t="n"/>
      <c r="O202" s="43" t="n"/>
      <c r="P202" s="43" t="n"/>
      <c r="Q202" s="43" t="n"/>
      <c r="R202" s="39" t="n"/>
      <c r="S202" s="39" t="n"/>
      <c r="T202" s="39" t="n"/>
      <c r="U202" s="40" t="n"/>
      <c r="V202" s="40" t="n"/>
      <c r="W202" s="46" t="n"/>
      <c r="X202" s="46" t="n"/>
      <c r="Y202" s="46" t="n"/>
      <c r="Z202" s="40" t="n"/>
      <c r="AA202" s="40" t="n"/>
      <c r="AB202" s="40" t="n"/>
      <c r="AC202" s="40" t="n"/>
      <c r="AD202" s="40" t="n"/>
      <c r="AE202" s="47" t="n"/>
      <c r="AF202" s="40" t="n"/>
      <c r="AG202" s="40" t="n"/>
      <c r="AH202" s="40" t="n"/>
      <c r="AI202" s="40" t="n"/>
      <c r="AJ202" s="47" t="n"/>
      <c r="AK202" s="47" t="n"/>
      <c r="AL202" s="47" t="n"/>
      <c r="AM202" s="40" t="n"/>
      <c r="AN202" s="40" t="n"/>
      <c r="AO202" s="43" t="n"/>
      <c r="AP202" s="39" t="n"/>
      <c r="AQ202" s="39" t="n"/>
      <c r="AR202" s="39" t="n"/>
      <c r="AS202" s="39" t="n"/>
      <c r="AT202" s="39" t="n"/>
      <c r="AU202" s="39" t="n"/>
      <c r="AV202" s="39" t="n"/>
      <c r="AW202" s="39" t="n"/>
    </row>
    <row r="203" ht="23" customHeight="1">
      <c r="A203" s="39" t="n"/>
      <c r="B203" s="39" t="n"/>
      <c r="C203" s="40" t="n"/>
      <c r="D203" s="39" t="n"/>
      <c r="E203" s="40" t="n"/>
      <c r="F203" s="39" t="n"/>
      <c r="G203" s="39" t="n"/>
      <c r="H203" s="39" t="n"/>
      <c r="I203" s="40" t="n"/>
      <c r="J203" s="40" t="n"/>
      <c r="K203" s="39" t="n"/>
      <c r="L203" s="40" t="n"/>
      <c r="M203" s="42" t="n"/>
      <c r="N203" s="42" t="n"/>
      <c r="O203" s="43" t="n"/>
      <c r="P203" s="43" t="n"/>
      <c r="Q203" s="43" t="n"/>
      <c r="R203" s="39" t="n"/>
      <c r="S203" s="39" t="n"/>
      <c r="T203" s="39" t="n"/>
      <c r="U203" s="40" t="n"/>
      <c r="V203" s="40" t="n"/>
      <c r="W203" s="46" t="n"/>
      <c r="X203" s="46" t="n"/>
      <c r="Y203" s="46" t="n"/>
      <c r="Z203" s="40" t="n"/>
      <c r="AA203" s="40" t="n"/>
      <c r="AB203" s="40" t="n"/>
      <c r="AC203" s="40" t="n"/>
      <c r="AD203" s="40" t="n"/>
      <c r="AE203" s="47" t="n"/>
      <c r="AF203" s="40" t="n"/>
      <c r="AG203" s="40" t="n"/>
      <c r="AH203" s="40" t="n"/>
      <c r="AI203" s="40" t="n"/>
      <c r="AJ203" s="47" t="n"/>
      <c r="AK203" s="47" t="n"/>
      <c r="AL203" s="47" t="n"/>
      <c r="AM203" s="40" t="n"/>
      <c r="AN203" s="40" t="n"/>
      <c r="AO203" s="43" t="n"/>
      <c r="AP203" s="39" t="n"/>
      <c r="AQ203" s="39" t="n"/>
      <c r="AR203" s="39" t="n"/>
      <c r="AS203" s="39" t="n"/>
      <c r="AT203" s="39" t="n"/>
      <c r="AU203" s="39" t="n"/>
      <c r="AV203" s="39" t="n"/>
      <c r="AW203" s="39" t="n"/>
    </row>
    <row r="204" ht="23" customHeight="1">
      <c r="A204" s="39" t="n"/>
      <c r="B204" s="39" t="n"/>
      <c r="C204" s="40" t="n"/>
      <c r="D204" s="39" t="n"/>
      <c r="E204" s="40" t="n"/>
      <c r="F204" s="39" t="n"/>
      <c r="G204" s="39" t="n"/>
      <c r="H204" s="39" t="n"/>
      <c r="I204" s="40" t="n"/>
      <c r="J204" s="40" t="n"/>
      <c r="K204" s="39" t="n"/>
      <c r="L204" s="40" t="n"/>
      <c r="M204" s="42" t="n"/>
      <c r="N204" s="42" t="n"/>
      <c r="O204" s="43" t="n"/>
      <c r="P204" s="43" t="n"/>
      <c r="Q204" s="43" t="n"/>
      <c r="R204" s="39" t="n"/>
      <c r="S204" s="39" t="n"/>
      <c r="T204" s="39" t="n"/>
      <c r="U204" s="40" t="n"/>
      <c r="V204" s="40" t="n"/>
      <c r="W204" s="46" t="n"/>
      <c r="X204" s="46" t="n"/>
      <c r="Y204" s="46" t="n"/>
      <c r="Z204" s="40" t="n"/>
      <c r="AA204" s="40" t="n"/>
      <c r="AB204" s="40" t="n"/>
      <c r="AC204" s="40" t="n"/>
      <c r="AD204" s="40" t="n"/>
      <c r="AE204" s="47" t="n"/>
      <c r="AF204" s="40" t="n"/>
      <c r="AG204" s="40" t="n"/>
      <c r="AH204" s="40" t="n"/>
      <c r="AI204" s="40" t="n"/>
      <c r="AJ204" s="47" t="n"/>
      <c r="AK204" s="47" t="n"/>
      <c r="AL204" s="47" t="n"/>
      <c r="AM204" s="40" t="n"/>
      <c r="AN204" s="40" t="n"/>
      <c r="AO204" s="43" t="n"/>
      <c r="AP204" s="39" t="n"/>
      <c r="AQ204" s="39" t="n"/>
      <c r="AR204" s="39" t="n"/>
      <c r="AS204" s="39" t="n"/>
      <c r="AT204" s="39" t="n"/>
      <c r="AU204" s="39" t="n"/>
      <c r="AV204" s="39" t="n"/>
      <c r="AW204" s="39" t="n"/>
    </row>
    <row r="205" ht="23" customHeight="1">
      <c r="A205" s="39" t="n"/>
      <c r="B205" s="39" t="n"/>
      <c r="C205" s="40" t="n"/>
      <c r="D205" s="39" t="n"/>
      <c r="E205" s="40" t="n"/>
      <c r="F205" s="39" t="n"/>
      <c r="G205" s="39" t="n"/>
      <c r="H205" s="39" t="n"/>
      <c r="I205" s="40" t="n"/>
      <c r="J205" s="40" t="n"/>
      <c r="K205" s="39" t="n"/>
      <c r="L205" s="40" t="n"/>
      <c r="M205" s="42" t="n"/>
      <c r="N205" s="42" t="n"/>
      <c r="O205" s="43" t="n"/>
      <c r="P205" s="43" t="n"/>
      <c r="Q205" s="43" t="n"/>
      <c r="R205" s="39" t="n"/>
      <c r="S205" s="39" t="n"/>
      <c r="T205" s="39" t="n"/>
      <c r="U205" s="40" t="n"/>
      <c r="V205" s="40" t="n"/>
      <c r="W205" s="46" t="n"/>
      <c r="X205" s="46" t="n"/>
      <c r="Y205" s="46" t="n"/>
      <c r="Z205" s="40" t="n"/>
      <c r="AA205" s="40" t="n"/>
      <c r="AB205" s="40" t="n"/>
      <c r="AC205" s="40" t="n"/>
      <c r="AD205" s="40" t="n"/>
      <c r="AE205" s="47" t="n"/>
      <c r="AF205" s="40" t="n"/>
      <c r="AG205" s="40" t="n"/>
      <c r="AH205" s="40" t="n"/>
      <c r="AI205" s="40" t="n"/>
      <c r="AJ205" s="47" t="n"/>
      <c r="AK205" s="47" t="n"/>
      <c r="AL205" s="47" t="n"/>
      <c r="AM205" s="40" t="n"/>
      <c r="AN205" s="40" t="n"/>
      <c r="AO205" s="43" t="n"/>
      <c r="AP205" s="39" t="n"/>
      <c r="AQ205" s="39" t="n"/>
      <c r="AR205" s="39" t="n"/>
      <c r="AS205" s="39" t="n"/>
      <c r="AT205" s="39" t="n"/>
      <c r="AU205" s="39" t="n"/>
      <c r="AV205" s="39" t="n"/>
      <c r="AW205" s="39" t="n"/>
    </row>
    <row r="206" ht="23" customHeight="1">
      <c r="A206" s="39" t="n"/>
      <c r="B206" s="39" t="n"/>
      <c r="C206" s="40" t="n"/>
      <c r="D206" s="39" t="n"/>
      <c r="E206" s="40" t="n"/>
      <c r="F206" s="39" t="n"/>
      <c r="G206" s="39" t="n"/>
      <c r="H206" s="39" t="n"/>
      <c r="I206" s="40" t="n"/>
      <c r="J206" s="40" t="n"/>
      <c r="K206" s="39" t="n"/>
      <c r="L206" s="40" t="n"/>
      <c r="M206" s="42" t="n"/>
      <c r="N206" s="42" t="n"/>
      <c r="O206" s="43" t="n"/>
      <c r="P206" s="43" t="n"/>
      <c r="Q206" s="43" t="n"/>
      <c r="R206" s="39" t="n"/>
      <c r="S206" s="39" t="n"/>
      <c r="T206" s="39" t="n"/>
      <c r="U206" s="40" t="n"/>
      <c r="V206" s="40" t="n"/>
      <c r="W206" s="46" t="n"/>
      <c r="X206" s="46" t="n"/>
      <c r="Y206" s="46" t="n"/>
      <c r="Z206" s="40" t="n"/>
      <c r="AA206" s="40" t="n"/>
      <c r="AB206" s="40" t="n"/>
      <c r="AC206" s="40" t="n"/>
      <c r="AD206" s="40" t="n"/>
      <c r="AE206" s="47" t="n"/>
      <c r="AF206" s="40" t="n"/>
      <c r="AG206" s="40" t="n"/>
      <c r="AH206" s="40" t="n"/>
      <c r="AI206" s="40" t="n"/>
      <c r="AJ206" s="47" t="n"/>
      <c r="AK206" s="47" t="n"/>
      <c r="AL206" s="47" t="n"/>
      <c r="AM206" s="40" t="n"/>
      <c r="AN206" s="40" t="n"/>
      <c r="AO206" s="43" t="n"/>
      <c r="AP206" s="39" t="n"/>
      <c r="AQ206" s="39" t="n"/>
      <c r="AR206" s="39" t="n"/>
      <c r="AS206" s="39" t="n"/>
      <c r="AT206" s="39" t="n"/>
      <c r="AU206" s="39" t="n"/>
      <c r="AV206" s="39" t="n"/>
      <c r="AW206" s="39" t="n"/>
    </row>
  </sheetData>
  <conditionalFormatting sqref="A7:A206">
    <cfRule type="expression" priority="1" dxfId="0">
      <formula>AND(COUNTA($A7:$AW7)&gt;0,A7="")</formula>
    </cfRule>
  </conditionalFormatting>
  <conditionalFormatting sqref="X7:X206">
    <cfRule type="expression" priority="2" dxfId="0">
      <formula>AND(COUNTA($A7:$AW7)&gt;0,X7="")</formula>
    </cfRule>
  </conditionalFormatting>
  <dataValidations count="18">
    <dataValidation sqref="C7:C206" showDropDown="0" showInputMessage="1" showErrorMessage="1" allowBlank="1" errorTitle="Choose a listed value" error="Use a dropdown choice, or first update its list on Dropdowns." promptTitle="Choose a value" prompt="Select a value from the dropdown." type="list" errorStyle="stop">
      <formula1>ProjectStage</formula1>
    </dataValidation>
    <dataValidation sqref="E7:E206" showDropDown="0" showInputMessage="1" showErrorMessage="1" allowBlank="1" errorTitle="Choose a listed value" error="Use a dropdown choice, or first update its list on Dropdowns." promptTitle="Choose a value" prompt="Select a value from the dropdown." type="list" errorStyle="stop">
      <formula1>EndUserType</formula1>
    </dataValidation>
    <dataValidation sqref="I7:I206" showDropDown="0" showInputMessage="1" showErrorMessage="1" allowBlank="1" errorTitle="Choose a listed value" error="Use a dropdown choice, or first update its list on Dropdowns." promptTitle="Choose a value" prompt="Select a value from the dropdown." type="list" errorStyle="stop">
      <formula1>DecisionInfluencer</formula1>
    </dataValidation>
    <dataValidation sqref="J7:J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Solutions</formula1>
    </dataValidation>
    <dataValidation sqref="L7:L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WinLoss</formula1>
    </dataValidation>
    <dataValidation sqref="U7:U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Country</formula1>
    </dataValidation>
    <dataValidation sqref="V7:V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CanadaProvince</formula1>
    </dataValidation>
    <dataValidation sqref="Z7:Z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Market</formula1>
    </dataValidation>
    <dataValidation sqref="AA7:AA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Segment</formula1>
    </dataValidation>
    <dataValidation sqref="AB7:AB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Application</formula1>
    </dataValidation>
    <dataValidation sqref="AC7:AC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DemandDriver</formula1>
    </dataValidation>
    <dataValidation sqref="AD7:AD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OEMCategory</formula1>
    </dataValidation>
    <dataValidation sqref="AF7:AF206" showDropDown="0" showInputMessage="1" showErrorMessage="1" allowBlank="1" errorTitle="Choose a listed value" error="Use a dropdown choice, or first update its list on Dropdowns." promptTitle="Choose a value" prompt="Select a value from the dropdown." type="list" errorStyle="stop">
      <formula1>SiteType</formula1>
    </dataValidation>
    <dataValidation sqref="AG7:AG206" showDropDown="0" showInputMessage="1" showErrorMessage="1" allowBlank="1" errorTitle="Choose a listed value" error="Use a dropdown choice, or first update its list on Dropdowns." promptTitle="Choose a value" prompt="Select a value from the dropdown." type="list" errorStyle="stop">
      <formula1>PowerNeeds</formula1>
    </dataValidation>
    <dataValidation sqref="AH7:AH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EnergySource</formula1>
    </dataValidation>
    <dataValidation sqref="AI7:AI206" showDropDown="0" showInputMessage="1" showErrorMessage="1" allowBlank="1" errorTitle="Choose a listed value" error="Use a dropdown choice, or first update its list on Dropdowns." promptTitle="Choose a value" prompt="Select a value from the dropdown." type="list" errorStyle="stop">
      <formula1>AIFacility</formula1>
    </dataValidation>
    <dataValidation sqref="AM7:AM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AN7:AN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17324D"/>
    <outlinePr summaryBelow="1" summaryRight="1"/>
    <pageSetUpPr/>
  </sheetPr>
  <dimension ref="A1:CJ206"/>
  <sheetViews>
    <sheetView showGridLines="0" workbookViewId="0">
      <pane xSplit="3" ySplit="6" topLeftCell="D7" activePane="bottomRight" state="frozen"/>
      <selection activeCell="A1" sqref="A1"/>
    </sheetView>
  </sheetViews>
  <sheetFormatPr baseColWidth="8" defaultRowHeight="15"/>
  <cols>
    <col width="29" customWidth="1" min="1" max="1"/>
    <col width="29" customWidth="1" min="2" max="2"/>
    <col width="20" customWidth="1" min="3" max="3"/>
    <col width="20" customWidth="1" min="4" max="4"/>
    <col width="20" customWidth="1" min="5" max="5"/>
    <col width="29"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9" customWidth="1" min="20" max="20"/>
    <col width="45" customWidth="1" min="21" max="21"/>
    <col width="20" customWidth="1" min="22" max="22"/>
    <col width="20" customWidth="1" min="23" max="23"/>
    <col width="20.70000076293945" customWidth="1" min="24" max="24"/>
    <col width="20" customWidth="1" min="25" max="25"/>
    <col width="20" customWidth="1" min="26" max="26"/>
    <col width="20" customWidth="1" min="27" max="27"/>
    <col width="20" customWidth="1" min="28" max="28"/>
    <col width="20" customWidth="1" min="29" max="29"/>
    <col width="29" customWidth="1" min="30" max="30"/>
    <col width="20" customWidth="1" min="31" max="31"/>
    <col width="29" customWidth="1" min="32" max="32"/>
    <col width="20" customWidth="1" min="33" max="33"/>
    <col width="20" customWidth="1" min="34" max="34"/>
    <col width="20" customWidth="1" min="35" max="35"/>
    <col width="20" customWidth="1" min="36" max="36"/>
    <col width="25.20000076293945" customWidth="1" min="37" max="37"/>
    <col width="26.10000038146973" customWidth="1" min="38" max="38"/>
    <col width="20" customWidth="1" min="39" max="39"/>
    <col width="20" customWidth="1" min="40" max="40"/>
    <col width="20" customWidth="1" min="41" max="41"/>
    <col width="20" customWidth="1" min="42" max="42"/>
    <col width="20" customWidth="1" min="43" max="43"/>
    <col width="20" customWidth="1" min="44" max="44"/>
    <col width="45" customWidth="1" min="45" max="45"/>
    <col width="20" customWidth="1" min="46" max="46"/>
    <col width="20" customWidth="1" min="47" max="47"/>
    <col width="20" customWidth="1" min="48" max="48"/>
    <col width="20" customWidth="1" min="49" max="49"/>
    <col width="45" customWidth="1" min="50" max="50"/>
    <col width="20" customWidth="1" min="51" max="51"/>
    <col width="20" customWidth="1" min="52" max="52"/>
    <col width="20" customWidth="1" min="53" max="53"/>
    <col width="20" customWidth="1" min="54" max="54"/>
    <col width="20" customWidth="1" min="55" max="55"/>
    <col width="20.70000076293945" customWidth="1" min="56" max="56"/>
    <col width="29" customWidth="1" min="57" max="57"/>
    <col width="29" customWidth="1" min="58" max="58"/>
    <col width="29" customWidth="1" min="59" max="59"/>
    <col width="29" customWidth="1" min="60" max="60"/>
    <col width="29" customWidth="1" min="61" max="61"/>
    <col width="29" customWidth="1" min="62" max="62"/>
    <col width="29" customWidth="1" min="63" max="63"/>
    <col width="29" customWidth="1" min="64" max="64"/>
    <col width="29" customWidth="1" min="65" max="65"/>
    <col width="29" customWidth="1" min="66" max="66"/>
    <col width="29" customWidth="1" min="67" max="67"/>
    <col width="20" customWidth="1" min="68" max="68"/>
    <col width="20" customWidth="1" min="69" max="69"/>
    <col width="20" customWidth="1" min="70" max="70"/>
    <col width="20" customWidth="1" min="71" max="71"/>
    <col width="21.60000038146973" customWidth="1" min="72" max="72"/>
    <col width="20" customWidth="1" min="73" max="73"/>
    <col width="20" customWidth="1" min="74" max="74"/>
    <col width="20" customWidth="1" min="75" max="75"/>
    <col width="26.10000038146973" customWidth="1" min="76" max="76"/>
    <col width="25.20000076293945" customWidth="1" min="77" max="77"/>
    <col width="25.20000076293945" customWidth="1" min="78" max="78"/>
    <col width="29" customWidth="1" min="79" max="79"/>
    <col width="20" customWidth="1" min="80" max="80"/>
    <col width="20.70000076293945" customWidth="1" min="81" max="81"/>
    <col width="20" customWidth="1" min="82" max="82"/>
    <col width="20" customWidth="1" min="83" max="83"/>
    <col width="22.5" customWidth="1" min="84" max="84"/>
    <col width="45" customWidth="1" min="85" max="85"/>
    <col width="45" customWidth="1" min="86" max="86"/>
    <col width="45" customWidth="1" min="87" max="87"/>
    <col width="45" customWidth="1" min="88" max="88"/>
  </cols>
  <sheetData>
    <row r="1" ht="22" customHeight="1">
      <c r="A1" s="35" t="inlineStr">
        <is>
          <t>Stephan Hardt | Power Generation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row>
    <row r="2" ht="30" customHeight="1">
      <c r="A2" s="4" t="inlineStr">
        <is>
          <t>Leads template</t>
        </is>
      </c>
      <c r="B2" s="5" t="n"/>
      <c r="C2" s="5" t="n"/>
      <c r="D2" s="5" t="n"/>
      <c r="E2" s="5" t="n"/>
      <c r="F2" s="5" t="n"/>
      <c r="G2" s="5" t="n"/>
      <c r="H2" s="5"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row>
    <row r="3" ht="22" customHeight="1">
      <c r="A3" s="6" t="inlineStr">
        <is>
          <t>One lead per row. Contact and project details are kept in the same record.</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row>
    <row r="4">
      <c r="A4" s="6" t="inlineStr">
        <is>
          <t>Amber cells = dropdowns. * = required in the recording. Blank rows are ready for entry. See Guide for source limits.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row>
    <row r="5" ht="28" customHeight="1">
      <c r="A5" s="16" t="inlineStr">
        <is>
          <t>Contact Details</t>
        </is>
      </c>
      <c r="B5" s="16" t="n"/>
      <c r="C5" s="16" t="n"/>
      <c r="D5" s="16" t="n"/>
      <c r="E5" s="16" t="n"/>
      <c r="F5" s="16" t="n"/>
      <c r="G5" s="16" t="n"/>
      <c r="H5" s="16" t="n"/>
      <c r="I5" s="16" t="n"/>
      <c r="J5" s="16" t="n"/>
      <c r="K5" s="16" t="n"/>
      <c r="L5" s="16" t="n"/>
      <c r="M5" s="16" t="n"/>
      <c r="N5" s="16" t="n"/>
      <c r="O5" s="16" t="n"/>
      <c r="P5" s="16" t="n"/>
      <c r="Q5" s="16" t="n"/>
      <c r="R5" s="16" t="n"/>
      <c r="S5" s="16" t="n"/>
      <c r="T5" s="16" t="n"/>
      <c r="U5" s="16" t="inlineStr">
        <is>
          <t>Contact Address</t>
        </is>
      </c>
      <c r="V5" s="16" t="n"/>
      <c r="W5" s="16" t="n"/>
      <c r="X5" s="16" t="n"/>
      <c r="Y5" s="16" t="n"/>
      <c r="Z5" s="16" t="inlineStr">
        <is>
          <t>Contact Tracking</t>
        </is>
      </c>
      <c r="AA5" s="16" t="n"/>
      <c r="AB5" s="16" t="n"/>
      <c r="AC5" s="16" t="n"/>
      <c r="AD5" s="16" t="inlineStr">
        <is>
          <t>Key Project Details</t>
        </is>
      </c>
      <c r="AE5" s="16" t="n"/>
      <c r="AF5" s="16" t="n"/>
      <c r="AG5" s="16" t="n"/>
      <c r="AH5" s="16" t="n"/>
      <c r="AI5" s="16" t="n"/>
      <c r="AJ5" s="16" t="n"/>
      <c r="AK5" s="16" t="n"/>
      <c r="AL5" s="16" t="n"/>
      <c r="AM5" s="16" t="n"/>
      <c r="AN5" s="16" t="inlineStr">
        <is>
          <t>Market + Application</t>
        </is>
      </c>
      <c r="AO5" s="16" t="n"/>
      <c r="AP5" s="16" t="n"/>
      <c r="AQ5" s="16" t="n"/>
      <c r="AR5" s="16" t="n"/>
      <c r="AS5" s="16" t="n"/>
      <c r="AT5" s="16" t="n"/>
      <c r="AU5" s="16" t="n"/>
      <c r="AV5" s="16" t="n"/>
      <c r="AW5" s="16" t="n"/>
      <c r="AX5" s="16" t="inlineStr">
        <is>
          <t>Project Address</t>
        </is>
      </c>
      <c r="AY5" s="16" t="n"/>
      <c r="AZ5" s="16" t="n"/>
      <c r="BA5" s="16" t="n"/>
      <c r="BB5" s="16" t="n"/>
      <c r="BC5" s="16" t="n"/>
      <c r="BD5" s="16" t="n"/>
      <c r="BE5" s="16" t="inlineStr">
        <is>
          <t>Project Stakeholders</t>
        </is>
      </c>
      <c r="BF5" s="16" t="n"/>
      <c r="BG5" s="16" t="n"/>
      <c r="BH5" s="16" t="n"/>
      <c r="BI5" s="16" t="n"/>
      <c r="BJ5" s="16" t="n"/>
      <c r="BK5" s="16" t="n"/>
      <c r="BL5" s="16" t="n"/>
      <c r="BM5" s="16" t="n"/>
      <c r="BN5" s="16" t="n"/>
      <c r="BO5" s="16" t="n"/>
      <c r="BP5" s="16" t="inlineStr">
        <is>
          <t>Project Product Offering</t>
        </is>
      </c>
      <c r="BQ5" s="16" t="n"/>
      <c r="BR5" s="16" t="n"/>
      <c r="BS5" s="16" t="n"/>
      <c r="BT5" s="16" t="n"/>
      <c r="BU5" s="16" t="n"/>
      <c r="BV5" s="16" t="n"/>
      <c r="BW5" s="16" t="n"/>
      <c r="BX5" s="16" t="inlineStr">
        <is>
          <t>Additional Project Details</t>
        </is>
      </c>
      <c r="BY5" s="16" t="n"/>
      <c r="BZ5" s="16" t="n"/>
      <c r="CA5" s="16" t="n"/>
      <c r="CB5" s="16" t="inlineStr">
        <is>
          <t>Project Metadata</t>
        </is>
      </c>
      <c r="CC5" s="16" t="n"/>
      <c r="CD5" s="16" t="n"/>
      <c r="CE5" s="16" t="n"/>
      <c r="CF5" s="16" t="n"/>
      <c r="CG5" s="16" t="inlineStr">
        <is>
          <t>Sales Update</t>
        </is>
      </c>
      <c r="CH5" s="16" t="n"/>
      <c r="CI5" s="16" t="n"/>
      <c r="CJ5" s="16" t="n"/>
    </row>
    <row r="6" ht="43" customHeight="1">
      <c r="A6" s="19" t="inlineStr">
        <is>
          <t>Last Name *</t>
        </is>
      </c>
      <c r="B6" s="12" t="inlineStr">
        <is>
          <t>First Name</t>
        </is>
      </c>
      <c r="C6" s="19" t="inlineStr">
        <is>
          <t>Company *</t>
        </is>
      </c>
      <c r="D6" s="19" t="inlineStr">
        <is>
          <t>Lead Status *</t>
        </is>
      </c>
      <c r="E6" s="19" t="inlineStr">
        <is>
          <t>Lead Source *</t>
        </is>
      </c>
      <c r="F6" s="12" t="inlineStr">
        <is>
          <t>Lead Owner</t>
        </is>
      </c>
      <c r="G6" s="12" t="inlineStr">
        <is>
          <t>Salutation</t>
        </is>
      </c>
      <c r="H6" s="12" t="inlineStr">
        <is>
          <t>Title</t>
        </is>
      </c>
      <c r="I6" s="12" t="inlineStr">
        <is>
          <t>Occupation</t>
        </is>
      </c>
      <c r="J6" s="12" t="inlineStr">
        <is>
          <t>Industry</t>
        </is>
      </c>
      <c r="K6" s="12" t="inlineStr">
        <is>
          <t>Phone</t>
        </is>
      </c>
      <c r="L6" s="12" t="inlineStr">
        <is>
          <t>Mobile</t>
        </is>
      </c>
      <c r="M6" s="12" t="inlineStr">
        <is>
          <t>Email</t>
        </is>
      </c>
      <c r="N6" s="12" t="inlineStr">
        <is>
          <t>Fax</t>
        </is>
      </c>
      <c r="O6" s="12" t="inlineStr">
        <is>
          <t>Create Project Record</t>
        </is>
      </c>
      <c r="P6" s="12" t="inlineStr">
        <is>
          <t>Recycle Date</t>
        </is>
      </c>
      <c r="Q6" s="12" t="inlineStr">
        <is>
          <t>Recycle Time</t>
        </is>
      </c>
      <c r="R6" s="12" t="inlineStr">
        <is>
          <t>Do Not Call</t>
        </is>
      </c>
      <c r="S6" s="12" t="inlineStr">
        <is>
          <t>Email Opt Out</t>
        </is>
      </c>
      <c r="T6" s="12" t="inlineStr">
        <is>
          <t>Sales Agent Contact</t>
        </is>
      </c>
      <c r="U6" s="12" t="inlineStr">
        <is>
          <t>Contact Street</t>
        </is>
      </c>
      <c r="V6" s="12" t="inlineStr">
        <is>
          <t>Contact City</t>
        </is>
      </c>
      <c r="W6" s="12" t="inlineStr">
        <is>
          <t>Contact State/Province</t>
        </is>
      </c>
      <c r="X6" s="12" t="inlineStr">
        <is>
          <t>Contact Zip/Postal Code</t>
        </is>
      </c>
      <c r="Y6" s="12" t="inlineStr">
        <is>
          <t>Contact Country</t>
        </is>
      </c>
      <c r="Z6" s="12" t="inlineStr">
        <is>
          <t>EVITP Certified</t>
        </is>
      </c>
      <c r="AA6" s="12" t="inlineStr">
        <is>
          <t>SSU Attendee</t>
        </is>
      </c>
      <c r="AB6" s="12" t="inlineStr">
        <is>
          <t>SSU Attended Date</t>
        </is>
      </c>
      <c r="AC6" s="12" t="inlineStr">
        <is>
          <t>MQL LOB</t>
        </is>
      </c>
      <c r="AD6" s="12" t="inlineStr">
        <is>
          <t>Project Name</t>
        </is>
      </c>
      <c r="AE6" s="12" t="inlineStr">
        <is>
          <t>Other Project Aliases</t>
        </is>
      </c>
      <c r="AF6" s="12" t="inlineStr">
        <is>
          <t>End User</t>
        </is>
      </c>
      <c r="AG6" s="12" t="inlineStr">
        <is>
          <t>Construction Stage</t>
        </is>
      </c>
      <c r="AH6" s="12" t="inlineStr">
        <is>
          <t>End User Type</t>
        </is>
      </c>
      <c r="AI6" s="12" t="inlineStr">
        <is>
          <t>Amount ($)</t>
        </is>
      </c>
      <c r="AJ6" s="12" t="inlineStr">
        <is>
          <t>Project Probability</t>
        </is>
      </c>
      <c r="AK6" s="12" t="inlineStr">
        <is>
          <t>Estimated Commissioning Date</t>
        </is>
      </c>
      <c r="AL6" s="12" t="inlineStr">
        <is>
          <t>Estimated Power Capacity (MW)</t>
        </is>
      </c>
      <c r="AM6" s="12" t="inlineStr">
        <is>
          <t>Estimated Voltage (KV)</t>
        </is>
      </c>
      <c r="AN6" s="12" t="inlineStr">
        <is>
          <t>Market</t>
        </is>
      </c>
      <c r="AO6" s="12" t="inlineStr">
        <is>
          <t>Segment</t>
        </is>
      </c>
      <c r="AP6" s="12" t="inlineStr">
        <is>
          <t>Application</t>
        </is>
      </c>
      <c r="AQ6" s="12" t="inlineStr">
        <is>
          <t>Demand Driver</t>
        </is>
      </c>
      <c r="AR6" s="12" t="inlineStr">
        <is>
          <t>OEM Category</t>
        </is>
      </c>
      <c r="AS6" s="12" t="inlineStr">
        <is>
          <t>Proposed Project Application</t>
        </is>
      </c>
      <c r="AT6" s="12" t="inlineStr">
        <is>
          <t>Brownfield/Greenfield</t>
        </is>
      </c>
      <c r="AU6" s="12" t="inlineStr">
        <is>
          <t>Power Needs</t>
        </is>
      </c>
      <c r="AV6" s="12" t="inlineStr">
        <is>
          <t>Primary Energy Source</t>
        </is>
      </c>
      <c r="AW6" s="12" t="inlineStr">
        <is>
          <t>AI Facility</t>
        </is>
      </c>
      <c r="AX6" s="12" t="inlineStr">
        <is>
          <t>Project Street</t>
        </is>
      </c>
      <c r="AY6" s="12" t="inlineStr">
        <is>
          <t>Project City</t>
        </is>
      </c>
      <c r="AZ6" s="12" t="inlineStr">
        <is>
          <t>Project State</t>
        </is>
      </c>
      <c r="BA6" s="12" t="inlineStr">
        <is>
          <t>Project ZIP</t>
        </is>
      </c>
      <c r="BB6" s="12" t="inlineStr">
        <is>
          <t>Project Country</t>
        </is>
      </c>
      <c r="BC6" s="12" t="inlineStr">
        <is>
          <t>Project County</t>
        </is>
      </c>
      <c r="BD6" s="12" t="inlineStr">
        <is>
          <t>Project Canadian Region</t>
        </is>
      </c>
      <c r="BE6" s="12" t="inlineStr">
        <is>
          <t>Site Owner</t>
        </is>
      </c>
      <c r="BF6" s="12" t="inlineStr">
        <is>
          <t>EPC</t>
        </is>
      </c>
      <c r="BG6" s="12" t="inlineStr">
        <is>
          <t>Developer</t>
        </is>
      </c>
      <c r="BH6" s="12" t="inlineStr">
        <is>
          <t>Preferred Electrical Distributor</t>
        </is>
      </c>
      <c r="BI6" s="12" t="inlineStr">
        <is>
          <t>OEM Project Partner</t>
        </is>
      </c>
      <c r="BJ6" s="12" t="inlineStr">
        <is>
          <t>General Contractor</t>
        </is>
      </c>
      <c r="BK6" s="12" t="inlineStr">
        <is>
          <t>Electrical Contractor</t>
        </is>
      </c>
      <c r="BL6" s="12" t="inlineStr">
        <is>
          <t>RTO/ISO/Regional Group</t>
        </is>
      </c>
      <c r="BM6" s="12" t="inlineStr">
        <is>
          <t>Utility Provider</t>
        </is>
      </c>
      <c r="BN6" s="12" t="inlineStr">
        <is>
          <t>Sold-To Party</t>
        </is>
      </c>
      <c r="BO6" s="12" t="inlineStr">
        <is>
          <t>Construction Equipment Provider</t>
        </is>
      </c>
      <c r="BP6" s="12" t="inlineStr">
        <is>
          <t>Medium Voltage</t>
        </is>
      </c>
      <c r="BQ6" s="12" t="inlineStr">
        <is>
          <t>600V Insulated</t>
        </is>
      </c>
      <c r="BR6" s="12" t="inlineStr">
        <is>
          <t>Tray Cable</t>
        </is>
      </c>
      <c r="BS6" s="12" t="inlineStr">
        <is>
          <t>Building Wire</t>
        </is>
      </c>
      <c r="BT6" s="12" t="inlineStr">
        <is>
          <t>High Voltage Underground</t>
        </is>
      </c>
      <c r="BU6" s="12" t="inlineStr">
        <is>
          <t>Bare Overhead</t>
        </is>
      </c>
      <c r="BV6" s="12" t="inlineStr">
        <is>
          <t>Submarine</t>
        </is>
      </c>
      <c r="BW6" s="12" t="inlineStr">
        <is>
          <t>Substation</t>
        </is>
      </c>
      <c r="BX6" s="12" t="inlineStr">
        <is>
          <t>Total Transmission Line Miles</t>
        </is>
      </c>
      <c r="BY6" s="12" t="inlineStr">
        <is>
          <t>Transmission Line Endpoint 1</t>
        </is>
      </c>
      <c r="BZ6" s="12" t="inlineStr">
        <is>
          <t>Transmission Line Endpoint 2</t>
        </is>
      </c>
      <c r="CA6" s="12" t="inlineStr">
        <is>
          <t>Data Center Building Name</t>
        </is>
      </c>
      <c r="CB6" s="12" t="inlineStr">
        <is>
          <t>External Project ID</t>
        </is>
      </c>
      <c r="CC6" s="12" t="inlineStr">
        <is>
          <t>Data Center Building ID</t>
        </is>
      </c>
      <c r="CD6" s="12" t="inlineStr">
        <is>
          <t>End User ID</t>
        </is>
      </c>
      <c r="CE6" s="12" t="inlineStr">
        <is>
          <t>Site Owner ID</t>
        </is>
      </c>
      <c r="CF6" s="12" t="inlineStr">
        <is>
          <t>RTO/ISO/Regional Group ID</t>
        </is>
      </c>
      <c r="CG6" s="12" t="inlineStr">
        <is>
          <t>Sales Comments</t>
        </is>
      </c>
      <c r="CH6" s="12" t="inlineStr">
        <is>
          <t>Top Next Steps</t>
        </is>
      </c>
      <c r="CI6" s="12" t="inlineStr">
        <is>
          <t>Project Description</t>
        </is>
      </c>
      <c r="CJ6" s="12" t="inlineStr">
        <is>
          <t>Description</t>
        </is>
      </c>
    </row>
    <row r="7" ht="23" customHeight="1">
      <c r="A7" s="36" t="inlineStr">
        <is>
          <t>Birmingham</t>
        </is>
      </c>
      <c r="B7" s="36" t="inlineStr">
        <is>
          <t>Daniel</t>
        </is>
      </c>
      <c r="C7" s="36" t="inlineStr">
        <is>
          <t>Invenergy</t>
        </is>
      </c>
      <c r="D7" s="37" t="inlineStr">
        <is>
          <t>New</t>
        </is>
      </c>
      <c r="E7" s="37" t="inlineStr">
        <is>
          <t>Sales</t>
        </is>
      </c>
      <c r="F7" s="36" t="inlineStr">
        <is>
          <t>Stephan Hardt</t>
        </is>
      </c>
      <c r="G7" s="40" t="n"/>
      <c r="H7" s="36" t="inlineStr">
        <is>
          <t>Lead Developer</t>
        </is>
      </c>
      <c r="I7" s="37" t="inlineStr">
        <is>
          <t>Contractor</t>
        </is>
      </c>
      <c r="J7" s="37" t="inlineStr">
        <is>
          <t>Energy</t>
        </is>
      </c>
      <c r="K7" s="36" t="inlineStr">
        <is>
          <t>+1 312-582-1094</t>
        </is>
      </c>
      <c r="L7" s="39" t="n"/>
      <c r="M7" s="36" t="inlineStr">
        <is>
          <t>dbirmingham@invenergy.com</t>
        </is>
      </c>
      <c r="N7" s="39" t="n"/>
      <c r="O7" s="37" t="inlineStr">
        <is>
          <t>Yes</t>
        </is>
      </c>
      <c r="P7" s="46" t="n"/>
      <c r="Q7" s="48" t="n"/>
      <c r="R7" s="40" t="n"/>
      <c r="S7" s="40" t="n"/>
      <c r="T7" s="39" t="n"/>
      <c r="U7" s="47" t="n"/>
      <c r="V7" s="39" t="n"/>
      <c r="W7" s="39" t="n"/>
      <c r="X7" s="39" t="n"/>
      <c r="Y7" s="39" t="n"/>
      <c r="Z7" s="40" t="n"/>
      <c r="AA7" s="40" t="n"/>
      <c r="AB7" s="46" t="n"/>
      <c r="AC7" s="39" t="n"/>
      <c r="AD7" s="36" t="inlineStr">
        <is>
          <t>Forest Junction Energy Center</t>
        </is>
      </c>
      <c r="AE7" s="38" t="inlineStr">
        <is>
          <t>Forest Junction Energy Center Project (Yes Energy); Forest Junction Energy Center LLC; MISO J4014; paired w/ Union Depot Energy Center (750 MW CC)</t>
        </is>
      </c>
      <c r="AF7" s="36" t="inlineStr">
        <is>
          <t>Invenergy</t>
        </is>
      </c>
      <c r="AG7" s="38" t="inlineStr">
        <is>
          <t>Advanced Development - pre-CPCN application (WI PSC REF#606657)</t>
        </is>
      </c>
      <c r="AH7" s="37" t="inlineStr">
        <is>
          <t>IPP</t>
        </is>
      </c>
      <c r="AI7" s="49">
        <f>AL7*1000*Guide!$B$81</f>
        <v/>
      </c>
      <c r="AJ7" s="50" t="n"/>
      <c r="AK7" s="45" t="n">
        <v>48213</v>
      </c>
      <c r="AL7" s="44" t="n">
        <v>1203</v>
      </c>
      <c r="AM7" s="44" t="n">
        <v>345</v>
      </c>
      <c r="AN7" s="37" t="inlineStr">
        <is>
          <t>Power Generation</t>
        </is>
      </c>
      <c r="AO7" s="37" t="inlineStr">
        <is>
          <t>Generation</t>
        </is>
      </c>
      <c r="AP7" s="37" t="inlineStr">
        <is>
          <t>New Capacity/New Build</t>
        </is>
      </c>
      <c r="AQ7" s="37" t="inlineStr">
        <is>
          <t>New Load Growth</t>
        </is>
      </c>
      <c r="AR7" s="37" t="inlineStr">
        <is>
          <t>Generation</t>
        </is>
      </c>
      <c r="AS7" s="38" t="inlineStr">
        <is>
          <t>Natural gas generation - electrical BoP (MV/LV power, tray/control &amp; instrumentation cable, substation)</t>
        </is>
      </c>
      <c r="AT7" s="37" t="inlineStr">
        <is>
          <t>Greenfield</t>
        </is>
      </c>
      <c r="AU7" s="37" t="inlineStr">
        <is>
          <t>Traditional</t>
        </is>
      </c>
      <c r="AV7" s="37" t="inlineStr">
        <is>
          <t>Natural Gas</t>
        </is>
      </c>
      <c r="AW7" s="37" t="inlineStr">
        <is>
          <t>No</t>
        </is>
      </c>
      <c r="AX7" s="38" t="inlineStr">
        <is>
          <t>E of Hwy 57, N of Hwy 10, Town of Brillion</t>
        </is>
      </c>
      <c r="AY7" s="36" t="inlineStr">
        <is>
          <t>Brillion (Town of)</t>
        </is>
      </c>
      <c r="AZ7" s="36" t="inlineStr">
        <is>
          <t>WI</t>
        </is>
      </c>
      <c r="BA7" s="39" t="n"/>
      <c r="BB7" s="36" t="inlineStr">
        <is>
          <t>United States</t>
        </is>
      </c>
      <c r="BC7" s="36" t="inlineStr">
        <is>
          <t>Calumet</t>
        </is>
      </c>
      <c r="BD7" s="40" t="n"/>
      <c r="BE7" s="36" t="inlineStr">
        <is>
          <t>Invenergy (private land lease)</t>
        </is>
      </c>
      <c r="BF7" s="39" t="n"/>
      <c r="BG7" s="36" t="inlineStr">
        <is>
          <t>Invenergy</t>
        </is>
      </c>
      <c r="BH7" s="39" t="n"/>
      <c r="BI7" s="38" t="inlineStr">
        <is>
          <t>GE Vernova (5x 7F.05 CTs, H35 generators)</t>
        </is>
      </c>
      <c r="BJ7" s="39" t="n"/>
      <c r="BK7" s="39" t="n"/>
      <c r="BL7" s="38" t="inlineStr">
        <is>
          <t>Midcontinent Independent System Operator (MISO)</t>
        </is>
      </c>
      <c r="BM7" s="38" t="inlineStr">
        <is>
          <t>American Transmission Co (ATC); possible offtaker We Energies</t>
        </is>
      </c>
      <c r="BN7" s="39" t="n"/>
      <c r="BO7" s="39" t="n"/>
      <c r="BP7" s="37" t="inlineStr">
        <is>
          <t>Yes</t>
        </is>
      </c>
      <c r="BQ7" s="37" t="inlineStr">
        <is>
          <t>Yes</t>
        </is>
      </c>
      <c r="BR7" s="37" t="inlineStr">
        <is>
          <t>Yes</t>
        </is>
      </c>
      <c r="BS7" s="37" t="inlineStr">
        <is>
          <t>No</t>
        </is>
      </c>
      <c r="BT7" s="37" t="inlineStr">
        <is>
          <t>No</t>
        </is>
      </c>
      <c r="BU7" s="37" t="inlineStr">
        <is>
          <t>Yes</t>
        </is>
      </c>
      <c r="BV7" s="37" t="inlineStr">
        <is>
          <t>No</t>
        </is>
      </c>
      <c r="BW7" s="37" t="inlineStr">
        <is>
          <t>Yes</t>
        </is>
      </c>
      <c r="BX7" s="44" t="n">
        <v>1.2</v>
      </c>
      <c r="BY7" s="36" t="inlineStr">
        <is>
          <t>Forest Junction Energy Center</t>
        </is>
      </c>
      <c r="BZ7" s="36" t="inlineStr">
        <is>
          <t>ATC Forest Junction 345 kV Substation</t>
        </is>
      </c>
      <c r="CA7" s="39" t="n"/>
      <c r="CB7" s="36" t="inlineStr">
        <is>
          <t>10019673557</t>
        </is>
      </c>
      <c r="CC7" s="39" t="n"/>
      <c r="CD7" s="39" t="n"/>
      <c r="CE7" s="39" t="n"/>
      <c r="CF7" s="39" t="n"/>
      <c r="CG7" s="38" t="inlineStr">
        <is>
          <t>*RPBD* AWARD (PO) DATE BASIS: CPCN filing expected fall 2026 (PSC docket 5-CE-162), construction start Q4 2027, COD Dec 2031 -&gt; BOP cable likely released in phases Q4 2028-Q2 2030 (award date set to COD-24 mo). EPC not named (Invenergy has used Kiewit elsewhere - unconfirmed). We Energies (Brendan Conway, spokesperson) may acquire; precedent: PSC approved Invenergy Red Oak Ridge/Foundry Ridge for We Energies Oct 15, 2026. Yes Energy shows 2030 COD; public sources Dec 2031.</t>
        </is>
      </c>
      <c r="CH7" s="38" t="inlineStr">
        <is>
          <t>Build relationship with Daniel Birmingham (Invenergy); watch PSC 5-CE-162 CPCN for EPC; get on EPC approved-vendor list in 2027.</t>
        </is>
      </c>
      <c r="CI7" s="38" t="inlineStr">
        <is>
          <t>*RPBD* OVERVIEW: Proposed ~1,203 MW natural-gas simple-cycle PEAKING plant by Invenergy, planned alongside the 750 MW Union Depot Energy Center combined cycle on an adjacent site (~1.95 GW total campus). Alternate site identified in Town of Woodville. TECHNOLOGY &amp; EQUIPMENT: 5x GE 7F.05 combustion turbines with GE H35 generators, each with generator step-up transformer; designed for continuous duty but expected to run mainly at peak. SITE: GREENFIELD - privately owned agricultural land east of WI-57, north of US-10, Town of Brillion, Calumet County (acreage not yet published; see PSC engineering plan). INTERCONNECTION: three 345 kV overhead gen-tie lines to ATC's Forest Junction 345 kV substation (ATC also expanding 345 kV lines south to new Sheboygan River substation). OWNERSHIP/STATUS: Developer Invenergy; We Energies listed it in rate-case planning (possible acquirer, needs PSC approval). Engineering plan filed Aug 2026; CPCN application expected fall 2026 (PSC docket 5-CE-162); construction start targeted Q4 2027; COD ~Dec 2031. EPC not yet selected. INVESTMENT: Total project investment Not disclosed; est. W&amp;C value $9,624,000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Plus overhead conductor for 3x 345 kV gen-ties; large opportunity if bundled with Union Depot CC. Ref: https://dailyreporter.com/2026/08/31/invenergy-proposes-two-natural-gas-plants-calumet-county/ | https://fox11online.com/news/local/calumet-county-power-plant-proposed-energy-centers-town-of-brillion-power-megawatts-gigawatts-we-energies-invenergy-town-of-woodville-forest-junction-union-depot | https://forestjunctionenergycenter.invenergy.com/ | https://www.nbc26.com/lakeshore/neighbors-push-back-against-proposed-natural-gas-facility-in-town-of-brillion</t>
        </is>
      </c>
      <c r="CJ7" s="38" t="inlineStr">
        <is>
          <t>*RPBD* Total project investment: Not disclosed. Est. W&amp;C value: $9,624,000 ($8/kW).</t>
        </is>
      </c>
    </row>
    <row r="8" ht="23" customHeight="1">
      <c r="A8" s="36" t="inlineStr">
        <is>
          <t>Pollock</t>
        </is>
      </c>
      <c r="B8" s="36" t="inlineStr">
        <is>
          <t>Keith</t>
        </is>
      </c>
      <c r="C8" s="36" t="inlineStr">
        <is>
          <t>Entergy Texas</t>
        </is>
      </c>
      <c r="D8" s="37" t="inlineStr">
        <is>
          <t>Recycle</t>
        </is>
      </c>
      <c r="E8" s="37" t="inlineStr">
        <is>
          <t>Sales</t>
        </is>
      </c>
      <c r="F8" s="36" t="inlineStr">
        <is>
          <t>Stephan Hardt</t>
        </is>
      </c>
      <c r="G8" s="40" t="n"/>
      <c r="H8" s="36" t="inlineStr">
        <is>
          <t>Project Director, OCAPS</t>
        </is>
      </c>
      <c r="I8" s="37" t="inlineStr">
        <is>
          <t>End User</t>
        </is>
      </c>
      <c r="J8" s="37" t="inlineStr">
        <is>
          <t>Energy</t>
        </is>
      </c>
      <c r="K8" s="39" t="n"/>
      <c r="L8" s="39" t="n"/>
      <c r="M8" s="39" t="n"/>
      <c r="N8" s="39" t="n"/>
      <c r="O8" s="37" t="inlineStr">
        <is>
          <t>Yes</t>
        </is>
      </c>
      <c r="P8" s="46" t="n"/>
      <c r="Q8" s="48" t="n"/>
      <c r="R8" s="40" t="n"/>
      <c r="S8" s="40" t="n"/>
      <c r="T8" s="39" t="n"/>
      <c r="U8" s="47" t="n"/>
      <c r="V8" s="39" t="n"/>
      <c r="W8" s="39" t="n"/>
      <c r="X8" s="39" t="n"/>
      <c r="Y8" s="39" t="n"/>
      <c r="Z8" s="40" t="n"/>
      <c r="AA8" s="40" t="n"/>
      <c r="AB8" s="46" t="n"/>
      <c r="AC8" s="39" t="n"/>
      <c r="AD8" s="38" t="inlineStr">
        <is>
          <t>Orange County Advanced Power Station (OCAPS)</t>
        </is>
      </c>
      <c r="AE8" s="38" t="inlineStr">
        <is>
          <t>Orange County Advanced Power Station Project (Yes Energy); OCAPS; Sabine Power Plant site; PUCT Docket 52487</t>
        </is>
      </c>
      <c r="AF8" s="36" t="inlineStr">
        <is>
          <t>Entergy Texas</t>
        </is>
      </c>
      <c r="AG8" s="38" t="inlineStr">
        <is>
          <t>In service ~Oct 14, 2026 (was Under Construction in Yes Energy)</t>
        </is>
      </c>
      <c r="AH8" s="37" t="inlineStr">
        <is>
          <t>IOU</t>
        </is>
      </c>
      <c r="AI8" s="49">
        <f>AL8*1000*Guide!$B$81</f>
        <v/>
      </c>
      <c r="AJ8" s="50" t="n"/>
      <c r="AK8" s="45" t="n">
        <v>46309</v>
      </c>
      <c r="AL8" s="44" t="n">
        <v>1215</v>
      </c>
      <c r="AM8" s="43" t="n"/>
      <c r="AN8" s="37" t="inlineStr">
        <is>
          <t>Power Generation</t>
        </is>
      </c>
      <c r="AO8" s="37" t="inlineStr">
        <is>
          <t>Generation</t>
        </is>
      </c>
      <c r="AP8" s="37" t="inlineStr">
        <is>
          <t>New Capacity/New Build</t>
        </is>
      </c>
      <c r="AQ8" s="37" t="inlineStr">
        <is>
          <t>New Load Growth</t>
        </is>
      </c>
      <c r="AR8" s="37" t="inlineStr">
        <is>
          <t>Generation</t>
        </is>
      </c>
      <c r="AS8" s="38" t="inlineStr">
        <is>
          <t>Natural gas generation - electrical BoP (MV/LV power, tray/control &amp; instrumentation cable, substation)</t>
        </is>
      </c>
      <c r="AT8" s="37" t="inlineStr">
        <is>
          <t>Brownfield</t>
        </is>
      </c>
      <c r="AU8" s="37" t="inlineStr">
        <is>
          <t>Traditional</t>
        </is>
      </c>
      <c r="AV8" s="37" t="inlineStr">
        <is>
          <t>Natural Gas</t>
        </is>
      </c>
      <c r="AW8" s="37" t="inlineStr">
        <is>
          <t>No</t>
        </is>
      </c>
      <c r="AX8" s="36" t="inlineStr">
        <is>
          <t>Entergy Sabine Power Plant site</t>
        </is>
      </c>
      <c r="AY8" s="36" t="inlineStr">
        <is>
          <t>Bridge City</t>
        </is>
      </c>
      <c r="AZ8" s="36" t="inlineStr">
        <is>
          <t>TX</t>
        </is>
      </c>
      <c r="BA8" s="39" t="n"/>
      <c r="BB8" s="36" t="inlineStr">
        <is>
          <t>United States</t>
        </is>
      </c>
      <c r="BC8" s="36" t="inlineStr">
        <is>
          <t>Orange</t>
        </is>
      </c>
      <c r="BD8" s="40" t="n"/>
      <c r="BE8" s="36" t="inlineStr">
        <is>
          <t>Entergy Texas</t>
        </is>
      </c>
      <c r="BF8" s="38" t="inlineStr">
        <is>
          <t>Mitsubishi Power / TIC / Sargent &amp; Lundy (EPC consortium)</t>
        </is>
      </c>
      <c r="BG8" s="36" t="inlineStr">
        <is>
          <t>Entergy Texas</t>
        </is>
      </c>
      <c r="BH8" s="39" t="n"/>
      <c r="BI8" s="38" t="inlineStr">
        <is>
          <t>Mitsubishi Power (2x M501JAC GT, ST, HRSG)</t>
        </is>
      </c>
      <c r="BJ8" s="39" t="n"/>
      <c r="BK8" s="39" t="n"/>
      <c r="BL8" s="38" t="inlineStr">
        <is>
          <t>Midcontinent Independent System Operator (MISO)</t>
        </is>
      </c>
      <c r="BM8" s="36" t="inlineStr">
        <is>
          <t>Entergy Texas</t>
        </is>
      </c>
      <c r="BN8" s="39" t="n"/>
      <c r="BO8" s="39" t="n"/>
      <c r="BP8" s="37" t="inlineStr">
        <is>
          <t>Yes</t>
        </is>
      </c>
      <c r="BQ8" s="37" t="inlineStr">
        <is>
          <t>Yes</t>
        </is>
      </c>
      <c r="BR8" s="37" t="inlineStr">
        <is>
          <t>Yes</t>
        </is>
      </c>
      <c r="BS8" s="37" t="inlineStr">
        <is>
          <t>No</t>
        </is>
      </c>
      <c r="BT8" s="37" t="inlineStr">
        <is>
          <t>No</t>
        </is>
      </c>
      <c r="BU8" s="37" t="inlineStr">
        <is>
          <t>No</t>
        </is>
      </c>
      <c r="BV8" s="37" t="inlineStr">
        <is>
          <t>No</t>
        </is>
      </c>
      <c r="BW8" s="37" t="inlineStr">
        <is>
          <t>Yes</t>
        </is>
      </c>
      <c r="BX8" s="43" t="n"/>
      <c r="BY8" s="39" t="n"/>
      <c r="BZ8" s="39" t="n"/>
      <c r="CA8" s="39" t="n"/>
      <c r="CB8" s="36" t="inlineStr">
        <is>
          <t>10017200239</t>
        </is>
      </c>
      <c r="CC8" s="39" t="n"/>
      <c r="CD8" s="39" t="n"/>
      <c r="CE8" s="39" t="n"/>
      <c r="CF8" s="39" t="n"/>
      <c r="CG8" s="38" t="inlineStr">
        <is>
          <t>*RPBD* In service Oct 14, 2026 - new-build window passed (~2023-24). New-build award passed; aftermarket/MRO opportunity (first spring outage ~Apr 2027 - estimate, not sourced). Other contacts: David Borde (CEO, Entergy Texas); James Malone (Dir. Business Development, Sargent &amp; Lundy).</t>
        </is>
      </c>
      <c r="CH8" s="38" t="inlineStr">
        <is>
          <t>Aftermarket/spares with Keith Pollock and Entergy fossil ops supply chain; use TIC/S&amp;L relationship for Entergy program plants.</t>
        </is>
      </c>
      <c r="CI8" s="38" t="inlineStr">
        <is>
          <t>*RPBD* OVERVIEW: 1,215 MW natural-gas COMBINED-CYCLE plant, Entergy Texas' newest unit; entered commercial service Oct 14, 2026; serves ~230,000 homes in industrial Southeast Texas. TECHNOLOGY &amp; EQUIPMENT: Mitsubishi Power powertrain - 2x M501JAC gas turbines, HRSGs and steam turbine (2x1 configuration); dual-fuel, hydrogen-capable (30% H2 at start, designed for up to 100%). SITE: BROWNFIELD - ~26.2-acre footprint inside/adjacent to Entergy Texas' existing Sabine Power Plant in Bridge City, Orange County (existing gas plant with transmission and water infrastructure). OWNERSHIP/EPC: Entergy Texas; EPC consortium Mitsubishi Power (powertrain), Sargent &amp; Lundy (engineer of record), TIC - The Industrial Company (constructor). STATUS: Construction Apr 2023-2026, first fire Apr 2026, in service Oct 2026. INVESTMENT: Total project investment ~$1.2B (power-eng.com); Yes Energy $555M not confirmed; est. W&amp;C value $9,720,000 ($8/kW). W&amp;C NEEDS: New-build cable scope complete. Remaining: MRO/spares (MV, 600V, tray &amp; instrumentation cable), outage and warranty/punch-list work; reference project for the same TIC/S&amp;L/Mitsubishi team now building Entergy's LA/MS/AR plants. Ref: https://www.click2houston.com/news/local/2026/10/14/entergy-texas-orange-county-advanced-power-station-now-delivering-power-to-southeast-texas/ | https://www.power-eng.com/gas/turbines/entergy-texas-1-2-gw-ccgt-plant-is-now-online/ | https://www.sargentlundy.com/projects/orange-county-advanced-power-station/</t>
        </is>
      </c>
      <c r="CJ8" s="38" t="inlineStr">
        <is>
          <t>*RPBD* Total project investment: ~$1.2B (power-eng.com); Yes Energy $555M not confirmed. Est. W&amp;C value: $9,720,000 ($8/kW).</t>
        </is>
      </c>
    </row>
    <row r="9" ht="23" customHeight="1">
      <c r="A9" s="36" t="inlineStr">
        <is>
          <t>Burke</t>
        </is>
      </c>
      <c r="B9" s="36" t="inlineStr">
        <is>
          <t>Jim</t>
        </is>
      </c>
      <c r="C9" s="36" t="inlineStr">
        <is>
          <t>Vistra Corp</t>
        </is>
      </c>
      <c r="D9" s="37" t="inlineStr">
        <is>
          <t>New</t>
        </is>
      </c>
      <c r="E9" s="37" t="inlineStr">
        <is>
          <t>Sales</t>
        </is>
      </c>
      <c r="F9" s="36" t="inlineStr">
        <is>
          <t>Stephan Hardt</t>
        </is>
      </c>
      <c r="G9" s="40" t="n"/>
      <c r="H9" s="36" t="inlineStr">
        <is>
          <t>President &amp; CEO</t>
        </is>
      </c>
      <c r="I9" s="37" t="inlineStr">
        <is>
          <t>End User</t>
        </is>
      </c>
      <c r="J9" s="37" t="inlineStr">
        <is>
          <t>Energy</t>
        </is>
      </c>
      <c r="K9" s="39" t="n"/>
      <c r="L9" s="39" t="n"/>
      <c r="M9" s="39" t="n"/>
      <c r="N9" s="39" t="n"/>
      <c r="O9" s="37" t="inlineStr">
        <is>
          <t>Yes</t>
        </is>
      </c>
      <c r="P9" s="46" t="n"/>
      <c r="Q9" s="48" t="n"/>
      <c r="R9" s="40" t="n"/>
      <c r="S9" s="40" t="n"/>
      <c r="T9" s="39" t="n"/>
      <c r="U9" s="47" t="n"/>
      <c r="V9" s="39" t="n"/>
      <c r="W9" s="39" t="n"/>
      <c r="X9" s="39" t="n"/>
      <c r="Y9" s="39" t="n"/>
      <c r="Z9" s="40" t="n"/>
      <c r="AA9" s="40" t="n"/>
      <c r="AB9" s="46" t="n"/>
      <c r="AC9" s="39" t="n"/>
      <c r="AD9" s="38" t="inlineStr">
        <is>
          <t>Vast Sands Power I (Vistra Permian Basin expansion)</t>
        </is>
      </c>
      <c r="AE9" s="38" t="inlineStr">
        <is>
          <t>Vast Sands Power I (TEF - Due Diligence) (Yes Energy); ERCOT 28INR0105 (+ Vast Sands II 28INR0109); Permian Power I &amp; II; Permian Power I LLC</t>
        </is>
      </c>
      <c r="AF9" s="36" t="inlineStr">
        <is>
          <t>Vistra Corp (Luminant)</t>
        </is>
      </c>
      <c r="AG9" s="38" t="inlineStr">
        <is>
          <t>Advanced Development - FID Sep 2025; TEF loan Jun 2026</t>
        </is>
      </c>
      <c r="AH9" s="37" t="inlineStr">
        <is>
          <t>IPP</t>
        </is>
      </c>
      <c r="AI9" s="49">
        <f>AL9*1000*Guide!$B$81</f>
        <v/>
      </c>
      <c r="AJ9" s="50" t="n"/>
      <c r="AK9" s="45" t="n">
        <v>46874</v>
      </c>
      <c r="AL9" s="44" t="n">
        <v>440</v>
      </c>
      <c r="AM9" s="43" t="n"/>
      <c r="AN9" s="37" t="inlineStr">
        <is>
          <t>Power Generation</t>
        </is>
      </c>
      <c r="AO9" s="37" t="inlineStr">
        <is>
          <t>Generation</t>
        </is>
      </c>
      <c r="AP9" s="37" t="inlineStr">
        <is>
          <t>New Capacity/New Build</t>
        </is>
      </c>
      <c r="AQ9" s="37" t="inlineStr">
        <is>
          <t>New Load Growth</t>
        </is>
      </c>
      <c r="AR9" s="37" t="inlineStr">
        <is>
          <t>Generation</t>
        </is>
      </c>
      <c r="AS9" s="38" t="inlineStr">
        <is>
          <t>Natural gas generation - electrical BoP (MV/LV power, tray/control &amp; instrumentation cable, substation)</t>
        </is>
      </c>
      <c r="AT9" s="37" t="inlineStr">
        <is>
          <t>Brownfield</t>
        </is>
      </c>
      <c r="AU9" s="37" t="inlineStr">
        <is>
          <t>Traditional</t>
        </is>
      </c>
      <c r="AV9" s="37" t="inlineStr">
        <is>
          <t>Natural Gas</t>
        </is>
      </c>
      <c r="AW9" s="37" t="inlineStr">
        <is>
          <t>No</t>
        </is>
      </c>
      <c r="AX9" s="36" t="inlineStr">
        <is>
          <t>600 N Yucca Dr</t>
        </is>
      </c>
      <c r="AY9" s="36" t="inlineStr">
        <is>
          <t>Monahans</t>
        </is>
      </c>
      <c r="AZ9" s="36" t="inlineStr">
        <is>
          <t>TX</t>
        </is>
      </c>
      <c r="BA9" s="36" t="inlineStr">
        <is>
          <t>79756</t>
        </is>
      </c>
      <c r="BB9" s="36" t="inlineStr">
        <is>
          <t>United States</t>
        </is>
      </c>
      <c r="BC9" s="36" t="inlineStr">
        <is>
          <t>Ward</t>
        </is>
      </c>
      <c r="BD9" s="40" t="n"/>
      <c r="BE9" s="36" t="inlineStr">
        <is>
          <t>Vistra / Luminant Generation Co</t>
        </is>
      </c>
      <c r="BF9" s="39" t="n"/>
      <c r="BG9" s="36" t="inlineStr">
        <is>
          <t>Vistra (Permian Power I LLC)</t>
        </is>
      </c>
      <c r="BH9" s="39" t="n"/>
      <c r="BI9" s="39" t="n"/>
      <c r="BJ9" s="39" t="n"/>
      <c r="BK9" s="39" t="n"/>
      <c r="BL9" s="38" t="inlineStr">
        <is>
          <t>Electric Reliability Council of Texas (ERCOT)</t>
        </is>
      </c>
      <c r="BM9" s="36" t="inlineStr">
        <is>
          <t>ERCOT (West Texas)</t>
        </is>
      </c>
      <c r="BN9" s="39" t="n"/>
      <c r="BO9" s="39" t="n"/>
      <c r="BP9" s="37" t="inlineStr">
        <is>
          <t>Yes</t>
        </is>
      </c>
      <c r="BQ9" s="37" t="inlineStr">
        <is>
          <t>Yes</t>
        </is>
      </c>
      <c r="BR9" s="37" t="inlineStr">
        <is>
          <t>Yes</t>
        </is>
      </c>
      <c r="BS9" s="37" t="inlineStr">
        <is>
          <t>No</t>
        </is>
      </c>
      <c r="BT9" s="37" t="inlineStr">
        <is>
          <t>No</t>
        </is>
      </c>
      <c r="BU9" s="37" t="inlineStr">
        <is>
          <t>No</t>
        </is>
      </c>
      <c r="BV9" s="37" t="inlineStr">
        <is>
          <t>No</t>
        </is>
      </c>
      <c r="BW9" s="37" t="inlineStr">
        <is>
          <t>Yes</t>
        </is>
      </c>
      <c r="BX9" s="43" t="n"/>
      <c r="BY9" s="39" t="n"/>
      <c r="BZ9" s="39" t="n"/>
      <c r="CA9" s="39" t="n"/>
      <c r="CB9" s="36" t="inlineStr">
        <is>
          <t>10018470514</t>
        </is>
      </c>
      <c r="CC9" s="39" t="n"/>
      <c r="CD9" s="39" t="n"/>
      <c r="CE9" s="39" t="n"/>
      <c r="CF9" s="39" t="n"/>
      <c r="CG9" s="38" t="inlineStr">
        <is>
          <t>*RPBD* AWARD (PO) DATE BASIS: FID Sep 2025; $583M TEF loan (Jun 2026) with $172M drawn by 6/30/26 = heavy early spend; COD May/Jun 2028 -&gt; cable window Dec 2026-Jun 2027, early packages may already be placed. EPC/OEM not public. No project-level contact public - Jim Burke is exec-level only (quoted in releases). TCEQ NAPD for permit 178462 should list applicant contact (Luminant Generation Co).</t>
        </is>
      </c>
      <c r="CH9" s="38" t="inlineStr">
        <is>
          <t>URGENT: identify EPC via TCEQ 178462 NAPD / Industrial Info; find Luminant project contact; quote both units (880 MW).</t>
        </is>
      </c>
      <c r="CI9" s="38" t="inlineStr">
        <is>
          <t>*RPBD* OVERVIEW: Vistra/Luminant expansion of the existing Permian Basin Power Plant in Monahans - two new large natural-gas SIMPLE-CYCLE units totaling 860 MW (ERCOT queue: Vast Sands Power I 28INR0105 and II 28INR0109, ~440 MW each), taking the site from 325 MW to 1,185 MW. Driven by Permian oil &amp; gas load growth. TECHNOLOGY &amp; EQUIPMENT: 2x dual-fuel (gas/oil) advanced-class combustion turbine generators with SCR and oxidation catalyst (TCEQ permit 178462); ~440 MW per unit implies H/J-class frames (OEM not published). SITE: BROWNFIELD - existing operating gas plant at 600 N Yucca Dr, Monahans, Ward County (existing 5x 65 MW CTs, gas supply and ERCOT interconnection in place); acreage not published. OWNERSHIP/STATUS: Permian Power I LLC (Vistra). FID Sep 29, 2025; $583M Texas Energy Fund loan Jun 2026 ($172M drawn by Jun 30, 2026); COD May/Jun 2028. EPC not public. INVESTMENT: Total project investment Not disclosed; financed in part by $583M Texas Energy Fund loan (3.0%, Jun 2026); est. W&amp;C value $3,520,000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Dual-fuel adds fuel-oil system cabling. Ref: https://gov.texas.gov/news/post/governor-abbott-announces-texas-energy-fund-loan-for-860-mw-of-new-power-in-west-texas | https://investor.vistracorp.com/2025-09-29-Vistra-Announces-Plans-to-Build-New-Gas-Fueled-Dispatchable-Power-Units-in-the-Permian-Basin | https://www.gem.wiki/Permian_Power_power_station | https://www.tceq.texas.gov/downloads/permitting/air/bilingual/pending-permit-notices/178462-pls-english.pdf</t>
        </is>
      </c>
      <c r="CJ9" s="38" t="inlineStr">
        <is>
          <t>*RPBD* Total project investment: Not disclosed; financed in part by $583M Texas Energy Fund loan (3.0%, Jun 2026). Est. W&amp;C value: $3,520,000 ($8/kW).</t>
        </is>
      </c>
    </row>
    <row r="10" ht="23" customHeight="1">
      <c r="A10" s="36" t="inlineStr">
        <is>
          <t>Anderson</t>
        </is>
      </c>
      <c r="B10" s="36" t="inlineStr">
        <is>
          <t>Rick</t>
        </is>
      </c>
      <c r="C10" s="36" t="inlineStr">
        <is>
          <t>Georgia Power</t>
        </is>
      </c>
      <c r="D10" s="37" t="inlineStr">
        <is>
          <t>New</t>
        </is>
      </c>
      <c r="E10" s="37" t="inlineStr">
        <is>
          <t>Sales</t>
        </is>
      </c>
      <c r="F10" s="36" t="inlineStr">
        <is>
          <t>Stephan Hardt</t>
        </is>
      </c>
      <c r="G10" s="40" t="n"/>
      <c r="H10" s="36" t="inlineStr">
        <is>
          <t>SVP &amp; Senior Production Officer</t>
        </is>
      </c>
      <c r="I10" s="37" t="inlineStr">
        <is>
          <t>End User</t>
        </is>
      </c>
      <c r="J10" s="37" t="inlineStr">
        <is>
          <t>Energy</t>
        </is>
      </c>
      <c r="K10" s="39" t="n"/>
      <c r="L10" s="39" t="n"/>
      <c r="M10" s="39" t="n"/>
      <c r="N10" s="39" t="n"/>
      <c r="O10" s="37" t="inlineStr">
        <is>
          <t>Yes</t>
        </is>
      </c>
      <c r="P10" s="46" t="n"/>
      <c r="Q10" s="48" t="n"/>
      <c r="R10" s="40" t="n"/>
      <c r="S10" s="40" t="n"/>
      <c r="T10" s="39" t="n"/>
      <c r="U10" s="47" t="n"/>
      <c r="V10" s="39" t="n"/>
      <c r="W10" s="39" t="n"/>
      <c r="X10" s="39" t="n"/>
      <c r="Y10" s="39" t="n"/>
      <c r="Z10" s="40" t="n"/>
      <c r="AA10" s="40" t="n"/>
      <c r="AB10" s="46" t="n"/>
      <c r="AC10" s="39" t="n"/>
      <c r="AD10" s="36" t="inlineStr">
        <is>
          <t>Plant Yates Unit 9 (Yates CT Units 8-10)</t>
        </is>
      </c>
      <c r="AE10" s="38" t="inlineStr">
        <is>
          <t>Plant Yates Project (June 2027) (Yes Energy); Yates CT Units 8, 9, 10</t>
        </is>
      </c>
      <c r="AF10" s="36" t="inlineStr">
        <is>
          <t>Georgia Power (Southern Company)</t>
        </is>
      </c>
      <c r="AG10" s="38" t="inlineStr">
        <is>
          <t>Under Construction - Unit 9 equipment on site Dec 2025</t>
        </is>
      </c>
      <c r="AH10" s="37" t="inlineStr">
        <is>
          <t>IOU</t>
        </is>
      </c>
      <c r="AI10" s="49">
        <f>AL10*1000*Guide!$B$81</f>
        <v/>
      </c>
      <c r="AJ10" s="50" t="n"/>
      <c r="AK10" s="45" t="n">
        <v>46568</v>
      </c>
      <c r="AL10" s="44" t="n">
        <v>482.8</v>
      </c>
      <c r="AM10" s="43" t="n"/>
      <c r="AN10" s="37" t="inlineStr">
        <is>
          <t>Power Generation</t>
        </is>
      </c>
      <c r="AO10" s="37" t="inlineStr">
        <is>
          <t>Generation</t>
        </is>
      </c>
      <c r="AP10" s="37" t="inlineStr">
        <is>
          <t>New Capacity/New Build</t>
        </is>
      </c>
      <c r="AQ10" s="37" t="inlineStr">
        <is>
          <t>New Load Growth</t>
        </is>
      </c>
      <c r="AR10" s="37" t="inlineStr">
        <is>
          <t>Generation</t>
        </is>
      </c>
      <c r="AS10" s="38" t="inlineStr">
        <is>
          <t>Natural gas generation - electrical BoP (MV/LV power, tray/control &amp; instrumentation cable, substation)</t>
        </is>
      </c>
      <c r="AT10" s="37" t="inlineStr">
        <is>
          <t>Brownfield</t>
        </is>
      </c>
      <c r="AU10" s="37" t="inlineStr">
        <is>
          <t>Traditional</t>
        </is>
      </c>
      <c r="AV10" s="37" t="inlineStr">
        <is>
          <t>Natural Gas</t>
        </is>
      </c>
      <c r="AW10" s="37" t="inlineStr">
        <is>
          <t>No</t>
        </is>
      </c>
      <c r="AX10" s="36" t="inlineStr">
        <is>
          <t>708 Dyer Road (third-party directory)</t>
        </is>
      </c>
      <c r="AY10" s="36" t="inlineStr">
        <is>
          <t>Newnan</t>
        </is>
      </c>
      <c r="AZ10" s="36" t="inlineStr">
        <is>
          <t>GA</t>
        </is>
      </c>
      <c r="BA10" s="36" t="inlineStr">
        <is>
          <t>30263</t>
        </is>
      </c>
      <c r="BB10" s="36" t="inlineStr">
        <is>
          <t>United States</t>
        </is>
      </c>
      <c r="BC10" s="36" t="inlineStr">
        <is>
          <t>Coweta</t>
        </is>
      </c>
      <c r="BD10" s="40" t="n"/>
      <c r="BE10" s="36" t="inlineStr">
        <is>
          <t>Georgia Power</t>
        </is>
      </c>
      <c r="BF10" s="38" t="inlineStr">
        <is>
          <t>Mitsubishi Power Americas + Black &amp; Veatch Construction (EPC consortium, contract 1/12/2024)</t>
        </is>
      </c>
      <c r="BG10" s="36" t="inlineStr">
        <is>
          <t>Georgia Power</t>
        </is>
      </c>
      <c r="BH10" s="39" t="n"/>
      <c r="BI10" s="38" t="inlineStr">
        <is>
          <t>Mitsubishi Power M501JAC CTs; Mitsubishi Electric VP-X generators</t>
        </is>
      </c>
      <c r="BJ10" s="39" t="n"/>
      <c r="BK10" s="39" t="n"/>
      <c r="BL10" s="36" t="inlineStr">
        <is>
          <t>Southeast (SE)</t>
        </is>
      </c>
      <c r="BM10" s="36" t="inlineStr">
        <is>
          <t>Georgia Power</t>
        </is>
      </c>
      <c r="BN10" s="39" t="n"/>
      <c r="BO10" s="39" t="n"/>
      <c r="BP10" s="37" t="inlineStr">
        <is>
          <t>Yes</t>
        </is>
      </c>
      <c r="BQ10" s="37" t="inlineStr">
        <is>
          <t>Yes</t>
        </is>
      </c>
      <c r="BR10" s="37" t="inlineStr">
        <is>
          <t>Yes</t>
        </is>
      </c>
      <c r="BS10" s="37" t="inlineStr">
        <is>
          <t>No</t>
        </is>
      </c>
      <c r="BT10" s="37" t="inlineStr">
        <is>
          <t>No</t>
        </is>
      </c>
      <c r="BU10" s="37" t="inlineStr">
        <is>
          <t>No</t>
        </is>
      </c>
      <c r="BV10" s="37" t="inlineStr">
        <is>
          <t>No</t>
        </is>
      </c>
      <c r="BW10" s="37" t="inlineStr">
        <is>
          <t>Yes</t>
        </is>
      </c>
      <c r="BX10" s="43" t="n"/>
      <c r="BY10" s="39" t="n"/>
      <c r="BZ10" s="39" t="n"/>
      <c r="CA10" s="39" t="n"/>
      <c r="CB10" s="36" t="inlineStr">
        <is>
          <t>10018823691</t>
        </is>
      </c>
      <c r="CC10" s="39" t="n"/>
      <c r="CD10" s="39" t="n"/>
      <c r="CE10" s="39" t="n"/>
      <c r="CF10" s="39" t="n"/>
      <c r="CG10" s="38" t="inlineStr">
        <is>
          <t>*RPBD* LOW PROBABILITY: Unit 8 COD Q4 2026, Unit 9 Q2 2027, Unit 10 Q3 2027 (Southern Q2 2026 10-Q). Bulk cable likely bought 2024-25 by Mitsubishi/B&amp;V consortium (award date set to COD-12 mo; already passed). Remaining: Unit 10 top-ups, change orders, spares. Other contacts: Cheryl Boddiford (SVP Mfg &amp; Supply Chain, Mitsubishi Power); Rick Janik (B&amp;V PM on Plant Barry Unit 8 - same EPC pairing, not confirmed for Yates). GA PSC docket 55931.</t>
        </is>
      </c>
      <c r="CH10" s="38" t="inlineStr">
        <is>
          <t>Relationship/spares play via B&amp;V site procurement; position with Mitsubishi/B&amp;V for next Georgia Power CT/CC builds.</t>
        </is>
      </c>
      <c r="CI10" s="38" t="inlineStr">
        <is>
          <t>*RPBD* OVERVIEW: Georgia Power's first new gas turbines in a decade - three simple-cycle PEAKING units (~1,300 MW total, ~442-463 MW each) at Plant Yates; this record is Unit 9 (COD Q2 2027). Unit 8 Q4 2026, Unit 10 Q3 2027. ~600 construction jobs. Driven by Georgia load growth (data centers/industrial). TECHNOLOGY &amp; EQUIPMENT: 3x Mitsubishi Power M501JAC air-cooled combustion turbines with Mitsubishi Electric VP-X generators (assembled in Savannah, GA); dual-fuel gas/oil; ~30-minute start; hydrogen-capable with modifications. SITE: BROWNFIELD - existing Plant Yates generating site (former coal/gas station on the Chattahoochee River), Newnan, Coweta County, with existing transmission yard. OWNERSHIP/EPC: Georgia Power (Southern Company); EPC consortium Mitsubishi Power Americas + Black &amp; Veatch Construction (contract Jan 12, 2024). Cost not public (PSC staff ~$1B for 3 units). GA PSC monitoring docket 55931. INVESTMENT: Total project investment Not public; PSC staff ~$1B for 3 units; est. W&amp;C value $3,862,400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Window: bulk cable for all 3 units most likely purchased 2024-25; remaining top-ups, change orders, spares. Ref: https://www.georgiapower.com/news-hub/press-releases/turbine-generator-unit-9-plant-yates.html | https://www.energy.gov/sites/default/files/2026-07/20260622_EnvReview_Completion_Yates.pdf | https://www.modernpowersystems.com/news/progress-at-1-3-gw-plant-yates-gas-fired-plant/</t>
        </is>
      </c>
      <c r="CJ10" s="38" t="inlineStr">
        <is>
          <t>*RPBD* Total project investment: Not public; PSC staff ~$1B for 3 units. Est. W&amp;C value: $3,862,400 ($8/kW).</t>
        </is>
      </c>
    </row>
    <row r="11" ht="23" customHeight="1">
      <c r="A11" s="36" t="inlineStr">
        <is>
          <t>Ruiz</t>
        </is>
      </c>
      <c r="B11" s="36" t="inlineStr">
        <is>
          <t>Carlos</t>
        </is>
      </c>
      <c r="C11" s="36" t="inlineStr">
        <is>
          <t>Entergy</t>
        </is>
      </c>
      <c r="D11" s="37" t="inlineStr">
        <is>
          <t>New</t>
        </is>
      </c>
      <c r="E11" s="37" t="inlineStr">
        <is>
          <t>Sales</t>
        </is>
      </c>
      <c r="F11" s="36" t="inlineStr">
        <is>
          <t>Stephan Hardt</t>
        </is>
      </c>
      <c r="G11" s="40" t="n"/>
      <c r="H11" s="36" t="inlineStr">
        <is>
          <t>VP, Power Development - New Generation</t>
        </is>
      </c>
      <c r="I11" s="37" t="inlineStr">
        <is>
          <t>End User</t>
        </is>
      </c>
      <c r="J11" s="37" t="inlineStr">
        <is>
          <t>Energy</t>
        </is>
      </c>
      <c r="K11" s="39" t="n"/>
      <c r="L11" s="39" t="n"/>
      <c r="M11" s="39" t="n"/>
      <c r="N11" s="39" t="n"/>
      <c r="O11" s="37" t="inlineStr">
        <is>
          <t>Yes</t>
        </is>
      </c>
      <c r="P11" s="46" t="n"/>
      <c r="Q11" s="48" t="n"/>
      <c r="R11" s="40" t="n"/>
      <c r="S11" s="40" t="n"/>
      <c r="T11" s="39" t="n"/>
      <c r="U11" s="47" t="n"/>
      <c r="V11" s="39" t="n"/>
      <c r="W11" s="39" t="n"/>
      <c r="X11" s="39" t="n"/>
      <c r="Y11" s="39" t="n"/>
      <c r="Z11" s="40" t="n"/>
      <c r="AA11" s="40" t="n"/>
      <c r="AB11" s="46" t="n"/>
      <c r="AC11" s="39" t="n"/>
      <c r="AD11" s="36" t="inlineStr">
        <is>
          <t>Ironwood Power Station</t>
        </is>
      </c>
      <c r="AE11" s="38" t="inlineStr">
        <is>
          <t>Ironwood Power Station 1A Project (Yes Energy); Lake Catherine 5 (LC5); EIA 69750</t>
        </is>
      </c>
      <c r="AF11" s="36" t="inlineStr">
        <is>
          <t>Entergy Arkansas</t>
        </is>
      </c>
      <c r="AG11" s="38" t="inlineStr">
        <is>
          <t>Under Construction - groundbreaking Aug 20, 2026</t>
        </is>
      </c>
      <c r="AH11" s="37" t="inlineStr">
        <is>
          <t>IOU</t>
        </is>
      </c>
      <c r="AI11" s="49">
        <f>AL11*1000*Guide!$B$81</f>
        <v/>
      </c>
      <c r="AJ11" s="50" t="n"/>
      <c r="AK11" s="45" t="n">
        <v>47118</v>
      </c>
      <c r="AL11" s="44" t="n">
        <v>446</v>
      </c>
      <c r="AM11" s="43" t="n"/>
      <c r="AN11" s="37" t="inlineStr">
        <is>
          <t>Power Generation</t>
        </is>
      </c>
      <c r="AO11" s="37" t="inlineStr">
        <is>
          <t>Generation</t>
        </is>
      </c>
      <c r="AP11" s="37" t="inlineStr">
        <is>
          <t>New Capacity/New Build</t>
        </is>
      </c>
      <c r="AQ11" s="37" t="inlineStr">
        <is>
          <t>Replacement / End-of-Life</t>
        </is>
      </c>
      <c r="AR11" s="37" t="inlineStr">
        <is>
          <t>Generation</t>
        </is>
      </c>
      <c r="AS11" s="38" t="inlineStr">
        <is>
          <t>Natural gas generation - electrical BoP (MV/LV power, tray/control &amp; instrumentation cable, substation)</t>
        </is>
      </c>
      <c r="AT11" s="37" t="inlineStr">
        <is>
          <t>Brownfield</t>
        </is>
      </c>
      <c r="AU11" s="37" t="inlineStr">
        <is>
          <t>Traditional</t>
        </is>
      </c>
      <c r="AV11" s="37" t="inlineStr">
        <is>
          <t>Natural Gas</t>
        </is>
      </c>
      <c r="AW11" s="37" t="inlineStr">
        <is>
          <t>No</t>
        </is>
      </c>
      <c r="AX11" s="36" t="inlineStr">
        <is>
          <t>Lake Catherine Power Generation site</t>
        </is>
      </c>
      <c r="AY11" s="36" t="inlineStr">
        <is>
          <t>Jones Mill (Malvern)</t>
        </is>
      </c>
      <c r="AZ11" s="36" t="inlineStr">
        <is>
          <t>AR</t>
        </is>
      </c>
      <c r="BA11" s="39" t="n"/>
      <c r="BB11" s="36" t="inlineStr">
        <is>
          <t>United States</t>
        </is>
      </c>
      <c r="BC11" s="36" t="inlineStr">
        <is>
          <t>Hot Spring</t>
        </is>
      </c>
      <c r="BD11" s="40" t="n"/>
      <c r="BE11" s="36" t="inlineStr">
        <is>
          <t>Entergy Arkansas</t>
        </is>
      </c>
      <c r="BF11" s="38" t="inlineStr">
        <is>
          <t>TSL Power Partners (TIC/Kiewit + Sargent &amp; Lundy) with Mitsubishi Power Americas (per TIC Entergy Program page)</t>
        </is>
      </c>
      <c r="BG11" s="36" t="inlineStr">
        <is>
          <t>Entergy Arkansas</t>
        </is>
      </c>
      <c r="BH11" s="39" t="n"/>
      <c r="BI11" s="38" t="inlineStr">
        <is>
          <t>Mitsubishi Power (implied by TSL/MPWA program)</t>
        </is>
      </c>
      <c r="BJ11" s="39" t="n"/>
      <c r="BK11" s="39" t="n"/>
      <c r="BL11" s="38" t="inlineStr">
        <is>
          <t>Midcontinent Independent System Operator (MISO)</t>
        </is>
      </c>
      <c r="BM11" s="36" t="inlineStr">
        <is>
          <t>Entergy Arkansas</t>
        </is>
      </c>
      <c r="BN11" s="39" t="n"/>
      <c r="BO11" s="39" t="n"/>
      <c r="BP11" s="37" t="inlineStr">
        <is>
          <t>Yes</t>
        </is>
      </c>
      <c r="BQ11" s="37" t="inlineStr">
        <is>
          <t>Yes</t>
        </is>
      </c>
      <c r="BR11" s="37" t="inlineStr">
        <is>
          <t>Yes</t>
        </is>
      </c>
      <c r="BS11" s="37" t="inlineStr">
        <is>
          <t>No</t>
        </is>
      </c>
      <c r="BT11" s="37" t="inlineStr">
        <is>
          <t>No</t>
        </is>
      </c>
      <c r="BU11" s="37" t="inlineStr">
        <is>
          <t>No</t>
        </is>
      </c>
      <c r="BV11" s="37" t="inlineStr">
        <is>
          <t>No</t>
        </is>
      </c>
      <c r="BW11" s="37" t="inlineStr">
        <is>
          <t>Yes</t>
        </is>
      </c>
      <c r="BX11" s="43" t="n"/>
      <c r="BY11" s="39" t="n"/>
      <c r="BZ11" s="39" t="n"/>
      <c r="CA11" s="39" t="n"/>
      <c r="CB11" s="36" t="inlineStr">
        <is>
          <t>10019705142</t>
        </is>
      </c>
      <c r="CC11" s="39" t="n"/>
      <c r="CD11" s="39" t="n"/>
      <c r="CE11" s="39" t="n"/>
      <c r="CF11" s="39" t="n"/>
      <c r="CG11" s="38" t="inlineStr">
        <is>
          <t>*RPBD* AWARD (PO) DATE BASIS: site construction Q2 2026-Q2 2028, groundbreaking Aug 20 2026, COD Q4 2028 -&gt; bulk cable after underground/foundations ~Q1-Q2 2027. Best new-buy opportunity. TSL procures in its own name; S&amp;L writes cable specs/BOMs. TSL address: 8900 Renner Blvd, Lenexa KS 66219. Other contacts: Laura Landreaux (CEO, Entergy AR); Louise Duncan (VP Power Plant Ops, Entergy AR); Jason Rees (Dir. Procurement, Entergy - LinkedIn, verify). Entergy supplier registration: esupplier@entergy.com.</t>
        </is>
      </c>
      <c r="CH11" s="38" t="inlineStr">
        <is>
          <t>Get on TSL Power Partners bidder list (Kiewit/TIC Lenexa) and S&amp;L approved-manufacturer list; register with Entergy supplier program.</t>
        </is>
      </c>
      <c r="CI11" s="38" t="inlineStr">
        <is>
          <t>*RPBD* OVERVIEW: 446 MW natural-gas SIMPLE-CYCLE combustion turbine (Entergy Arkansas 'Next Generation Arkansas'), replacing the 50+ year-old Lake Catherine Unit 4 (retiring end-2027). Formerly 'Lake Catherine 5'. ~260 peak construction jobs; Entergy prioritizing Arkansas contractors (vendor fair Mar 18, 2026). TECHNOLOGY &amp; EQUIPMENT: single advanced-class combustion turbine generator, hydrogen-capable (30% co-fire, future 100% conversion); Mitsubishi implied by the TSL/Mitsubishi Entergy program. SITE: BROWNFIELD - ~20 acres within the existing Lake Catherine Power Generation site, Jones Mill near Malvern, Hot Spring County; reuses existing gas, water and transmission infrastructure. OWNERSHIP/EPC: Entergy Arkansas; EPC TSL Power Partners (TIC/Kiewit + Sargent &amp; Lundy) with Mitsubishi Power Americas (per TIC Entergy Program page). APSC CCN approved Apr 2025; site construction Q2 2026-Q2 2028; groundbreaking Aug 20, 2026; COD Q4 2028. Cost recovered via GAJA rider (not disclosed). INVESTMENT: Total project investment Not disclosed (GAJA rider); est. W&amp;C value $3,568,000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Ref: https://www.entergy.com/news/entergy-arkansas-breaks-ground-on-ironwood-power-station | https://www.modernpowersystems.com/news/entergy-arkansas-starts-construction-on-446-mw-ironwood-power-station/ | https://www.entergy.com/news/ironwood-power-plant-vendor-fair-for-arkansas-contractors-announced</t>
        </is>
      </c>
      <c r="CJ11" s="38" t="inlineStr">
        <is>
          <t>*RPBD* Total project investment: Not disclosed (GAJA rider). Est. W&amp;C value: $3,568,000 ($8/kW).</t>
        </is>
      </c>
    </row>
    <row r="12" ht="23" customHeight="1">
      <c r="A12" s="36" t="inlineStr">
        <is>
          <t>Smith Jr.</t>
        </is>
      </c>
      <c r="B12" s="36" t="inlineStr">
        <is>
          <t>John Robert</t>
        </is>
      </c>
      <c r="C12" s="36" t="inlineStr">
        <is>
          <t>Duke Energy</t>
        </is>
      </c>
      <c r="D12" s="37" t="inlineStr">
        <is>
          <t>New</t>
        </is>
      </c>
      <c r="E12" s="37" t="inlineStr">
        <is>
          <t>Sales</t>
        </is>
      </c>
      <c r="F12" s="36" t="inlineStr">
        <is>
          <t>Stephan Hardt</t>
        </is>
      </c>
      <c r="G12" s="40" t="n"/>
      <c r="H12" s="38" t="inlineStr">
        <is>
          <t>General Manager, New Gas Generation Development</t>
        </is>
      </c>
      <c r="I12" s="37" t="inlineStr">
        <is>
          <t>End User</t>
        </is>
      </c>
      <c r="J12" s="37" t="inlineStr">
        <is>
          <t>Energy</t>
        </is>
      </c>
      <c r="K12" s="39" t="n"/>
      <c r="L12" s="39" t="n"/>
      <c r="M12" s="39" t="n"/>
      <c r="N12" s="39" t="n"/>
      <c r="O12" s="37" t="inlineStr">
        <is>
          <t>Yes</t>
        </is>
      </c>
      <c r="P12" s="46" t="n"/>
      <c r="Q12" s="48" t="n"/>
      <c r="R12" s="40" t="n"/>
      <c r="S12" s="40" t="n"/>
      <c r="T12" s="39" t="n"/>
      <c r="U12" s="47" t="n"/>
      <c r="V12" s="39" t="n"/>
      <c r="W12" s="39" t="n"/>
      <c r="X12" s="39" t="n"/>
      <c r="Y12" s="39" t="n"/>
      <c r="Z12" s="40" t="n"/>
      <c r="AA12" s="40" t="n"/>
      <c r="AB12" s="46" t="n"/>
      <c r="AC12" s="39" t="n"/>
      <c r="AD12" s="36" t="inlineStr">
        <is>
          <t>Person County Combined Cycle 1 (CC1)</t>
        </is>
      </c>
      <c r="AE12" s="38" t="inlineStr">
        <is>
          <t>Person County Advanced CC1 (Yes Energy); Person County Energy Complex (Roxboro site); NCUC E-2 Sub 1318; sister CC2 E-2 Sub 1349</t>
        </is>
      </c>
      <c r="AF12" s="36" t="inlineStr">
        <is>
          <t>Duke Energy Progress</t>
        </is>
      </c>
      <c r="AG12" s="38" t="inlineStr">
        <is>
          <t>Under Construction - groundbreaking Feb 2026; GTs arriving 2026</t>
        </is>
      </c>
      <c r="AH12" s="37" t="inlineStr">
        <is>
          <t>IOU</t>
        </is>
      </c>
      <c r="AI12" s="49">
        <f>AL12*1000*Guide!$B$81</f>
        <v/>
      </c>
      <c r="AJ12" s="50" t="n"/>
      <c r="AK12" s="45" t="n">
        <v>47118</v>
      </c>
      <c r="AL12" s="44" t="n">
        <v>1360</v>
      </c>
      <c r="AM12" s="43" t="n"/>
      <c r="AN12" s="37" t="inlineStr">
        <is>
          <t>Power Generation</t>
        </is>
      </c>
      <c r="AO12" s="37" t="inlineStr">
        <is>
          <t>Generation</t>
        </is>
      </c>
      <c r="AP12" s="37" t="inlineStr">
        <is>
          <t>New Capacity/New Build</t>
        </is>
      </c>
      <c r="AQ12" s="37" t="inlineStr">
        <is>
          <t>New Load Growth</t>
        </is>
      </c>
      <c r="AR12" s="37" t="inlineStr">
        <is>
          <t>Generation</t>
        </is>
      </c>
      <c r="AS12" s="38" t="inlineStr">
        <is>
          <t>Natural gas generation - electrical BoP (MV/LV power, tray/control &amp; instrumentation cable, substation)</t>
        </is>
      </c>
      <c r="AT12" s="37" t="inlineStr">
        <is>
          <t>Brownfield</t>
        </is>
      </c>
      <c r="AU12" s="37" t="inlineStr">
        <is>
          <t>Traditional</t>
        </is>
      </c>
      <c r="AV12" s="37" t="inlineStr">
        <is>
          <t>Natural Gas</t>
        </is>
      </c>
      <c r="AW12" s="37" t="inlineStr">
        <is>
          <t>No</t>
        </is>
      </c>
      <c r="AX12" s="38" t="inlineStr">
        <is>
          <t>Semora Road, Roxboro Steam Plant property</t>
        </is>
      </c>
      <c r="AY12" s="36" t="inlineStr">
        <is>
          <t>Semora (Roxboro)</t>
        </is>
      </c>
      <c r="AZ12" s="36" t="inlineStr">
        <is>
          <t>NC</t>
        </is>
      </c>
      <c r="BA12" s="36" t="inlineStr">
        <is>
          <t>27343</t>
        </is>
      </c>
      <c r="BB12" s="36" t="inlineStr">
        <is>
          <t>United States</t>
        </is>
      </c>
      <c r="BC12" s="36" t="inlineStr">
        <is>
          <t>Person</t>
        </is>
      </c>
      <c r="BD12" s="40" t="n"/>
      <c r="BE12" s="38" t="inlineStr">
        <is>
          <t>Duke Energy Progress / NCEMC (co-owner ~225 MW)</t>
        </is>
      </c>
      <c r="BF12" s="36" t="inlineStr">
        <is>
          <t>Zachry Group</t>
        </is>
      </c>
      <c r="BG12" s="36" t="inlineStr">
        <is>
          <t>Duke Energy Progress</t>
        </is>
      </c>
      <c r="BH12" s="39" t="n"/>
      <c r="BI12" s="36" t="inlineStr">
        <is>
          <t>GE Vernova (advanced-class GTs)</t>
        </is>
      </c>
      <c r="BJ12" s="39" t="n"/>
      <c r="BK12" s="39" t="n"/>
      <c r="BL12" s="36" t="inlineStr">
        <is>
          <t>Southeast (SE)</t>
        </is>
      </c>
      <c r="BM12" s="36" t="inlineStr">
        <is>
          <t>Duke Energy Progress</t>
        </is>
      </c>
      <c r="BN12" s="39" t="n"/>
      <c r="BO12" s="39" t="n"/>
      <c r="BP12" s="37" t="inlineStr">
        <is>
          <t>Yes</t>
        </is>
      </c>
      <c r="BQ12" s="37" t="inlineStr">
        <is>
          <t>Yes</t>
        </is>
      </c>
      <c r="BR12" s="37" t="inlineStr">
        <is>
          <t>Yes</t>
        </is>
      </c>
      <c r="BS12" s="37" t="inlineStr">
        <is>
          <t>No</t>
        </is>
      </c>
      <c r="BT12" s="37" t="inlineStr">
        <is>
          <t>No</t>
        </is>
      </c>
      <c r="BU12" s="37" t="inlineStr">
        <is>
          <t>Yes</t>
        </is>
      </c>
      <c r="BV12" s="37" t="inlineStr">
        <is>
          <t>No</t>
        </is>
      </c>
      <c r="BW12" s="37" t="inlineStr">
        <is>
          <t>Yes</t>
        </is>
      </c>
      <c r="BX12" s="43" t="n"/>
      <c r="BY12" s="36" t="inlineStr">
        <is>
          <t>Person County CC1</t>
        </is>
      </c>
      <c r="BZ12" s="38" t="inlineStr">
        <is>
          <t>Duke Energy Progress grid (two new tie lines)</t>
        </is>
      </c>
      <c r="CA12" s="39" t="n"/>
      <c r="CB12" s="36" t="inlineStr">
        <is>
          <t>10017400436</t>
        </is>
      </c>
      <c r="CC12" s="39" t="n"/>
      <c r="CD12" s="39" t="n"/>
      <c r="CE12" s="39" t="n"/>
      <c r="CF12" s="39" t="n"/>
      <c r="CG12" s="38" t="inlineStr">
        <is>
          <t>*RPBD* AWARD (PO) DATE BASIS: Zachry EPC Aug 2025, groundbreaking Feb 13 2026, first GE Vernova GT on site Jul 23 2026, Zachry craft hiring from Jul 2026; COD Q4 2028 (SC ORS) -&gt; bulk MV/600V/tray bid likely now; act immediately. CC2 (Q4 2029, likely Zachry) -&gt; separate close ~12/15/2027. Other contacts: Ralph Biediger (EPC Group President, Zachry); Bill Norton (Duke spokesperson). Utility is Duke Energy Progress (not DEC).</t>
        </is>
      </c>
      <c r="CH12" s="38" t="inlineStr">
        <is>
          <t>Engage Zachry procurement now for CC1 (+CC2 combined buy); contact John Robert Smith Jr. (Duke PM&amp;C).</t>
        </is>
      </c>
      <c r="CI12" s="38" t="inlineStr">
        <is>
          <t>*RPBD* OVERVIEW: 1,360 MW natural-gas COMBINED-CYCLE block (first of two identical blocks, 2,720 MW total) at Duke's 'Person County Energy Complex' (Roxboro plant), enabling retirement of Roxboro coal units 1 &amp; 4. NCEMC co-owns ~225 MW. Nearby Microsoft-owned Person County Mega Park (~1,350 acres). TECHNOLOGY &amp; EQUIPMENT: 2x1 advanced-class, hydrogen-capable CC - 2x GE Vernova gas turbines, 2x HRSGs, 1x GE Vernova steam turbine generator (~450 tons); first GT on site Jul 23, 2026. SITE: BROWNFIELD - ~50 acres of undeveloped land within the existing Roxboro coal plant property, Semora Road side, Semora/Roxboro, Person County. OWNERSHIP/EPC: Duke Energy Progress (majority) + NCEMC; full EPC Zachry Group (awarded Aug 2025). NCUC CPCN Oct 2025; groundbreaking Feb 13, 2026; COD Q4 2028 (CC2 Q4 2029). Cost ~$2.13B (CC1). Two new tie lines from the site. INVESTMENT: Total project investment ~$2.13B (CC1, DEP Class 3 estimate); est. W&amp;C value $10,880,000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CC2 doubles the scope ~1 year later with the same EPC. Ref: https://zachrygroup.com/press-releases/Duke_Energy_Awards_EPC_Contract_for_the_first_Person_County_Combined_Cycle_Project_to_Zachry_Group.html | https://www.duke-energy.com/info/person | https://www.theassemblync.com/news/business/person-county-microsoft-data-center-nondisclosure-agreements/</t>
        </is>
      </c>
      <c r="CJ12" s="38" t="inlineStr">
        <is>
          <t>*RPBD* Total project investment: ~$2.13B (CC1, DEP Class 3 estimate). Est. W&amp;C value: $10,880,000 ($8/kW).</t>
        </is>
      </c>
    </row>
    <row r="13" ht="23" customHeight="1">
      <c r="A13" s="36" t="inlineStr">
        <is>
          <t>Rufus</t>
        </is>
      </c>
      <c r="B13" s="36" t="inlineStr">
        <is>
          <t>Ernest</t>
        </is>
      </c>
      <c r="C13" s="36" t="inlineStr">
        <is>
          <t>Entergy</t>
        </is>
      </c>
      <c r="D13" s="37" t="inlineStr">
        <is>
          <t>New</t>
        </is>
      </c>
      <c r="E13" s="37" t="inlineStr">
        <is>
          <t>Sales</t>
        </is>
      </c>
      <c r="F13" s="36" t="inlineStr">
        <is>
          <t>Stephan Hardt</t>
        </is>
      </c>
      <c r="G13" s="40" t="n"/>
      <c r="H13" s="38" t="inlineStr">
        <is>
          <t>Senior Manager, Capital Projects (Delta Blues &amp; Vicksburg)</t>
        </is>
      </c>
      <c r="I13" s="37" t="inlineStr">
        <is>
          <t>End User</t>
        </is>
      </c>
      <c r="J13" s="37" t="inlineStr">
        <is>
          <t>Energy</t>
        </is>
      </c>
      <c r="K13" s="39" t="n"/>
      <c r="L13" s="39" t="n"/>
      <c r="M13" s="39" t="n"/>
      <c r="N13" s="39" t="n"/>
      <c r="O13" s="37" t="inlineStr">
        <is>
          <t>Yes</t>
        </is>
      </c>
      <c r="P13" s="46" t="n"/>
      <c r="Q13" s="48" t="n"/>
      <c r="R13" s="40" t="n"/>
      <c r="S13" s="40" t="n"/>
      <c r="T13" s="39" t="n"/>
      <c r="U13" s="47" t="n"/>
      <c r="V13" s="39" t="n"/>
      <c r="W13" s="39" t="n"/>
      <c r="X13" s="39" t="n"/>
      <c r="Y13" s="39" t="n"/>
      <c r="Z13" s="40" t="n"/>
      <c r="AA13" s="40" t="n"/>
      <c r="AB13" s="46" t="n"/>
      <c r="AC13" s="39" t="n"/>
      <c r="AD13" s="36" t="inlineStr">
        <is>
          <t>Delta Blues Advanced Power Station</t>
        </is>
      </c>
      <c r="AE13" s="38" t="inlineStr">
        <is>
          <t>Delta Blues Power Project (May 2028) (Yes Energy); EIA 67914; Superpower Mississippi; replaces Gerald Andrus plant</t>
        </is>
      </c>
      <c r="AF13" s="36" t="inlineStr">
        <is>
          <t>Entergy Mississippi</t>
        </is>
      </c>
      <c r="AG13" s="38" t="inlineStr">
        <is>
          <t>Under Construction - HRSG erection underway</t>
        </is>
      </c>
      <c r="AH13" s="37" t="inlineStr">
        <is>
          <t>IOU</t>
        </is>
      </c>
      <c r="AI13" s="49">
        <f>AL13*1000*Guide!$B$81</f>
        <v/>
      </c>
      <c r="AJ13" s="50" t="n"/>
      <c r="AK13" s="45" t="n">
        <v>46874</v>
      </c>
      <c r="AL13" s="44" t="n">
        <v>754</v>
      </c>
      <c r="AM13" s="43" t="n"/>
      <c r="AN13" s="37" t="inlineStr">
        <is>
          <t>Power Generation</t>
        </is>
      </c>
      <c r="AO13" s="37" t="inlineStr">
        <is>
          <t>Generation</t>
        </is>
      </c>
      <c r="AP13" s="37" t="inlineStr">
        <is>
          <t>New Capacity/New Build</t>
        </is>
      </c>
      <c r="AQ13" s="37" t="inlineStr">
        <is>
          <t>Replacement / End-of-Life</t>
        </is>
      </c>
      <c r="AR13" s="37" t="inlineStr">
        <is>
          <t>Generation</t>
        </is>
      </c>
      <c r="AS13" s="38" t="inlineStr">
        <is>
          <t>Natural gas generation - electrical BoP (MV/LV power, tray/control &amp; instrumentation cable, substation)</t>
        </is>
      </c>
      <c r="AT13" s="37" t="inlineStr">
        <is>
          <t>Brownfield</t>
        </is>
      </c>
      <c r="AU13" s="37" t="inlineStr">
        <is>
          <t>Traditional</t>
        </is>
      </c>
      <c r="AV13" s="37" t="inlineStr">
        <is>
          <t>Natural Gas</t>
        </is>
      </c>
      <c r="AW13" s="37" t="inlineStr">
        <is>
          <t>No</t>
        </is>
      </c>
      <c r="AX13" s="36" t="inlineStr">
        <is>
          <t>85 Stokes King Road</t>
        </is>
      </c>
      <c r="AY13" s="36" t="inlineStr">
        <is>
          <t>Greenville</t>
        </is>
      </c>
      <c r="AZ13" s="36" t="inlineStr">
        <is>
          <t>MS</t>
        </is>
      </c>
      <c r="BA13" s="36" t="inlineStr">
        <is>
          <t>38701</t>
        </is>
      </c>
      <c r="BB13" s="36" t="inlineStr">
        <is>
          <t>United States</t>
        </is>
      </c>
      <c r="BC13" s="36" t="inlineStr">
        <is>
          <t>Washington</t>
        </is>
      </c>
      <c r="BD13" s="40" t="n"/>
      <c r="BE13" s="36" t="inlineStr">
        <is>
          <t>Entergy Mississippi</t>
        </is>
      </c>
      <c r="BF13" s="36" t="inlineStr">
        <is>
          <t>TSL Power Partners (Kiewit / TIC)</t>
        </is>
      </c>
      <c r="BG13" s="36" t="inlineStr">
        <is>
          <t>Entergy Mississippi</t>
        </is>
      </c>
      <c r="BH13" s="39" t="n"/>
      <c r="BI13" s="36" t="inlineStr">
        <is>
          <t>Mitsubishi Power M501JAC (per GEM)</t>
        </is>
      </c>
      <c r="BJ13" s="39" t="n"/>
      <c r="BK13" s="39" t="n"/>
      <c r="BL13" s="38" t="inlineStr">
        <is>
          <t>Midcontinent Independent System Operator (MISO)</t>
        </is>
      </c>
      <c r="BM13" s="36" t="inlineStr">
        <is>
          <t>Entergy Mississippi</t>
        </is>
      </c>
      <c r="BN13" s="39" t="n"/>
      <c r="BO13" s="39" t="n"/>
      <c r="BP13" s="37" t="inlineStr">
        <is>
          <t>Yes</t>
        </is>
      </c>
      <c r="BQ13" s="37" t="inlineStr">
        <is>
          <t>Yes</t>
        </is>
      </c>
      <c r="BR13" s="37" t="inlineStr">
        <is>
          <t>Yes</t>
        </is>
      </c>
      <c r="BS13" s="37" t="inlineStr">
        <is>
          <t>No</t>
        </is>
      </c>
      <c r="BT13" s="37" t="inlineStr">
        <is>
          <t>No</t>
        </is>
      </c>
      <c r="BU13" s="37" t="inlineStr">
        <is>
          <t>Yes</t>
        </is>
      </c>
      <c r="BV13" s="37" t="inlineStr">
        <is>
          <t>No</t>
        </is>
      </c>
      <c r="BW13" s="37" t="inlineStr">
        <is>
          <t>Yes</t>
        </is>
      </c>
      <c r="BX13" s="44" t="n">
        <v>1.5</v>
      </c>
      <c r="BY13" s="36" t="inlineStr">
        <is>
          <t>Delta Blues Advanced Power Station</t>
        </is>
      </c>
      <c r="BZ13" s="38" t="inlineStr">
        <is>
          <t>Existing substation at Gerald Andrus station</t>
        </is>
      </c>
      <c r="CA13" s="39" t="n"/>
      <c r="CB13" s="36" t="inlineStr">
        <is>
          <t>10018299981</t>
        </is>
      </c>
      <c r="CC13" s="39" t="n"/>
      <c r="CD13" s="39" t="n"/>
      <c r="CE13" s="39" t="n"/>
      <c r="CF13" s="39" t="n"/>
      <c r="CG13" s="38" t="inlineStr">
        <is>
          <t>*RPBD* MAIN WINDOW LIKELY PASSED: HRSG erection May 2026 ("anchor bolts up"), COD May 2028 -&gt; bulk cable likely bought; remaining late releases, change orders, I&amp;C top-ups. EPC TSL Power Partners (Kiewit/TIC), Kiewit 200+ on site. Use as entry to TSL Entergy program buy for sister plants. Yes Energy 879 MW/$651M vs Entergy 754 MW/$1.2B.</t>
        </is>
      </c>
      <c r="CH13" s="38" t="inlineStr">
        <is>
          <t>Contact Ernest Rufus and TSL/TIC procurement now - target program buy for Vicksburg/Ironwood/Waterford.</t>
        </is>
      </c>
      <c r="CI13" s="38" t="inlineStr">
        <is>
          <t>*RPBD* OVERVIEW: 754 MW natural-gas COMBINED-CYCLE plant ('Superpower Mississippi'), replacing the aging Gerald Andrus Steam Electric Station; serves ~385,000 homes across Entergy Mississippi's 45 counties. TECHNOLOGY &amp; EQUIPMENT: 1x1 combined cycle - Mitsubishi Power M501JAC gas turbine (per GEM), HRSG (modules being lifted May 2026), steam turbine; dual-fuel, hydrogen-blend capable. SITE: BROWNFIELD-ADJACENT - new footprint within ~1 mile of the Andrus plant, 85 Stokes King Road, Greenville, Washington County; reuses Andrus transmission and gas infrastructure (acreage not published). INTERCONNECTION: ~1.5 miles of new transmission line to the existing substation next to Andrus; new Delta Blues substation. OWNERSHIP/EPC: Entergy Mississippi; EPC TSL Power Partners (Kiewit Power Constructors / TIC; Kiewit 200+ on site). Groundbreaking Nov 2024; COD May 2028; ~$1.2B. INVESTMENT: Total project investment ~$1.2B (Entergy); Yes Energy $651M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Plus ~1.5 mi transmission line conductor and substation cable. Status: above-ground erection since May 2026 - bulk cable likely ordered. Ref: https://www.power-eng.com/gas/combined-cycle/entergy-mississippi-breaks-ground-on-754-mw-combined-cycle-plant/ | https://www.entergy.com/blog/delta-blues-reaches-important-milestone-in-construction | https://www.gem.wiki/Delta_Blues_Advanced_Power_Station | https://opcgis.deq.state.ms.us/ensearchonline/ai_info.aspx?ai=86260</t>
        </is>
      </c>
      <c r="CJ13" s="38" t="inlineStr">
        <is>
          <t>*RPBD* Total project investment: ~$1.2B (Entergy); Yes Energy $651M not confirmed. Est. W&amp;C value: $6,032,000 ($8/kW).</t>
        </is>
      </c>
    </row>
    <row r="14" ht="23" customHeight="1">
      <c r="A14" s="36" t="inlineStr">
        <is>
          <t>Rufus</t>
        </is>
      </c>
      <c r="B14" s="36" t="inlineStr">
        <is>
          <t>Ernest</t>
        </is>
      </c>
      <c r="C14" s="36" t="inlineStr">
        <is>
          <t>Entergy</t>
        </is>
      </c>
      <c r="D14" s="37" t="inlineStr">
        <is>
          <t>New</t>
        </is>
      </c>
      <c r="E14" s="37" t="inlineStr">
        <is>
          <t>Sales</t>
        </is>
      </c>
      <c r="F14" s="36" t="inlineStr">
        <is>
          <t>Stephan Hardt</t>
        </is>
      </c>
      <c r="G14" s="40" t="n"/>
      <c r="H14" s="38" t="inlineStr">
        <is>
          <t>Senior Manager, Capital Projects (Vicksburg role to confirm)</t>
        </is>
      </c>
      <c r="I14" s="37" t="inlineStr">
        <is>
          <t>End User</t>
        </is>
      </c>
      <c r="J14" s="37" t="inlineStr">
        <is>
          <t>Energy</t>
        </is>
      </c>
      <c r="K14" s="39" t="n"/>
      <c r="L14" s="39" t="n"/>
      <c r="M14" s="39" t="n"/>
      <c r="N14" s="39" t="n"/>
      <c r="O14" s="37" t="inlineStr">
        <is>
          <t>Yes</t>
        </is>
      </c>
      <c r="P14" s="46" t="n"/>
      <c r="Q14" s="48" t="n"/>
      <c r="R14" s="40" t="n"/>
      <c r="S14" s="40" t="n"/>
      <c r="T14" s="39" t="n"/>
      <c r="U14" s="47" t="n"/>
      <c r="V14" s="39" t="n"/>
      <c r="W14" s="39" t="n"/>
      <c r="X14" s="39" t="n"/>
      <c r="Y14" s="39" t="n"/>
      <c r="Z14" s="40" t="n"/>
      <c r="AA14" s="40" t="n"/>
      <c r="AB14" s="46" t="n"/>
      <c r="AC14" s="39" t="n"/>
      <c r="AD14" s="36" t="inlineStr">
        <is>
          <t>Vicksburg Advanced Power Station</t>
        </is>
      </c>
      <c r="AE14" s="38" t="inlineStr">
        <is>
          <t>Vicksburg Advanced Power Project (Aug 2028) (Yes Energy); EIA 69223; former Baxter Wilson site; Superpower Mississippi</t>
        </is>
      </c>
      <c r="AF14" s="36" t="inlineStr">
        <is>
          <t>Entergy Mississippi</t>
        </is>
      </c>
      <c r="AG14" s="38" t="inlineStr">
        <is>
          <t>Under Construction - groundbreaking Oct 2025</t>
        </is>
      </c>
      <c r="AH14" s="37" t="inlineStr">
        <is>
          <t>IOU</t>
        </is>
      </c>
      <c r="AI14" s="49">
        <f>AL14*1000*Guide!$B$81</f>
        <v/>
      </c>
      <c r="AJ14" s="50" t="n"/>
      <c r="AK14" s="45" t="n">
        <v>46966</v>
      </c>
      <c r="AL14" s="44" t="n">
        <v>754</v>
      </c>
      <c r="AM14" s="43" t="n"/>
      <c r="AN14" s="37" t="inlineStr">
        <is>
          <t>Power Generation</t>
        </is>
      </c>
      <c r="AO14" s="37" t="inlineStr">
        <is>
          <t>Generation</t>
        </is>
      </c>
      <c r="AP14" s="37" t="inlineStr">
        <is>
          <t>New Capacity/New Build</t>
        </is>
      </c>
      <c r="AQ14" s="37" t="inlineStr">
        <is>
          <t>New Load Growth</t>
        </is>
      </c>
      <c r="AR14" s="37" t="inlineStr">
        <is>
          <t>Generation</t>
        </is>
      </c>
      <c r="AS14" s="38" t="inlineStr">
        <is>
          <t>Natural gas generation - electrical BoP (MV/LV power, tray/control &amp; instrumentation cable, substation)</t>
        </is>
      </c>
      <c r="AT14" s="37" t="inlineStr">
        <is>
          <t>Brownfield</t>
        </is>
      </c>
      <c r="AU14" s="37" t="inlineStr">
        <is>
          <t>Traditional</t>
        </is>
      </c>
      <c r="AV14" s="37" t="inlineStr">
        <is>
          <t>Natural Gas</t>
        </is>
      </c>
      <c r="AW14" s="37" t="inlineStr">
        <is>
          <t>No</t>
        </is>
      </c>
      <c r="AX14" s="38" t="inlineStr">
        <is>
          <t>770 Kemp Bottom Rd (former Baxter Wilson site)</t>
        </is>
      </c>
      <c r="AY14" s="36" t="inlineStr">
        <is>
          <t>Vicksburg</t>
        </is>
      </c>
      <c r="AZ14" s="36" t="inlineStr">
        <is>
          <t>MS</t>
        </is>
      </c>
      <c r="BA14" s="39" t="n"/>
      <c r="BB14" s="36" t="inlineStr">
        <is>
          <t>United States</t>
        </is>
      </c>
      <c r="BC14" s="36" t="inlineStr">
        <is>
          <t>Warren</t>
        </is>
      </c>
      <c r="BD14" s="40" t="n"/>
      <c r="BE14" s="36" t="inlineStr">
        <is>
          <t>Entergy Mississippi</t>
        </is>
      </c>
      <c r="BF14" s="38" t="inlineStr">
        <is>
          <t>TSL Power Partners (TIC/Kiewit + Sargent &amp; Lundy) with Mitsubishi Power Americas (per TIC Entergy Program page)</t>
        </is>
      </c>
      <c r="BG14" s="36" t="inlineStr">
        <is>
          <t>Entergy Mississippi</t>
        </is>
      </c>
      <c r="BH14" s="39" t="n"/>
      <c r="BI14" s="36" t="inlineStr">
        <is>
          <t>Unverified (Yes Energy: Mitsubishi)</t>
        </is>
      </c>
      <c r="BJ14" s="39" t="n"/>
      <c r="BK14" s="39" t="n"/>
      <c r="BL14" s="38" t="inlineStr">
        <is>
          <t>Midcontinent Independent System Operator (MISO)</t>
        </is>
      </c>
      <c r="BM14" s="36" t="inlineStr">
        <is>
          <t>Entergy Mississippi</t>
        </is>
      </c>
      <c r="BN14" s="39" t="n"/>
      <c r="BO14" s="39" t="n"/>
      <c r="BP14" s="37" t="inlineStr">
        <is>
          <t>Yes</t>
        </is>
      </c>
      <c r="BQ14" s="37" t="inlineStr">
        <is>
          <t>Yes</t>
        </is>
      </c>
      <c r="BR14" s="37" t="inlineStr">
        <is>
          <t>Yes</t>
        </is>
      </c>
      <c r="BS14" s="37" t="inlineStr">
        <is>
          <t>No</t>
        </is>
      </c>
      <c r="BT14" s="37" t="inlineStr">
        <is>
          <t>No</t>
        </is>
      </c>
      <c r="BU14" s="37" t="inlineStr">
        <is>
          <t>No</t>
        </is>
      </c>
      <c r="BV14" s="37" t="inlineStr">
        <is>
          <t>No</t>
        </is>
      </c>
      <c r="BW14" s="37" t="inlineStr">
        <is>
          <t>Yes</t>
        </is>
      </c>
      <c r="BX14" s="43" t="n"/>
      <c r="BY14" s="39" t="n"/>
      <c r="BZ14" s="39" t="n"/>
      <c r="CA14" s="39" t="n"/>
      <c r="CB14" s="36" t="inlineStr">
        <is>
          <t>10019088992</t>
        </is>
      </c>
      <c r="CC14" s="39" t="n"/>
      <c r="CD14" s="39" t="n"/>
      <c r="CE14" s="39" t="n"/>
      <c r="CF14" s="39" t="n"/>
      <c r="CG14" s="38" t="inlineStr">
        <is>
          <t>*RPBD* URGENT: groundbreaking Oct 21 2025, Baxter Wilson demolition Dec 2025, COD Aug 2028 -&gt; cable window now through ~Feb 2027; may be partly placed if TSL bought with Delta Blues. Linked contextually to AWS $3B Vicksburg campus. Entergy MS media line 769-262-0745.</t>
        </is>
      </c>
      <c r="CH14" s="38" t="inlineStr">
        <is>
          <t>Engage TSL/TIC procurement now; confirm Ernest Rufus covers Vicksburg (confirmed on Delta Blues only) and ask for the named project buyer.</t>
        </is>
      </c>
      <c r="CI14" s="38" t="inlineStr">
        <is>
          <t>*RPBD* OVERVIEW: 754 MW natural-gas COMBINED-CYCLE plant, next phase of 'Superpower Mississippi'; ~560 construction jobs, 21 permanent. Contextually linked to Amazon/AWS's $3B Vicksburg data-center campus (AWS covers its service-extension costs). TECHNOLOGY &amp; EQUIPMENT: combined cycle (gas turbine + HRSG + steam turbine), hydrogen-blend capable and carbon-capture enabled; turbine OEM not confirmed (Mitsubishi likely via TSL/Mitsubishi Entergy program). SITE: BROWNFIELD - former Baxter Wilson Steam Electric Station (1960s gas/oil plant, retired 2022; large structures demolished Dec 17, 2025), 770 Kemp Bottom Rd, Vicksburg, Warren County, on the Mississippi River; existing transmission/gas corridors (acreage not published). OWNERSHIP/EPC: Entergy Mississippi; EPC TSL Power Partners (TIC/Kiewit + Sargent &amp; Lundy) with Mitsubishi Power Americas (per TIC Entergy Program page). Groundbreaking Oct 21, 2025; COD Aug 2028; ~$1.2B. INVESTMENT: Total project investment ~$1.2B (Entergy); Yes Energy $700M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Ref: https://www.entergymississippi.com/generation/vicksburg | https://www.powermag.com/entergy-mississippi-adding-third-gas-fired-power-plant-to-superpower-strategy/ | https://www.datacenterdynamics.com/en/news/amazon-to-build-3bn-data-center-campus-in-vicksburg-mississippi/</t>
        </is>
      </c>
      <c r="CJ14" s="38" t="inlineStr">
        <is>
          <t>*RPBD* Total project investment: ~$1.2B (Entergy); Yes Energy $700M not confirmed. Est. W&amp;C value: $6,032,000 ($8/kW).</t>
        </is>
      </c>
    </row>
    <row r="15" ht="23" customHeight="1">
      <c r="A15" s="36" t="inlineStr">
        <is>
          <t>Niland</t>
        </is>
      </c>
      <c r="B15" s="36" t="inlineStr">
        <is>
          <t>John E.</t>
        </is>
      </c>
      <c r="C15" s="36" t="inlineStr">
        <is>
          <t>Invenergy</t>
        </is>
      </c>
      <c r="D15" s="37" t="inlineStr">
        <is>
          <t>New</t>
        </is>
      </c>
      <c r="E15" s="37" t="inlineStr">
        <is>
          <t>Sales</t>
        </is>
      </c>
      <c r="F15" s="36" t="inlineStr">
        <is>
          <t>Stephan Hardt</t>
        </is>
      </c>
      <c r="G15" s="40" t="n"/>
      <c r="H15" s="36" t="inlineStr">
        <is>
          <t>VP, New Technology &amp; Thermal Development</t>
        </is>
      </c>
      <c r="I15" s="37" t="inlineStr">
        <is>
          <t>Contractor</t>
        </is>
      </c>
      <c r="J15" s="37" t="inlineStr">
        <is>
          <t>Energy</t>
        </is>
      </c>
      <c r="K15" s="39" t="n"/>
      <c r="L15" s="39" t="n"/>
      <c r="M15" s="39" t="n"/>
      <c r="N15" s="39" t="n"/>
      <c r="O15" s="37" t="inlineStr">
        <is>
          <t>Yes</t>
        </is>
      </c>
      <c r="P15" s="46" t="n"/>
      <c r="Q15" s="48" t="n"/>
      <c r="R15" s="40" t="n"/>
      <c r="S15" s="40" t="n"/>
      <c r="T15" s="39" t="n"/>
      <c r="U15" s="47" t="n"/>
      <c r="V15" s="39" t="n"/>
      <c r="W15" s="39" t="n"/>
      <c r="X15" s="39" t="n"/>
      <c r="Y15" s="39" t="n"/>
      <c r="Z15" s="40" t="n"/>
      <c r="AA15" s="40" t="n"/>
      <c r="AB15" s="46" t="n"/>
      <c r="AC15" s="39" t="n"/>
      <c r="AD15" s="36" t="inlineStr">
        <is>
          <t>Sycamore Riverside Energy Center</t>
        </is>
      </c>
      <c r="AE15" s="38" t="inlineStr">
        <is>
          <t>Sullivan Generating Station (May 2027) (Yes Energy); Sullivan Generating Station 1 &amp; 2 (PJM AB1-087/AB1-088); IURC Cause 46389</t>
        </is>
      </c>
      <c r="AF15" s="36" t="inlineStr">
        <is>
          <t>Indiana Michigan Power (AEP)</t>
        </is>
      </c>
      <c r="AG15" s="38" t="inlineStr">
        <is>
          <t>Advanced Development - IURC CPCN order expected end-2026</t>
        </is>
      </c>
      <c r="AH15" s="37" t="inlineStr">
        <is>
          <t>IOU</t>
        </is>
      </c>
      <c r="AI15" s="49">
        <f>AL15*1000*Guide!$B$81</f>
        <v/>
      </c>
      <c r="AJ15" s="50" t="n"/>
      <c r="AK15" s="45" t="n">
        <v>47208</v>
      </c>
      <c r="AL15" s="44" t="n">
        <v>918</v>
      </c>
      <c r="AM15" s="44" t="n">
        <v>345</v>
      </c>
      <c r="AN15" s="37" t="inlineStr">
        <is>
          <t>Power Generation</t>
        </is>
      </c>
      <c r="AO15" s="37" t="inlineStr">
        <is>
          <t>Generation</t>
        </is>
      </c>
      <c r="AP15" s="37" t="inlineStr">
        <is>
          <t>New Capacity/New Build</t>
        </is>
      </c>
      <c r="AQ15" s="37" t="inlineStr">
        <is>
          <t>New Load Growth</t>
        </is>
      </c>
      <c r="AR15" s="37" t="inlineStr">
        <is>
          <t>Generation</t>
        </is>
      </c>
      <c r="AS15" s="38" t="inlineStr">
        <is>
          <t>Natural gas generation - electrical BoP (MV/LV power, tray/control &amp; instrumentation cable, substation)</t>
        </is>
      </c>
      <c r="AT15" s="37" t="inlineStr">
        <is>
          <t>Brownfield</t>
        </is>
      </c>
      <c r="AU15" s="37" t="inlineStr">
        <is>
          <t>Traditional</t>
        </is>
      </c>
      <c r="AV15" s="37" t="inlineStr">
        <is>
          <t>Natural Gas</t>
        </is>
      </c>
      <c r="AW15" s="37" t="inlineStr">
        <is>
          <t>No</t>
        </is>
      </c>
      <c r="AX15" s="38" t="inlineStr">
        <is>
          <t>Adjacent to former I&amp;M Breed Generating Station</t>
        </is>
      </c>
      <c r="AY15" s="36" t="inlineStr">
        <is>
          <t>Fairbanks Township</t>
        </is>
      </c>
      <c r="AZ15" s="36" t="inlineStr">
        <is>
          <t>IN</t>
        </is>
      </c>
      <c r="BA15" s="39" t="n"/>
      <c r="BB15" s="36" t="inlineStr">
        <is>
          <t>United States</t>
        </is>
      </c>
      <c r="BC15" s="36" t="inlineStr">
        <is>
          <t>Sullivan</t>
        </is>
      </c>
      <c r="BD15" s="40" t="n"/>
      <c r="BE15" s="36" t="inlineStr">
        <is>
          <t>Invenergy (to be acquired by I&amp;M at COD)</t>
        </is>
      </c>
      <c r="BF15" s="38" t="inlineStr">
        <is>
          <t>The Boldt Company (constructor per Boldt project page - role to confirm)</t>
        </is>
      </c>
      <c r="BG15" s="36" t="inlineStr">
        <is>
          <t>Invenergy</t>
        </is>
      </c>
      <c r="BH15" s="39" t="n"/>
      <c r="BI15" s="36" t="inlineStr">
        <is>
          <t>GE Vernova (4x 7F.05 CTs)</t>
        </is>
      </c>
      <c r="BJ15" s="39" t="n"/>
      <c r="BK15" s="39" t="n"/>
      <c r="BL15" s="36" t="inlineStr">
        <is>
          <t>PJM Interconnection (PJM)</t>
        </is>
      </c>
      <c r="BM15" s="36" t="inlineStr">
        <is>
          <t>Indiana Michigan Power (AEP)</t>
        </is>
      </c>
      <c r="BN15" s="39" t="n"/>
      <c r="BO15" s="39" t="n"/>
      <c r="BP15" s="37" t="inlineStr">
        <is>
          <t>Yes</t>
        </is>
      </c>
      <c r="BQ15" s="37" t="inlineStr">
        <is>
          <t>Yes</t>
        </is>
      </c>
      <c r="BR15" s="37" t="inlineStr">
        <is>
          <t>Yes</t>
        </is>
      </c>
      <c r="BS15" s="37" t="inlineStr">
        <is>
          <t>No</t>
        </is>
      </c>
      <c r="BT15" s="37" t="inlineStr">
        <is>
          <t>No</t>
        </is>
      </c>
      <c r="BU15" s="37" t="inlineStr">
        <is>
          <t>No</t>
        </is>
      </c>
      <c r="BV15" s="37" t="inlineStr">
        <is>
          <t>No</t>
        </is>
      </c>
      <c r="BW15" s="37" t="inlineStr">
        <is>
          <t>Yes</t>
        </is>
      </c>
      <c r="BX15" s="43" t="n"/>
      <c r="BY15" s="39" t="n"/>
      <c r="BZ15" s="39" t="n"/>
      <c r="CA15" s="39" t="n"/>
      <c r="CB15" s="36" t="inlineStr">
        <is>
          <t>10019254864</t>
        </is>
      </c>
      <c r="CC15" s="39" t="n"/>
      <c r="CD15" s="39" t="n"/>
      <c r="CE15" s="39" t="n"/>
      <c r="CF15" s="39" t="n"/>
      <c r="CG15" s="38" t="inlineStr">
        <is>
          <t>*RPBD* AWARD (PO) DATE BASIS: Boldt lists construction Sep 2026-Feb 2029 (built at risk before IURC order expected end-2026); COD Mar 31 2029 -&gt; cable window Q1-Q3 2027; Invenergy/Boldt buy, not I&amp;M. Other contacts: Daniel Runyan (SVP Development, Invenergy); Steve Baker (President &amp; COO, I&amp;M); Timothy B. Gaul (Dir. Regulated Infrastructure Development, AEPSC); Timothy C. Kerns (Sterling Industrial - owner's engineer witness). PJM (not MISO), 918 MW SC (not 1,150 MW CC). Existing Salesforce opportunity (CRM: 930 MW combined cycle, award 10/1/2026) - update CRM to 918 MW simple cycle; merge Sullivan Generating Station 1 &amp; 2 duplicates.</t>
        </is>
      </c>
      <c r="CH15" s="38" t="inlineStr">
        <is>
          <t>Engage Boldt procurement and Invenergy thermal construction now (Q4 2026-Q1 2027) for MV/600V/tray bid lists.</t>
        </is>
      </c>
      <c r="CI15" s="38" t="inlineStr">
        <is>
          <t>*RPBD* OVERVIEW: ~918-935 MW natural-gas SIMPLE-CYCLE PEAKING plant developed by Invenergy and to be acquired by Indiana Michigan Power (AEP) at COD (Mar 31, 2029) to meet data-center-driven load growth (AWS, Google, Microsoft). Formerly queued as Sullivan Generating Station 1 &amp; 2 (1,150 MW CC concept). TECHNOLOGY &amp; EQUIPMENT: 4x GE Vernova 7F.05 combustion turbines (~232 MW each), dual-fuel natural gas with ultra-low-sulfur distillate backup; gas via ~5.5-mile 24-inch ONEOK lateral. SITE: BROWNFIELD-ADJACENT - next to I&amp;M's retired, demolished Breed coal plant, CR 925N, Fairbanks Township, Sullivan County; ~64-acre plant footprint within ~356-acre parcel (local meeting summary - verify). Invenergy holds land under purchase option. INTERCONNECTION: AEP/I&amp;M Sullivan 345 kV station (new 345 kV breakers), PJM. OWNERSHIP/STATUS: Invenergy (developer) -&gt; I&amp;M; IURC Cause 46389 order expected end-2026; constructor The Boldt Company lists construction Sep 2026-Feb 2029; ~$500M capital (Invenergy). INVESTMENT: Total project investment ~$500M capital investment (Invenergy); est. W&amp;C value $7,344,000 ($8/kW). W&amp;C NEEDS (simple-cycle peaker): MV power cable (5-35 kV) for auxiliary transformers, MV switchgear, fuel-gas compressors and black-start/aux systems; 600V power &amp; TC-ER tray cable for turbine packages, MCCs, fuel oil forwarding (if dual fuel) and SCR/ammonia systems; shielded instrumentation &amp; control cable; bare copper grounding grid per unit and switchyard; switchyard control/relay cable; building wire for control/admin buildings. Less cable per MW than a CC (no HRSG/steam cycle). Dual-fuel adds fuel-oil system cabling. Ref: https://www.aep.com/news/stories/view/11850/ | https://sycamoreriverside.invenergy.com/about-project | https://www.pjm.com/pub/planning/project-queues/facilities/ab1087_fac.pdf | https://www.gem.wiki/Sycamore_Riverside_Energy_Center</t>
        </is>
      </c>
      <c r="CJ15" s="38" t="inlineStr">
        <is>
          <t>*RPBD* Total project investment: ~$500M capital investment (Invenergy). Est. W&amp;C value: $7,344,000 ($8/kW).</t>
        </is>
      </c>
    </row>
    <row r="16" ht="23" customHeight="1">
      <c r="A16" s="36" t="inlineStr">
        <is>
          <t>Pressler</t>
        </is>
      </c>
      <c r="B16" s="36" t="inlineStr">
        <is>
          <t>Nicholas D.</t>
        </is>
      </c>
      <c r="C16" s="36" t="inlineStr">
        <is>
          <t>Entergy Services LLC</t>
        </is>
      </c>
      <c r="D16" s="37" t="inlineStr">
        <is>
          <t>New</t>
        </is>
      </c>
      <c r="E16" s="37" t="inlineStr">
        <is>
          <t>Sales</t>
        </is>
      </c>
      <c r="F16" s="36" t="inlineStr">
        <is>
          <t>Stephan Hardt</t>
        </is>
      </c>
      <c r="G16" s="40" t="n"/>
      <c r="H16" s="36" t="inlineStr">
        <is>
          <t>Director, Power Development</t>
        </is>
      </c>
      <c r="I16" s="37" t="inlineStr">
        <is>
          <t>End User</t>
        </is>
      </c>
      <c r="J16" s="37" t="inlineStr">
        <is>
          <t>Energy</t>
        </is>
      </c>
      <c r="K16" s="39" t="n"/>
      <c r="L16" s="39" t="n"/>
      <c r="M16" s="39" t="n"/>
      <c r="N16" s="39" t="n"/>
      <c r="O16" s="37" t="inlineStr">
        <is>
          <t>Yes</t>
        </is>
      </c>
      <c r="P16" s="46" t="n"/>
      <c r="Q16" s="48" t="n"/>
      <c r="R16" s="40" t="n"/>
      <c r="S16" s="40" t="n"/>
      <c r="T16" s="39" t="n"/>
      <c r="U16" s="47" t="n"/>
      <c r="V16" s="39" t="n"/>
      <c r="W16" s="39" t="n"/>
      <c r="X16" s="39" t="n"/>
      <c r="Y16" s="39" t="n"/>
      <c r="Z16" s="40" t="n"/>
      <c r="AA16" s="40" t="n"/>
      <c r="AB16" s="46" t="n"/>
      <c r="AC16" s="39" t="n"/>
      <c r="AD16" s="38" t="inlineStr">
        <is>
          <t>Franklin Farms Power Station (Units 1 &amp; 2)</t>
        </is>
      </c>
      <c r="AE16" s="38" t="inlineStr">
        <is>
          <t>Titanium Advanced Power Station CCCT Project (Yes Energy / air permit); EIA 68214; MISO E0014; LPSC U-37425</t>
        </is>
      </c>
      <c r="AF16" s="36" t="inlineStr">
        <is>
          <t>Entergy Louisiana</t>
        </is>
      </c>
      <c r="AG16" s="38" t="inlineStr">
        <is>
          <t>Under Construction - groundbreaking Dec 1, 2025</t>
        </is>
      </c>
      <c r="AH16" s="37" t="inlineStr">
        <is>
          <t>IOU</t>
        </is>
      </c>
      <c r="AI16" s="49">
        <f>AL16*1000*Guide!$B$81</f>
        <v/>
      </c>
      <c r="AJ16" s="50" t="n"/>
      <c r="AK16" s="45" t="n">
        <v>47088</v>
      </c>
      <c r="AL16" s="44" t="n">
        <v>1508</v>
      </c>
      <c r="AM16" s="44" t="n">
        <v>500</v>
      </c>
      <c r="AN16" s="37" t="inlineStr">
        <is>
          <t>Power Generation</t>
        </is>
      </c>
      <c r="AO16" s="37" t="inlineStr">
        <is>
          <t>Generation</t>
        </is>
      </c>
      <c r="AP16" s="37" t="inlineStr">
        <is>
          <t>New Capacity/New Build</t>
        </is>
      </c>
      <c r="AQ16" s="37" t="inlineStr">
        <is>
          <t>Load Interconnection</t>
        </is>
      </c>
      <c r="AR16" s="37" t="inlineStr">
        <is>
          <t>Generation</t>
        </is>
      </c>
      <c r="AS16" s="38" t="inlineStr">
        <is>
          <t>Natural gas generation - electrical BoP (MV/LV power, tray/control &amp; instrumentation cable, substation)</t>
        </is>
      </c>
      <c r="AT16" s="37" t="inlineStr">
        <is>
          <t>Greenfield</t>
        </is>
      </c>
      <c r="AU16" s="37" t="inlineStr">
        <is>
          <t>Traditional</t>
        </is>
      </c>
      <c r="AV16" s="37" t="inlineStr">
        <is>
          <t>Natural Gas</t>
        </is>
      </c>
      <c r="AW16" s="37" t="inlineStr">
        <is>
          <t>Yes</t>
        </is>
      </c>
      <c r="AX16" s="36" t="inlineStr">
        <is>
          <t>Franklin Farms site, LA Hwy 183</t>
        </is>
      </c>
      <c r="AY16" s="36" t="inlineStr">
        <is>
          <t>Holly Ridge</t>
        </is>
      </c>
      <c r="AZ16" s="36" t="inlineStr">
        <is>
          <t>LA</t>
        </is>
      </c>
      <c r="BA16" s="39" t="n"/>
      <c r="BB16" s="36" t="inlineStr">
        <is>
          <t>United States</t>
        </is>
      </c>
      <c r="BC16" s="36" t="inlineStr">
        <is>
          <t>Richland Parish</t>
        </is>
      </c>
      <c r="BD16" s="40" t="n"/>
      <c r="BE16" s="38" t="inlineStr">
        <is>
          <t>Entergy Louisiana (state-owned Franklin Farms site)</t>
        </is>
      </c>
      <c r="BF16" s="38" t="inlineStr">
        <is>
          <t>TSL Power Partners (TIC / Sargent &amp; Lundy) with Mitsubishi Power Americas</t>
        </is>
      </c>
      <c r="BG16" s="36" t="inlineStr">
        <is>
          <t>Entergy Louisiana</t>
        </is>
      </c>
      <c r="BH16" s="39" t="n"/>
      <c r="BI16" s="36" t="inlineStr">
        <is>
          <t>Mitsubishi Power M501JAC (2x 1x1 CC)</t>
        </is>
      </c>
      <c r="BJ16" s="39" t="n"/>
      <c r="BK16" s="39" t="n"/>
      <c r="BL16" s="38" t="inlineStr">
        <is>
          <t>Midcontinent Independent System Operator (MISO)</t>
        </is>
      </c>
      <c r="BM16" s="36" t="inlineStr">
        <is>
          <t>Entergy Louisiana</t>
        </is>
      </c>
      <c r="BN16" s="39" t="n"/>
      <c r="BO16" s="39" t="n"/>
      <c r="BP16" s="37" t="inlineStr">
        <is>
          <t>Yes</t>
        </is>
      </c>
      <c r="BQ16" s="37" t="inlineStr">
        <is>
          <t>Yes</t>
        </is>
      </c>
      <c r="BR16" s="37" t="inlineStr">
        <is>
          <t>Yes</t>
        </is>
      </c>
      <c r="BS16" s="37" t="inlineStr">
        <is>
          <t>No</t>
        </is>
      </c>
      <c r="BT16" s="37" t="inlineStr">
        <is>
          <t>No</t>
        </is>
      </c>
      <c r="BU16" s="37" t="inlineStr">
        <is>
          <t>No</t>
        </is>
      </c>
      <c r="BV16" s="37" t="inlineStr">
        <is>
          <t>No</t>
        </is>
      </c>
      <c r="BW16" s="37" t="inlineStr">
        <is>
          <t>Yes</t>
        </is>
      </c>
      <c r="BX16" s="43" t="n"/>
      <c r="BY16" s="39" t="n"/>
      <c r="BZ16" s="39" t="n"/>
      <c r="CA16" s="39" t="n"/>
      <c r="CB16" s="36" t="inlineStr">
        <is>
          <t>10019228423</t>
        </is>
      </c>
      <c r="CC16" s="39" t="n"/>
      <c r="CD16" s="39" t="n"/>
      <c r="CE16" s="39" t="n"/>
      <c r="CF16" s="39" t="n"/>
      <c r="CG16" s="38" t="inlineStr">
        <is>
          <t>*RPBD* AWARD (PO) DATE BASIS: groundbreaking Dec 1 2025, COD Dec 2028; IMI valve order Sep 2026 says detailed engineering still active -&gt; cable window Dec 2026-Jun 2027, early MV/grounding packages possibly Q4 2026. EPC TSL Power Partners/Kiewit + Mitsubishi. Other contacts: Phillip May (CEO, Entergy LA); Carlos Ruiz (VP Power Development, Entergy); Jim Niemiec (VP &amp; Chief Supply Chain Officer, Entergy); media Brandon Scardigli 504-576-4132. Separate 500 kV transmission opportunity.</t>
        </is>
      </c>
      <c r="CH16" s="38" t="inlineStr">
        <is>
          <t>Engage TSL/TIC procurement now; contact Nicholas Pressler; open separate 500 kV transmission opportunity.</t>
        </is>
      </c>
      <c r="CI16" s="38" t="inlineStr">
        <is>
          <t>*RPBD* OVERVIEW: ~1,508 MW natural-gas COMBINED-CYCLE station (two units) built to power Meta's Hyperion AI data-center campus; Meta pays the plants' full revenue requirement for 15 years. Air permit name 'Titanium Advanced Power Station'. ~7 more Hyperion plants (~5.2 GW) proposed, LPSC vote Dec 2026. TECHNOLOGY &amp; EQUIPMENT: 2x 1x1 combined-cycle blocks - Mitsubishi Power M501JAC gas turbines, HRSGs, steam turbines (~754-780 MW each); hydrogen-capable (30% co-fire), carbon-capture ready; IMI valve package (Sep 2026). SITE: GREENFIELD - former agricultural land on the state-owned Franklin Farms megasite (~1,400-2,250 acres total incl. Meta campus) along LA Hwy 183 near Holly Ridge, Richland Parish. INTERCONNECTION: Entergy 500 kV system - ~100 miles of new 500 kV lines (~$1.2B), eight new 230 kV lines, Sterlington 500 kV upgrades. OWNERSHIP/EPC: Entergy Louisiana; EPC TSL Power Partners (TIC/Kiewit + Sargent &amp; Lundy) with Mitsubishi Power. LPSC approval Aug 2025; groundbreaking Dec 1, 2025; COD Dec 2028; ~$2.39B for both units. INVESTMENT: Total project investment ~$2.39B (Franklin Farms 1 &amp; 2, LPSC testimony); est. W&amp;C value $12,064,000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Separate opportunity: HV/500 kV transmission conductor and substation cable. Ref: https://www.entergy.com/news/entergy-louisiana-breaks-ground-on-new-state-of-the-art-generation-facilities-to-power-reliability-growth-and-innovation | https://www.ticus.com/entergy-program/ | https://www.gem.wiki/Franklin_Farms_power_station | https://www.datacenterdynamics.com/en/news/entergy-breaks-ground-on-two-natural-gas-plants-for-metas-2gw-data-center-in-richland-parish-louisiana/</t>
        </is>
      </c>
      <c r="CJ16" s="38" t="inlineStr">
        <is>
          <t>*RPBD* Total project investment: ~$2.39B (Franklin Farms 1 &amp; 2, LPSC testimony). Est. W&amp;C value: $12,064,000 ($8/kW).</t>
        </is>
      </c>
    </row>
    <row r="17" ht="23" customHeight="1">
      <c r="A17" s="36" t="inlineStr">
        <is>
          <t>Pressler</t>
        </is>
      </c>
      <c r="B17" s="36" t="inlineStr">
        <is>
          <t>Nicholas D.</t>
        </is>
      </c>
      <c r="C17" s="36" t="inlineStr">
        <is>
          <t>Entergy Services LLC</t>
        </is>
      </c>
      <c r="D17" s="37" t="inlineStr">
        <is>
          <t>New</t>
        </is>
      </c>
      <c r="E17" s="37" t="inlineStr">
        <is>
          <t>Sales</t>
        </is>
      </c>
      <c r="F17" s="36" t="inlineStr">
        <is>
          <t>Stephan Hardt</t>
        </is>
      </c>
      <c r="G17" s="40" t="n"/>
      <c r="H17" s="36" t="inlineStr">
        <is>
          <t>Director, Power Development</t>
        </is>
      </c>
      <c r="I17" s="37" t="inlineStr">
        <is>
          <t>End User</t>
        </is>
      </c>
      <c r="J17" s="37" t="inlineStr">
        <is>
          <t>Energy</t>
        </is>
      </c>
      <c r="K17" s="39" t="n"/>
      <c r="L17" s="39" t="n"/>
      <c r="M17" s="39" t="n"/>
      <c r="N17" s="39" t="n"/>
      <c r="O17" s="37" t="inlineStr">
        <is>
          <t>Yes</t>
        </is>
      </c>
      <c r="P17" s="46" t="n"/>
      <c r="Q17" s="48" t="n"/>
      <c r="R17" s="40" t="n"/>
      <c r="S17" s="40" t="n"/>
      <c r="T17" s="39" t="n"/>
      <c r="U17" s="47" t="n"/>
      <c r="V17" s="39" t="n"/>
      <c r="W17" s="39" t="n"/>
      <c r="X17" s="39" t="n"/>
      <c r="Y17" s="39" t="n"/>
      <c r="Z17" s="40" t="n"/>
      <c r="AA17" s="40" t="n"/>
      <c r="AB17" s="46" t="n"/>
      <c r="AC17" s="39" t="n"/>
      <c r="AD17" s="36" t="inlineStr">
        <is>
          <t>Waterford 5 Power Station</t>
        </is>
      </c>
      <c r="AE17" s="38" t="inlineStr">
        <is>
          <t>Waterford 5 Project (June 2029) (Yes Energy); EIA 69184; MISO E0029; Waterford 5 &amp; 6</t>
        </is>
      </c>
      <c r="AF17" s="36" t="inlineStr">
        <is>
          <t>Entergy Louisiana</t>
        </is>
      </c>
      <c r="AG17" s="38" t="inlineStr">
        <is>
          <t>Advanced Development - site prep since Nov 2025; construction late 2026</t>
        </is>
      </c>
      <c r="AH17" s="37" t="inlineStr">
        <is>
          <t>IOU</t>
        </is>
      </c>
      <c r="AI17" s="49">
        <f>AL17*1000*Guide!$B$81</f>
        <v/>
      </c>
      <c r="AJ17" s="50" t="n"/>
      <c r="AK17" s="45" t="n">
        <v>47270</v>
      </c>
      <c r="AL17" s="44" t="n">
        <v>754</v>
      </c>
      <c r="AM17" s="44" t="n">
        <v>500</v>
      </c>
      <c r="AN17" s="37" t="inlineStr">
        <is>
          <t>Power Generation</t>
        </is>
      </c>
      <c r="AO17" s="37" t="inlineStr">
        <is>
          <t>Generation</t>
        </is>
      </c>
      <c r="AP17" s="37" t="inlineStr">
        <is>
          <t>New Capacity/New Build</t>
        </is>
      </c>
      <c r="AQ17" s="37" t="inlineStr">
        <is>
          <t>Load Interconnection</t>
        </is>
      </c>
      <c r="AR17" s="37" t="inlineStr">
        <is>
          <t>Generation</t>
        </is>
      </c>
      <c r="AS17" s="38" t="inlineStr">
        <is>
          <t>Natural gas generation - electrical BoP (MV/LV power, tray/control &amp; instrumentation cable, substation)</t>
        </is>
      </c>
      <c r="AT17" s="37" t="inlineStr">
        <is>
          <t>Brownfield</t>
        </is>
      </c>
      <c r="AU17" s="37" t="inlineStr">
        <is>
          <t>Traditional</t>
        </is>
      </c>
      <c r="AV17" s="37" t="inlineStr">
        <is>
          <t>Natural Gas</t>
        </is>
      </c>
      <c r="AW17" s="37" t="inlineStr">
        <is>
          <t>Yes</t>
        </is>
      </c>
      <c r="AX17" s="36" t="inlineStr">
        <is>
          <t>Entergy Waterford generating site</t>
        </is>
      </c>
      <c r="AY17" s="36" t="inlineStr">
        <is>
          <t>Killona / Taft</t>
        </is>
      </c>
      <c r="AZ17" s="36" t="inlineStr">
        <is>
          <t>LA</t>
        </is>
      </c>
      <c r="BA17" s="39" t="n"/>
      <c r="BB17" s="36" t="inlineStr">
        <is>
          <t>United States</t>
        </is>
      </c>
      <c r="BC17" s="36" t="inlineStr">
        <is>
          <t>St. Charles Parish</t>
        </is>
      </c>
      <c r="BD17" s="40" t="n"/>
      <c r="BE17" s="36" t="inlineStr">
        <is>
          <t>Entergy Louisiana</t>
        </is>
      </c>
      <c r="BF17" s="38" t="inlineStr">
        <is>
          <t>TSL Power Partners (TIC + Sargent &amp; Lundy) - implied by LPSC Waterford 6 filing</t>
        </is>
      </c>
      <c r="BG17" s="36" t="inlineStr">
        <is>
          <t>Entergy Louisiana</t>
        </is>
      </c>
      <c r="BH17" s="39" t="n"/>
      <c r="BI17" s="36" t="inlineStr">
        <is>
          <t>Mitsubishi Power M501JAC (per GEM)</t>
        </is>
      </c>
      <c r="BJ17" s="39" t="n"/>
      <c r="BK17" s="39" t="n"/>
      <c r="BL17" s="38" t="inlineStr">
        <is>
          <t>Midcontinent Independent System Operator (MISO)</t>
        </is>
      </c>
      <c r="BM17" s="36" t="inlineStr">
        <is>
          <t>Entergy Louisiana</t>
        </is>
      </c>
      <c r="BN17" s="39" t="n"/>
      <c r="BO17" s="39" t="n"/>
      <c r="BP17" s="37" t="inlineStr">
        <is>
          <t>Yes</t>
        </is>
      </c>
      <c r="BQ17" s="37" t="inlineStr">
        <is>
          <t>Yes</t>
        </is>
      </c>
      <c r="BR17" s="37" t="inlineStr">
        <is>
          <t>Yes</t>
        </is>
      </c>
      <c r="BS17" s="37" t="inlineStr">
        <is>
          <t>No</t>
        </is>
      </c>
      <c r="BT17" s="37" t="inlineStr">
        <is>
          <t>No</t>
        </is>
      </c>
      <c r="BU17" s="37" t="inlineStr">
        <is>
          <t>Yes</t>
        </is>
      </c>
      <c r="BV17" s="37" t="inlineStr">
        <is>
          <t>No</t>
        </is>
      </c>
      <c r="BW17" s="37" t="inlineStr">
        <is>
          <t>Yes</t>
        </is>
      </c>
      <c r="BX17" s="44" t="n">
        <v>0.25</v>
      </c>
      <c r="BY17" s="36" t="inlineStr">
        <is>
          <t>Waterford 5 Power Station</t>
        </is>
      </c>
      <c r="BZ17" s="36" t="inlineStr">
        <is>
          <t>Waterford 500 kV Substation</t>
        </is>
      </c>
      <c r="CA17" s="39" t="n"/>
      <c r="CB17" s="36" t="inlineStr">
        <is>
          <t>10019089005</t>
        </is>
      </c>
      <c r="CC17" s="39" t="n"/>
      <c r="CD17" s="39" t="n"/>
      <c r="CE17" s="39" t="n"/>
      <c r="CF17" s="39" t="n"/>
      <c r="CG17" s="38" t="inlineStr">
        <is>
          <t>*RPBD* AWARD (PO) DATE BASIS: site prep since Nov 2025, main construction late 2026, COD 2029 -&gt; cable window mid-2027-mid-2028. Waterford 6 (754 MW, ~Jul 2030, LPSC vote Dec 16 2026, same EPC) - pitch combined WF5+6 buy (~$3.75B program). Other contact: Michelle Berg (Entergy, parish council briefing - secondary source).</t>
        </is>
      </c>
      <c r="CH17" s="38" t="inlineStr">
        <is>
          <t>Pitch combined Waterford 5+6 cable package to TSL; contact Nicholas Pressler.</t>
        </is>
      </c>
      <c r="CI17" s="38" t="inlineStr">
        <is>
          <t>*RPBD* OVERVIEW: ~754-820 MW natural-gas COMBINED-CYCLE unit approved with Franklin Farms to support Meta's Hyperion load; paired with proposed Waterford 6 (754 MW, ~Jul 2030, LPSC vote Dec 16, 2026) - ~$3.75B WF5+6 program, 700+ construction jobs 2026-2030. TECHNOLOGY &amp; EQUIPMENT: 1x1 combined cycle - Mitsubishi Power M501JAC gas turbine, HRSG, steam turbine (EIA: 2 generators, 820 MW nameplate). SITE: BROWNFIELD - existing Entergy Waterford generating complex at Killona/Taft, St. Charles Parish, on the Mississippi River (home to Waterford 1 &amp; 2 gas/oil units and Waterford 3 nuclear); soft soils require ~100,000 truckloads of surcharge fill (site prep since Nov 2025). INTERCONNECTION: Waterford 500 kV substation via ~0.25-mile 500 kV gen-tie (MISO E0029). OWNERSHIP/EPC: Entergy Louisiana; EPC TSL Power Partners (TIC + Sargent &amp; Lundy) per LPSC Waterford 6 filing. Main construction late 2026; COD 2029. Cost ~ $1.2B implied. INVESTMENT: Total project investment ~$1.2B implied (similar to each Franklin Farms unit); Yes Energy $1.75B not confirmed; est. W&amp;C value $6,032,000 ($8/kW). W&amp;C NEEDS (combined cycle): MV power cable (5-35 kV) from unit auxiliary/station service transformers to plant MV switchgear and large motors (boiler feed pumps, condensate &amp; circulating water pumps, cooling tower/ACC fans, gas compressors); 600V power &amp; TC-ER tray cable for MCCs, HRSG/steam-turbine auxiliaries, BOP and water treatment; shielded instrumentation &amp; control cable (DCS, turbine controls, CEMS); bare copper grounding grid; switchyard control/relay cable; lighting, building wire and fire-alarm in admin/warehouse/control buildings. Plus 500 kV gen-tie; bundle Waterford 5 + 6 as one cable package. Ref: https://www.entergylouisiana.com/waterford5-6 | https://www.interconnection.fyi/project/miso-e0029 | https://www.entergy.com/blog/the-dirt-on-dirt-from-digging-soil-to-boosting-louisianas-economy</t>
        </is>
      </c>
      <c r="CJ17" s="38" t="inlineStr">
        <is>
          <t>*RPBD* Total project investment: ~$1.2B implied (similar to each Franklin Farms unit); Yes Energy $1.75B not confirmed. Est. W&amp;C value: $6,032,000 ($8/kW).</t>
        </is>
      </c>
    </row>
    <row r="18" ht="23" customHeight="1">
      <c r="A18" s="36" t="inlineStr">
        <is>
          <t>Davis-Handy</t>
        </is>
      </c>
      <c r="B18" s="36" t="inlineStr">
        <is>
          <t>Brandi</t>
        </is>
      </c>
      <c r="C18" s="36" t="inlineStr">
        <is>
          <t>AES Indiana</t>
        </is>
      </c>
      <c r="D18" s="37" t="inlineStr">
        <is>
          <t>New</t>
        </is>
      </c>
      <c r="E18" s="37" t="inlineStr">
        <is>
          <t>Sales</t>
        </is>
      </c>
      <c r="F18" s="36" t="inlineStr">
        <is>
          <t>Stephan Hardt</t>
        </is>
      </c>
      <c r="G18" s="40" t="n"/>
      <c r="H18" s="36" t="inlineStr">
        <is>
          <t>President</t>
        </is>
      </c>
      <c r="I18" s="37" t="inlineStr">
        <is>
          <t>End User</t>
        </is>
      </c>
      <c r="J18" s="37" t="inlineStr">
        <is>
          <t>Energy</t>
        </is>
      </c>
      <c r="K18" s="39" t="n"/>
      <c r="L18" s="39" t="n"/>
      <c r="M18" s="39" t="n"/>
      <c r="N18" s="39" t="n"/>
      <c r="O18" s="37" t="inlineStr">
        <is>
          <t>Yes</t>
        </is>
      </c>
      <c r="P18" s="46" t="n"/>
      <c r="Q18" s="48" t="n"/>
      <c r="R18" s="40" t="n"/>
      <c r="S18" s="40" t="n"/>
      <c r="T18" s="39" t="n"/>
      <c r="U18" s="47" t="n"/>
      <c r="V18" s="39" t="n"/>
      <c r="W18" s="39" t="n"/>
      <c r="X18" s="39" t="n"/>
      <c r="Y18" s="39" t="n"/>
      <c r="Z18" s="40" t="n"/>
      <c r="AA18" s="40" t="n"/>
      <c r="AB18" s="46" t="n"/>
      <c r="AC18" s="39" t="n"/>
      <c r="AD18" s="36" t="inlineStr">
        <is>
          <t>AES Petersburg Unit 4 Repowered</t>
        </is>
      </c>
      <c r="AE18" s="38" t="inlineStr">
        <is>
          <t>Petersburg Generating Station Unit 4 coal-to-gas conversion; IURC Cause 46022 (Units 3 &amp; 4)</t>
        </is>
      </c>
      <c r="AF18" s="36" t="inlineStr">
        <is>
          <t>AES Indiana</t>
        </is>
      </c>
      <c r="AG18" s="38" t="inlineStr">
        <is>
          <t>Under Construction - Unit 4 conversion outage 2026</t>
        </is>
      </c>
      <c r="AH18" s="37" t="inlineStr">
        <is>
          <t>IOU</t>
        </is>
      </c>
      <c r="AI18" s="49">
        <f>AL18*1000*Guide!$B$81</f>
        <v/>
      </c>
      <c r="AJ18" s="50" t="n"/>
      <c r="AK18" s="45" t="n">
        <v>46387</v>
      </c>
      <c r="AL18" s="44" t="n">
        <v>526</v>
      </c>
      <c r="AM18" s="43" t="n"/>
      <c r="AN18" s="37" t="inlineStr">
        <is>
          <t>Power Generation</t>
        </is>
      </c>
      <c r="AO18" s="37" t="inlineStr">
        <is>
          <t>Generation</t>
        </is>
      </c>
      <c r="AP18" s="37" t="inlineStr">
        <is>
          <t>New Capacity/New Build</t>
        </is>
      </c>
      <c r="AQ18" s="37" t="inlineStr">
        <is>
          <t>Regulatory / Policy</t>
        </is>
      </c>
      <c r="AR18" s="37" t="inlineStr">
        <is>
          <t>Generation</t>
        </is>
      </c>
      <c r="AS18" s="38" t="inlineStr">
        <is>
          <t>Natural gas generation - electrical BoP (MV/LV power, tray/control &amp; instrumentation cable, substation)</t>
        </is>
      </c>
      <c r="AT18" s="37" t="inlineStr">
        <is>
          <t>Brownfield</t>
        </is>
      </c>
      <c r="AU18" s="37" t="inlineStr">
        <is>
          <t>Traditional</t>
        </is>
      </c>
      <c r="AV18" s="37" t="inlineStr">
        <is>
          <t>Natural Gas</t>
        </is>
      </c>
      <c r="AW18" s="37" t="inlineStr">
        <is>
          <t>No</t>
        </is>
      </c>
      <c r="AX18" s="38" t="inlineStr">
        <is>
          <t>State Road 57 (between IN-57 and White River)</t>
        </is>
      </c>
      <c r="AY18" s="36" t="inlineStr">
        <is>
          <t>Petersburg</t>
        </is>
      </c>
      <c r="AZ18" s="36" t="inlineStr">
        <is>
          <t>IN</t>
        </is>
      </c>
      <c r="BA18" s="36" t="inlineStr">
        <is>
          <t>47567</t>
        </is>
      </c>
      <c r="BB18" s="36" t="inlineStr">
        <is>
          <t>United States</t>
        </is>
      </c>
      <c r="BC18" s="36" t="inlineStr">
        <is>
          <t>Pike</t>
        </is>
      </c>
      <c r="BD18" s="40" t="n"/>
      <c r="BE18" s="36" t="inlineStr">
        <is>
          <t>AES Indiana</t>
        </is>
      </c>
      <c r="BF18" s="38" t="inlineStr">
        <is>
          <t>Babcock &amp; Wilcox (EPC) with CDM Smith (BOP EPC)</t>
        </is>
      </c>
      <c r="BG18" s="36" t="inlineStr">
        <is>
          <t>AES Indiana</t>
        </is>
      </c>
      <c r="BH18" s="39" t="n"/>
      <c r="BI18" s="38" t="inlineStr">
        <is>
          <t>Babcock &amp; Wilcox (burners, ignitors, controls)</t>
        </is>
      </c>
      <c r="BJ18" s="39" t="n"/>
      <c r="BK18" s="39" t="n"/>
      <c r="BL18" s="38" t="inlineStr">
        <is>
          <t>Midcontinent Independent System Operator (MISO)</t>
        </is>
      </c>
      <c r="BM18" s="36" t="inlineStr">
        <is>
          <t>AES Indiana</t>
        </is>
      </c>
      <c r="BN18" s="39" t="n"/>
      <c r="BO18" s="39" t="n"/>
      <c r="BP18" s="37" t="inlineStr">
        <is>
          <t>Yes</t>
        </is>
      </c>
      <c r="BQ18" s="37" t="inlineStr">
        <is>
          <t>Yes</t>
        </is>
      </c>
      <c r="BR18" s="37" t="inlineStr">
        <is>
          <t>Yes</t>
        </is>
      </c>
      <c r="BS18" s="37" t="inlineStr">
        <is>
          <t>No</t>
        </is>
      </c>
      <c r="BT18" s="37" t="inlineStr">
        <is>
          <t>No</t>
        </is>
      </c>
      <c r="BU18" s="37" t="inlineStr">
        <is>
          <t>No</t>
        </is>
      </c>
      <c r="BV18" s="37" t="inlineStr">
        <is>
          <t>No</t>
        </is>
      </c>
      <c r="BW18" s="37" t="inlineStr">
        <is>
          <t>Yes</t>
        </is>
      </c>
      <c r="BX18" s="43" t="n"/>
      <c r="BY18" s="39" t="n"/>
      <c r="BZ18" s="39" t="n"/>
      <c r="CA18" s="39" t="n"/>
      <c r="CB18" s="39" t="n"/>
      <c r="CC18" s="39" t="n"/>
      <c r="CD18" s="39" t="n"/>
      <c r="CE18" s="39" t="n"/>
      <c r="CF18" s="39" t="n"/>
      <c r="CG18" s="38" t="inlineStr">
        <is>
          <t>AWARD (PO) DATE BASIS: B&amp;W full NTP Nov 2024, CDM Smith BOP NTP Aug 2025; Unit 4 outage Jun-Oct 2026, COD end-2026 (B&amp;W: Q1 2027) -&gt; BOP cable likely bought Q3-Q4 2025; window passed. Remaining: Unit 4 punch-list/change orders. MW (526) from CRM - unverified. Other contacts: Chris Riker (SVP, B&amp;W Thermal); Todd Hillman (SVP, AES Indiana).</t>
        </is>
      </c>
      <c r="CH18" s="38" t="inlineStr">
        <is>
          <t>Chase remaining Unit 4 fill-in orders via B&amp;W Construction / CDM Smith; leverage for future B&amp;W coal-to-gas conversions.</t>
        </is>
      </c>
      <c r="CI18" s="38" t="inlineStr">
        <is>
          <t>OVERVIEW: Coal-to-natural-gas repowering of AES Indiana's Petersburg Unit 4 (with Unit 3), ending coal at the plant; IURC approved 5-0 Nov 2024 within AES's ~$1.1B Pike County package (incl. nearby 250 MW solar + 180 MWh storage). TECHNOLOGY &amp; EQUIPMENT: boiler fuel switch on existing 1986 coal unit (not new CTs) - new B&amp;W gas burners, ignitors and controls; gas heaters, flue-gas recirculation for NOx, process piping; new 1-mile Midwestern Gas Transmission lateral. SITE: BROWNFIELD - existing Petersburg coal generating station on the White River, Petersburg, Pike County. INTERCONNECTION: existing unit interconnection (no new gen-tie), MISO. OWNERSHIP/STATUS: AES Indiana; EPC Babcock &amp; Wilcox (B&amp;W Construction Co.), BOP by CDM Smith; Unit 3 outage Feb-May 2026, Unit 4 outage Jun-Oct 2026, COD end-2026/Q1 2027. INVESTMENT: ~$293M (excl. AFUDC). W&amp;C NEEDS (coal-to-gas boiler conversion): MV power cable for new gas heaters, FGR fans and modified auxiliaries; 600V power &amp; TC-ER tray cable for new burner management, ignitors, valves and BOP; shielded instrumentation &amp; control cable for burner management system/DCS tie-ins; grounding for new gas yard. Retrofit scope - smaller than a new build, outage-driven buying. Ref: https://www.babcock.com/home/about/corporate/news/babcock-and-wilcox-receives-full-notice-to-proceed-on-246-million-contract-for-indiana-power-plant-coal-to-gas-fuel-switching-project | https://www.cdmsmith.com/en/projects/aes-coal-to-gas | https://aesindiana.com/press-release/aes-indiana-receives-approval-repower-remaining-petersburg-units-coal-natural-gas</t>
        </is>
      </c>
      <c r="CJ18" s="38" t="inlineStr">
        <is>
          <t>Total project investment: ~$293M best estimate excl. AFUDC (IURC testimony; ~$246M B&amp;W contract covers Units 3 &amp; 4). Est. W&amp;C value: $4,208,000 ($8/kW).</t>
        </is>
      </c>
    </row>
    <row r="19" ht="23" customHeight="1">
      <c r="A19" s="36" t="inlineStr">
        <is>
          <t>Choi</t>
        </is>
      </c>
      <c r="B19" s="36" t="inlineStr">
        <is>
          <t>Logan</t>
        </is>
      </c>
      <c r="C19" s="36" t="inlineStr">
        <is>
          <t>Trumbull Energy Center</t>
        </is>
      </c>
      <c r="D19" s="37" t="inlineStr">
        <is>
          <t>Recycle</t>
        </is>
      </c>
      <c r="E19" s="37" t="inlineStr">
        <is>
          <t>Sales</t>
        </is>
      </c>
      <c r="F19" s="36" t="inlineStr">
        <is>
          <t>Stephan Hardt</t>
        </is>
      </c>
      <c r="G19" s="40" t="n"/>
      <c r="H19" s="36" t="inlineStr">
        <is>
          <t>President &amp; CEO</t>
        </is>
      </c>
      <c r="I19" s="37" t="inlineStr">
        <is>
          <t>End User</t>
        </is>
      </c>
      <c r="J19" s="37" t="inlineStr">
        <is>
          <t>Energy</t>
        </is>
      </c>
      <c r="K19" s="39" t="n"/>
      <c r="L19" s="39" t="n"/>
      <c r="M19" s="39" t="n"/>
      <c r="N19" s="39" t="n"/>
      <c r="O19" s="37" t="inlineStr">
        <is>
          <t>Yes</t>
        </is>
      </c>
      <c r="P19" s="46" t="n"/>
      <c r="Q19" s="48" t="n"/>
      <c r="R19" s="40" t="n"/>
      <c r="S19" s="40" t="n"/>
      <c r="T19" s="39" t="n"/>
      <c r="U19" s="47" t="n"/>
      <c r="V19" s="39" t="n"/>
      <c r="W19" s="39" t="n"/>
      <c r="X19" s="39" t="n"/>
      <c r="Y19" s="39" t="n"/>
      <c r="Z19" s="40" t="n"/>
      <c r="AA19" s="40" t="n"/>
      <c r="AB19" s="46" t="n"/>
      <c r="AC19" s="39" t="n"/>
      <c r="AD19" s="36" t="inlineStr">
        <is>
          <t>Trumbull Energy Center</t>
        </is>
      </c>
      <c r="AE19" s="38" t="inlineStr">
        <is>
          <t>Trumbull Energy Center (adjacent to Lordstown Energy Center); Clean Energy Future-Trumbull; PJM AB1-105</t>
        </is>
      </c>
      <c r="AF19" s="38" t="inlineStr">
        <is>
          <t>Clean Energy Future, LLC (KOSPO / KIND / Siemens Energy owners)</t>
        </is>
      </c>
      <c r="AG19" s="38" t="inlineStr">
        <is>
          <t>Operating - COD Jan 2026; completion ceremony Jun 24, 2026</t>
        </is>
      </c>
      <c r="AH19" s="37" t="inlineStr">
        <is>
          <t>IPP</t>
        </is>
      </c>
      <c r="AI19" s="49">
        <f>AL19*1000*Guide!$B$81</f>
        <v/>
      </c>
      <c r="AJ19" s="50" t="n"/>
      <c r="AK19" s="45" t="n">
        <v>46053</v>
      </c>
      <c r="AL19" s="44" t="n">
        <v>950</v>
      </c>
      <c r="AM19" s="44" t="n">
        <v>345</v>
      </c>
      <c r="AN19" s="37" t="inlineStr">
        <is>
          <t>Power Generation</t>
        </is>
      </c>
      <c r="AO19" s="37" t="inlineStr">
        <is>
          <t>Generation</t>
        </is>
      </c>
      <c r="AP19" s="37" t="inlineStr">
        <is>
          <t>New Capacity/New Build</t>
        </is>
      </c>
      <c r="AQ19" s="37" t="inlineStr">
        <is>
          <t>New Load Growth</t>
        </is>
      </c>
      <c r="AR19" s="37" t="inlineStr">
        <is>
          <t>Generation</t>
        </is>
      </c>
      <c r="AS19" s="38" t="inlineStr">
        <is>
          <t>Natural gas generation - electrical BoP (MV/LV power, tray/control &amp; instrumentation cable, substation)</t>
        </is>
      </c>
      <c r="AT19" s="37" t="inlineStr">
        <is>
          <t>Greenfield</t>
        </is>
      </c>
      <c r="AU19" s="37" t="inlineStr">
        <is>
          <t>Traditional</t>
        </is>
      </c>
      <c r="AV19" s="37" t="inlineStr">
        <is>
          <t>Natural Gas</t>
        </is>
      </c>
      <c r="AW19" s="37" t="inlineStr">
        <is>
          <t>No</t>
        </is>
      </c>
      <c r="AX19" s="36" t="inlineStr">
        <is>
          <t>7733 Tod Ave SW (third-party database)</t>
        </is>
      </c>
      <c r="AY19" s="36" t="inlineStr">
        <is>
          <t>Lordstown</t>
        </is>
      </c>
      <c r="AZ19" s="36" t="inlineStr">
        <is>
          <t>OH</t>
        </is>
      </c>
      <c r="BA19" s="36" t="inlineStr">
        <is>
          <t>44481</t>
        </is>
      </c>
      <c r="BB19" s="36" t="inlineStr">
        <is>
          <t>United States</t>
        </is>
      </c>
      <c r="BC19" s="36" t="inlineStr">
        <is>
          <t>Trumbull</t>
        </is>
      </c>
      <c r="BD19" s="40" t="n"/>
      <c r="BE19" s="38" t="inlineStr">
        <is>
          <t>Trumbull Energy Center owners (KOSPO, KIND, Siemens Energy)</t>
        </is>
      </c>
      <c r="BF19" s="36" t="inlineStr">
        <is>
          <t>Gemma Power Systems (Argan)</t>
        </is>
      </c>
      <c r="BG19" s="36" t="inlineStr">
        <is>
          <t>Clean Energy Future, LLC</t>
        </is>
      </c>
      <c r="BH19" s="39" t="n"/>
      <c r="BI19" s="38" t="inlineStr">
        <is>
          <t>Siemens Energy (2x SGT6-8000H GT, SST6-5000 ST); Hanwha fuel-gas compressors</t>
        </is>
      </c>
      <c r="BJ19" s="39" t="n"/>
      <c r="BK19" s="39" t="n"/>
      <c r="BL19" s="36" t="inlineStr">
        <is>
          <t>PJM Interconnection (PJM)</t>
        </is>
      </c>
      <c r="BM19" s="36" t="inlineStr">
        <is>
          <t>FirstEnergy (ATSI)</t>
        </is>
      </c>
      <c r="BN19" s="39" t="n"/>
      <c r="BO19" s="39" t="n"/>
      <c r="BP19" s="37" t="inlineStr">
        <is>
          <t>Yes</t>
        </is>
      </c>
      <c r="BQ19" s="37" t="inlineStr">
        <is>
          <t>Yes</t>
        </is>
      </c>
      <c r="BR19" s="37" t="inlineStr">
        <is>
          <t>Yes</t>
        </is>
      </c>
      <c r="BS19" s="37" t="inlineStr">
        <is>
          <t>No</t>
        </is>
      </c>
      <c r="BT19" s="37" t="inlineStr">
        <is>
          <t>No</t>
        </is>
      </c>
      <c r="BU19" s="37" t="inlineStr">
        <is>
          <t>No</t>
        </is>
      </c>
      <c r="BV19" s="37" t="inlineStr">
        <is>
          <t>No</t>
        </is>
      </c>
      <c r="BW19" s="37" t="inlineStr">
        <is>
          <t>Yes</t>
        </is>
      </c>
      <c r="BX19" s="43" t="n"/>
      <c r="BY19" s="39" t="n"/>
      <c r="BZ19" s="39" t="n"/>
      <c r="CA19" s="39" t="n"/>
      <c r="CB19" s="39" t="n"/>
      <c r="CC19" s="39" t="n"/>
      <c r="CD19" s="39" t="n"/>
      <c r="CE19" s="39" t="n"/>
      <c r="CF19" s="39" t="n"/>
      <c r="CG19" s="38" t="inlineStr">
        <is>
          <t>Operating since Jan 2026 - new-build window passed (cable bought ~2023 after Nov 2022 NTP). Re-target as MRO/outage account (Hanwha/Siemens O&amp;M) and use Gemma relationship for Argan pipeline (CPV Basin Ranch, Sandow Lakes). Developer is Clean Energy Future (William Siderewicz), not CPV. MW 940-977 by source.</t>
        </is>
      </c>
      <c r="CH19" s="38" t="inlineStr">
        <is>
          <t>Move to Closed/Operating; pursue MRO with plant team; leverage Gemma for current CCGT jobs.</t>
        </is>
      </c>
      <c r="CI19" s="38" t="inlineStr">
        <is>
          <t>OVERVIEW: ~940-953 MW (EIA 977 MW nameplate) baseload merchant combined-cycle plant next to the Lordstown Energy Center; commercial operation Jan 2026, completion celebrated Jun 24, 2026; framed around Midwest AI/data-center demand (no named offtaker). TECHNOLOGY &amp; EQUIPMENT: dual-fuel 2x2x1 combined cycle - 2x Siemens Energy SGT6-8000H gas turbines, 2x HRSGs, 1x Siemens SST6-5000 steam turbine; 3x Hanwha fuel-gas compressors (9-yr maintenance contract). SITE: ~127 acres in Lordstown, Trumbull County (7733 Tod Ave SW, Warren OH 44481 - third-party). INTERCONNECTION: PJM AB1-105, Highland-Hanna 345 kV line (ATSI/FirstEnergy). OWNERSHIP/STATUS: owners KOSPO, KIND and Siemens Energy; developer Clean Energy Future LLC; EPC Gemma Power Systems (full NTP Nov 2022). INVESTMENT: ~$1.2B. W&amp;C NEEDS: new-build scope complete; MRO/spares (MV, 600V, tray, instrumentation cable) for outages. Ref: https://www.tribtoday.com/news/local-news/2026/06/trumbull-energy-center-complete/ | https://www.gemmapower.com/our-work/combined-cycle/trumbull-energy-center/ | https://www.interconnection.fyi/project/pjm-ab1-105</t>
        </is>
      </c>
      <c r="CJ19" s="38" t="inlineStr">
        <is>
          <t>Total project investment: ~$1.2B. Est. W&amp;C value: $7,600,000 ($8/kW).</t>
        </is>
      </c>
    </row>
    <row r="20" ht="23" customHeight="1">
      <c r="A20" s="36" t="inlineStr">
        <is>
          <t>Zamarin</t>
        </is>
      </c>
      <c r="B20" s="36" t="inlineStr">
        <is>
          <t>Chad</t>
        </is>
      </c>
      <c r="C20" s="36" t="inlineStr">
        <is>
          <t>Williams</t>
        </is>
      </c>
      <c r="D20" s="37" t="inlineStr">
        <is>
          <t>Recycle</t>
        </is>
      </c>
      <c r="E20" s="37" t="inlineStr">
        <is>
          <t>Sales</t>
        </is>
      </c>
      <c r="F20" s="36" t="inlineStr">
        <is>
          <t>Stephan Hardt</t>
        </is>
      </c>
      <c r="G20" s="40" t="n"/>
      <c r="H20" s="36" t="inlineStr">
        <is>
          <t>President &amp; CEO</t>
        </is>
      </c>
      <c r="I20" s="37" t="inlineStr">
        <is>
          <t>End User</t>
        </is>
      </c>
      <c r="J20" s="37" t="inlineStr">
        <is>
          <t>Energy</t>
        </is>
      </c>
      <c r="K20" s="39" t="n"/>
      <c r="L20" s="39" t="n"/>
      <c r="M20" s="39" t="n"/>
      <c r="N20" s="39" t="n"/>
      <c r="O20" s="37" t="inlineStr">
        <is>
          <t>Yes</t>
        </is>
      </c>
      <c r="P20" s="46" t="n"/>
      <c r="Q20" s="48" t="n"/>
      <c r="R20" s="40" t="n"/>
      <c r="S20" s="40" t="n"/>
      <c r="T20" s="39" t="n"/>
      <c r="U20" s="47" t="n"/>
      <c r="V20" s="39" t="n"/>
      <c r="W20" s="39" t="n"/>
      <c r="X20" s="39" t="n"/>
      <c r="Y20" s="39" t="n"/>
      <c r="Z20" s="40" t="n"/>
      <c r="AA20" s="40" t="n"/>
      <c r="AB20" s="46" t="n"/>
      <c r="AC20" s="39" t="n"/>
      <c r="AD20" s="36" t="inlineStr">
        <is>
          <t>Socrates South Power Generation</t>
        </is>
      </c>
      <c r="AE20" s="38" t="inlineStr">
        <is>
          <t>Socrates South (Williams Power Innovation); OPSB 25-0185-EL-BLN</t>
        </is>
      </c>
      <c r="AF20" s="36" t="inlineStr">
        <is>
          <t>Will-Power OH, LLC (Williams)</t>
        </is>
      </c>
      <c r="AG20" s="38" t="inlineStr">
        <is>
          <t>Operating - placed in service late Jul 2026</t>
        </is>
      </c>
      <c r="AH20" s="37" t="inlineStr">
        <is>
          <t>IPP</t>
        </is>
      </c>
      <c r="AI20" s="49">
        <f>AL20*1000*Guide!$B$81</f>
        <v/>
      </c>
      <c r="AJ20" s="50" t="n"/>
      <c r="AK20" s="45" t="n">
        <v>46234</v>
      </c>
      <c r="AL20" s="44" t="n">
        <v>200</v>
      </c>
      <c r="AM20" s="43" t="n"/>
      <c r="AN20" s="37" t="inlineStr">
        <is>
          <t>Power Generation</t>
        </is>
      </c>
      <c r="AO20" s="37" t="inlineStr">
        <is>
          <t>Generation</t>
        </is>
      </c>
      <c r="AP20" s="37" t="inlineStr">
        <is>
          <t>New Capacity/New Build</t>
        </is>
      </c>
      <c r="AQ20" s="37" t="inlineStr">
        <is>
          <t>Load Interconnection</t>
        </is>
      </c>
      <c r="AR20" s="37" t="inlineStr">
        <is>
          <t>Generation</t>
        </is>
      </c>
      <c r="AS20" s="38" t="inlineStr">
        <is>
          <t>Natural gas generation - electrical BoP (MV/LV power, tray/control &amp; instrumentation cable, substation)</t>
        </is>
      </c>
      <c r="AT20" s="37" t="inlineStr">
        <is>
          <t>Greenfield</t>
        </is>
      </c>
      <c r="AU20" s="37" t="inlineStr">
        <is>
          <t>Traditional</t>
        </is>
      </c>
      <c r="AV20" s="37" t="inlineStr">
        <is>
          <t>Natural Gas</t>
        </is>
      </c>
      <c r="AW20" s="37" t="inlineStr">
        <is>
          <t>Yes</t>
        </is>
      </c>
      <c r="AX20" s="38" t="inlineStr">
        <is>
          <t>New Albany International Business Park (near Morse Rd &amp; Mink St)</t>
        </is>
      </c>
      <c r="AY20" s="36" t="inlineStr">
        <is>
          <t>New Albany</t>
        </is>
      </c>
      <c r="AZ20" s="36" t="inlineStr">
        <is>
          <t>OH</t>
        </is>
      </c>
      <c r="BA20" s="39" t="n"/>
      <c r="BB20" s="36" t="inlineStr">
        <is>
          <t>United States</t>
        </is>
      </c>
      <c r="BC20" s="36" t="inlineStr">
        <is>
          <t>Licking</t>
        </is>
      </c>
      <c r="BD20" s="40" t="n"/>
      <c r="BE20" s="36" t="inlineStr">
        <is>
          <t>Will-Power OH, LLC</t>
        </is>
      </c>
      <c r="BF20" s="39" t="n"/>
      <c r="BG20" s="38" t="inlineStr">
        <is>
          <t>Williams (Power Innovation JV; Blackstone 49%)</t>
        </is>
      </c>
      <c r="BH20" s="39" t="n"/>
      <c r="BI20" s="38" t="inlineStr">
        <is>
          <t>Solar Titan 250 / PGM 130, Siemens SGT-400, Caterpillar 3520 engines (filed fleet)</t>
        </is>
      </c>
      <c r="BJ20" s="39" t="n"/>
      <c r="BK20" s="39" t="n"/>
      <c r="BL20" s="36" t="inlineStr">
        <is>
          <t>None - behind the meter (off-grid)</t>
        </is>
      </c>
      <c r="BM20" s="36" t="inlineStr">
        <is>
          <t>None (islanded microgrid serving Meta)</t>
        </is>
      </c>
      <c r="BN20" s="39" t="n"/>
      <c r="BO20" s="39" t="n"/>
      <c r="BP20" s="37" t="inlineStr">
        <is>
          <t>Yes</t>
        </is>
      </c>
      <c r="BQ20" s="37" t="inlineStr">
        <is>
          <t>Yes</t>
        </is>
      </c>
      <c r="BR20" s="37" t="inlineStr">
        <is>
          <t>Yes</t>
        </is>
      </c>
      <c r="BS20" s="37" t="inlineStr">
        <is>
          <t>No</t>
        </is>
      </c>
      <c r="BT20" s="37" t="inlineStr">
        <is>
          <t>No</t>
        </is>
      </c>
      <c r="BU20" s="37" t="inlineStr">
        <is>
          <t>No</t>
        </is>
      </c>
      <c r="BV20" s="37" t="inlineStr">
        <is>
          <t>No</t>
        </is>
      </c>
      <c r="BW20" s="37" t="inlineStr">
        <is>
          <t>Yes</t>
        </is>
      </c>
      <c r="BX20" s="43" t="n"/>
      <c r="BY20" s="39" t="n"/>
      <c r="BZ20" s="39" t="n"/>
      <c r="CA20" s="39" t="n"/>
      <c r="CB20" s="39" t="n"/>
      <c r="CC20" s="39" t="n"/>
      <c r="CD20" s="39" t="n"/>
      <c r="CE20" s="39" t="n"/>
      <c r="CF20" s="39" t="n"/>
      <c r="CG20" s="38" t="inlineStr">
        <is>
          <t>Operating since late Jul 2026 (~14 months site-to-power) - window passed. Use as reference case to get on Williams approved-vendor list for its next Power Innovation behind-the-meter projects (Blackstone JV covers 5 projects). EPC not public (check OPSB dockets).</t>
        </is>
      </c>
      <c r="CH20" s="38" t="inlineStr">
        <is>
          <t>Mark Closed; pursue Williams Power Innovation follow-on sites; find EPC via OPSB 25-0185 docket.</t>
        </is>
      </c>
      <c r="CI20" s="38" t="inlineStr">
        <is>
          <t>OVERVIEW: 200 MW behind-the-meter gas generation plant dedicated to Meta (Sidecat LLC) at the New Albany data-center campus (Prometheus AI cluster) under a 10-yr fixed-price deal (+5-yr option); in service late Jul 2026, on time and on budget. TECHNOLOGY &amp; EQUIPMENT: simple-cycle aeroderivative/industrial turbines + reciprocating engines - filed fleet 3x Solar Titan 250, 9x PGM 130, 3x Siemens SGT-400, 15x Caterpillar 3520 engines, 8x Cat C15 500 kW diesel backup (split between North/South not public). SITE: GREENFIELD - ~20 acres in New Albany International Business Park, Licking County; two 24-inch gas laterals. INTERCONNECTION: no grid connection (OPSB condition) - on-site switching/internal substations feed Meta's adjacent campus. OWNERSHIP/STATUS: Will-Power OH LLC (Williams); Blackstone holds 49% of Power Innovation JV. INVESTMENT: ~$1.6B (North + South + pipeline).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Status: built - MRO and follow-on sites. Ref: https://www.sec.gov/Archives/edgar/data/0000107263/000010726326000026/wmb-20260630.htm | https://www.power-eng.com/onsite-power/onsite-gas-turbines-reciprocating-engines-to-power-meta-data-center/ | https://www.williams.com/wp-content/uploads/sites/14/2026/02/Socrates-North-and-South-Fact-Sheet-1.pdf</t>
        </is>
      </c>
      <c r="CJ20" s="38" t="inlineStr">
        <is>
          <t>Total project investment: ~$1.6B for Socrates North + South incl. pipeline (Williams Q1 2025). Est. W&amp;C value: $1,600,000 ($8/kW).</t>
        </is>
      </c>
    </row>
    <row r="21" ht="23" customHeight="1">
      <c r="A21" s="36" t="inlineStr">
        <is>
          <t>Zamarin</t>
        </is>
      </c>
      <c r="B21" s="36" t="inlineStr">
        <is>
          <t>Chad</t>
        </is>
      </c>
      <c r="C21" s="36" t="inlineStr">
        <is>
          <t>Williams</t>
        </is>
      </c>
      <c r="D21" s="37" t="inlineStr">
        <is>
          <t>New</t>
        </is>
      </c>
      <c r="E21" s="37" t="inlineStr">
        <is>
          <t>Sales</t>
        </is>
      </c>
      <c r="F21" s="36" t="inlineStr">
        <is>
          <t>Stephan Hardt</t>
        </is>
      </c>
      <c r="G21" s="40" t="n"/>
      <c r="H21" s="36" t="inlineStr">
        <is>
          <t>President &amp; CEO</t>
        </is>
      </c>
      <c r="I21" s="37" t="inlineStr">
        <is>
          <t>End User</t>
        </is>
      </c>
      <c r="J21" s="37" t="inlineStr">
        <is>
          <t>Energy</t>
        </is>
      </c>
      <c r="K21" s="39" t="n"/>
      <c r="L21" s="39" t="n"/>
      <c r="M21" s="39" t="n"/>
      <c r="N21" s="39" t="n"/>
      <c r="O21" s="37" t="inlineStr">
        <is>
          <t>Yes</t>
        </is>
      </c>
      <c r="P21" s="46" t="n"/>
      <c r="Q21" s="48" t="n"/>
      <c r="R21" s="40" t="n"/>
      <c r="S21" s="40" t="n"/>
      <c r="T21" s="39" t="n"/>
      <c r="U21" s="47" t="n"/>
      <c r="V21" s="39" t="n"/>
      <c r="W21" s="39" t="n"/>
      <c r="X21" s="39" t="n"/>
      <c r="Y21" s="39" t="n"/>
      <c r="Z21" s="40" t="n"/>
      <c r="AA21" s="40" t="n"/>
      <c r="AB21" s="46" t="n"/>
      <c r="AC21" s="39" t="n"/>
      <c r="AD21" s="36" t="inlineStr">
        <is>
          <t>Socrates North Power Generation</t>
        </is>
      </c>
      <c r="AE21" s="38" t="inlineStr">
        <is>
          <t>Socrates North (Williams Power Innovation); OPSB 25-0188-EL-BGN</t>
        </is>
      </c>
      <c r="AF21" s="36" t="inlineStr">
        <is>
          <t>Will-Power OH, LLC (Williams)</t>
        </is>
      </c>
      <c r="AG21" s="38" t="inlineStr">
        <is>
          <t>Under Construction - in service expected Q4 2026</t>
        </is>
      </c>
      <c r="AH21" s="37" t="inlineStr">
        <is>
          <t>IPP</t>
        </is>
      </c>
      <c r="AI21" s="49">
        <f>AL21*1000*Guide!$B$81</f>
        <v/>
      </c>
      <c r="AJ21" s="50" t="n"/>
      <c r="AK21" s="45" t="n">
        <v>46387</v>
      </c>
      <c r="AL21" s="44" t="n">
        <v>200</v>
      </c>
      <c r="AM21" s="43" t="n"/>
      <c r="AN21" s="37" t="inlineStr">
        <is>
          <t>Power Generation</t>
        </is>
      </c>
      <c r="AO21" s="37" t="inlineStr">
        <is>
          <t>Generation</t>
        </is>
      </c>
      <c r="AP21" s="37" t="inlineStr">
        <is>
          <t>New Capacity/New Build</t>
        </is>
      </c>
      <c r="AQ21" s="37" t="inlineStr">
        <is>
          <t>Load Interconnection</t>
        </is>
      </c>
      <c r="AR21" s="37" t="inlineStr">
        <is>
          <t>Generation</t>
        </is>
      </c>
      <c r="AS21" s="38" t="inlineStr">
        <is>
          <t>Natural gas generation - electrical BoP (MV/LV power, tray/control &amp; instrumentation cable, substation)</t>
        </is>
      </c>
      <c r="AT21" s="37" t="inlineStr">
        <is>
          <t>Greenfield</t>
        </is>
      </c>
      <c r="AU21" s="37" t="inlineStr">
        <is>
          <t>Traditional</t>
        </is>
      </c>
      <c r="AV21" s="37" t="inlineStr">
        <is>
          <t>Natural Gas</t>
        </is>
      </c>
      <c r="AW21" s="37" t="inlineStr">
        <is>
          <t>Yes</t>
        </is>
      </c>
      <c r="AX21" s="38" t="inlineStr">
        <is>
          <t>New Albany, Licking County (~20-acre site)</t>
        </is>
      </c>
      <c r="AY21" s="36" t="inlineStr">
        <is>
          <t>New Albany</t>
        </is>
      </c>
      <c r="AZ21" s="36" t="inlineStr">
        <is>
          <t>OH</t>
        </is>
      </c>
      <c r="BA21" s="39" t="n"/>
      <c r="BB21" s="36" t="inlineStr">
        <is>
          <t>United States</t>
        </is>
      </c>
      <c r="BC21" s="36" t="inlineStr">
        <is>
          <t>Licking</t>
        </is>
      </c>
      <c r="BD21" s="40" t="n"/>
      <c r="BE21" s="36" t="inlineStr">
        <is>
          <t>Will-Power OH, LLC</t>
        </is>
      </c>
      <c r="BF21" s="39" t="n"/>
      <c r="BG21" s="38" t="inlineStr">
        <is>
          <t>Williams (Power Innovation JV; Blackstone 49%)</t>
        </is>
      </c>
      <c r="BH21" s="39" t="n"/>
      <c r="BI21" s="38" t="inlineStr">
        <is>
          <t>Same turbine/recip fleet as Socrates South + BESS (~173 MW reported)</t>
        </is>
      </c>
      <c r="BJ21" s="39" t="n"/>
      <c r="BK21" s="39" t="n"/>
      <c r="BL21" s="36" t="inlineStr">
        <is>
          <t>None - behind the meter (off-grid)</t>
        </is>
      </c>
      <c r="BM21" s="36" t="inlineStr">
        <is>
          <t>None (islanded microgrid serving Meta)</t>
        </is>
      </c>
      <c r="BN21" s="39" t="n"/>
      <c r="BO21" s="39" t="n"/>
      <c r="BP21" s="37" t="inlineStr">
        <is>
          <t>Yes</t>
        </is>
      </c>
      <c r="BQ21" s="37" t="inlineStr">
        <is>
          <t>Yes</t>
        </is>
      </c>
      <c r="BR21" s="37" t="inlineStr">
        <is>
          <t>Yes</t>
        </is>
      </c>
      <c r="BS21" s="37" t="inlineStr">
        <is>
          <t>No</t>
        </is>
      </c>
      <c r="BT21" s="37" t="inlineStr">
        <is>
          <t>No</t>
        </is>
      </c>
      <c r="BU21" s="37" t="inlineStr">
        <is>
          <t>No</t>
        </is>
      </c>
      <c r="BV21" s="37" t="inlineStr">
        <is>
          <t>No</t>
        </is>
      </c>
      <c r="BW21" s="37" t="inlineStr">
        <is>
          <t>Yes</t>
        </is>
      </c>
      <c r="BX21" s="43" t="n"/>
      <c r="BY21" s="39" t="n"/>
      <c r="BZ21" s="39" t="n"/>
      <c r="CA21" s="39" t="n"/>
      <c r="CB21" s="39" t="n"/>
      <c r="CC21" s="39" t="n"/>
      <c r="CD21" s="39" t="n"/>
      <c r="CE21" s="39" t="n"/>
      <c r="CF21" s="39" t="n"/>
      <c r="CG21" s="38" t="inlineStr">
        <is>
          <t>AWARD (PO) DATE BASIS: OPSB approval Sep 18, 2025 + ~14-month fast track -&gt; main cable likely awarded Q3-Q4 2025; window passed. Only possible open scope: BESS amendment (check OPSB docket timing). Williams 10-Q gives 556 MW combined North+South.</t>
        </is>
      </c>
      <c r="CH21" s="38" t="inlineStr">
        <is>
          <t>Check OPSB 25-0188 BESS amendment for remaining cable; target Williams next Power Innovation sites.</t>
        </is>
      </c>
      <c r="CI21" s="38" t="inlineStr">
        <is>
          <t>OVERVIEW: second 200 MW behind-the-meter gas plant for Meta's New Albany campus (Phase 2), on track for Q4 2026 per Williams; BESS amendment pending. TECHNOLOGY &amp; EQUIPMENT: simple-cycle aeroderivative/industrial gas turbines + reciprocating engines (same design as Socrates South) plus planned battery storage (~173 MW reported across project). SITE: GREENFIELD - ~20 acres, New Albany, Licking County. INTERCONNECTION: behind the meter, no grid connection; on-site substation. OWNERSHIP/STATUS: Will-Power OH LLC (Williams); OPSB approved Sep 18, 2025. INVESTMENT: part of ~$1.6B program.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Plus BESS DC/AC collection cable if amendment proceeds. Ref: https://opsb.ohio.gov/cases/25-0188-el-bgn | https://investor.williams.com/news-releases/news-release-details/williams-delivers-strong-second-quarter-2026-results-announces</t>
        </is>
      </c>
      <c r="CJ21" s="38" t="inlineStr">
        <is>
          <t>Total project investment: Included in ~$1.6B Socrates program. Est. W&amp;C value: $1,600,000 ($8/kW).</t>
        </is>
      </c>
    </row>
    <row r="22" ht="23" customHeight="1">
      <c r="A22" s="36" t="inlineStr">
        <is>
          <t>Hessen</t>
        </is>
      </c>
      <c r="B22" s="36" t="inlineStr">
        <is>
          <t>Corey</t>
        </is>
      </c>
      <c r="C22" s="36" t="inlineStr">
        <is>
          <t>Homer City Redevelopment</t>
        </is>
      </c>
      <c r="D22" s="37" t="inlineStr">
        <is>
          <t>New</t>
        </is>
      </c>
      <c r="E22" s="37" t="inlineStr">
        <is>
          <t>Sales</t>
        </is>
      </c>
      <c r="F22" s="36" t="inlineStr">
        <is>
          <t>Stephan Hardt</t>
        </is>
      </c>
      <c r="G22" s="40" t="n"/>
      <c r="H22" s="36" t="inlineStr">
        <is>
          <t>CEO</t>
        </is>
      </c>
      <c r="I22" s="37" t="inlineStr">
        <is>
          <t>End User</t>
        </is>
      </c>
      <c r="J22" s="37" t="inlineStr">
        <is>
          <t>Energy</t>
        </is>
      </c>
      <c r="K22" s="39" t="n"/>
      <c r="L22" s="39" t="n"/>
      <c r="M22" s="39" t="n"/>
      <c r="N22" s="39" t="n"/>
      <c r="O22" s="37" t="inlineStr">
        <is>
          <t>Yes</t>
        </is>
      </c>
      <c r="P22" s="46" t="n"/>
      <c r="Q22" s="48" t="n"/>
      <c r="R22" s="40" t="n"/>
      <c r="S22" s="40" t="n"/>
      <c r="T22" s="39" t="n"/>
      <c r="U22" s="47" t="n"/>
      <c r="V22" s="39" t="n"/>
      <c r="W22" s="39" t="n"/>
      <c r="X22" s="39" t="n"/>
      <c r="Y22" s="39" t="n"/>
      <c r="Z22" s="40" t="n"/>
      <c r="AA22" s="40" t="n"/>
      <c r="AB22" s="46" t="n"/>
      <c r="AC22" s="39" t="n"/>
      <c r="AD22" s="36" t="inlineStr">
        <is>
          <t>Homer City Energy Campus</t>
        </is>
      </c>
      <c r="AE22" s="38" t="inlineStr">
        <is>
          <t>Homer City Generation, L.P.; legacy Homer City Generating Station site</t>
        </is>
      </c>
      <c r="AF22" s="38" t="inlineStr">
        <is>
          <t>Homer City Redevelopment (Homer City Generation, L.P.)</t>
        </is>
      </c>
      <c r="AG22" s="38" t="inlineStr">
        <is>
          <t>Under Construction - HRSGs installed, first GT set Oct 2026; 2,000+ workers</t>
        </is>
      </c>
      <c r="AH22" s="37" t="inlineStr">
        <is>
          <t>IPP</t>
        </is>
      </c>
      <c r="AI22" s="49">
        <f>AL22*1000*Guide!$B$81</f>
        <v/>
      </c>
      <c r="AJ22" s="50" t="n"/>
      <c r="AK22" s="45" t="n">
        <v>46752</v>
      </c>
      <c r="AL22" s="44" t="n">
        <v>4400</v>
      </c>
      <c r="AM22" s="43" t="n"/>
      <c r="AN22" s="37" t="inlineStr">
        <is>
          <t>Power Generation</t>
        </is>
      </c>
      <c r="AO22" s="37" t="inlineStr">
        <is>
          <t>Generation</t>
        </is>
      </c>
      <c r="AP22" s="37" t="inlineStr">
        <is>
          <t>New Capacity/New Build</t>
        </is>
      </c>
      <c r="AQ22" s="37" t="inlineStr">
        <is>
          <t>Load Interconnection</t>
        </is>
      </c>
      <c r="AR22" s="37" t="inlineStr">
        <is>
          <t>Generation</t>
        </is>
      </c>
      <c r="AS22" s="38" t="inlineStr">
        <is>
          <t>Natural gas generation - electrical BoP (MV/LV power, tray/control &amp; instrumentation cable, substation)</t>
        </is>
      </c>
      <c r="AT22" s="37" t="inlineStr">
        <is>
          <t>Brownfield</t>
        </is>
      </c>
      <c r="AU22" s="37" t="inlineStr">
        <is>
          <t>Traditional</t>
        </is>
      </c>
      <c r="AV22" s="37" t="inlineStr">
        <is>
          <t>Natural Gas</t>
        </is>
      </c>
      <c r="AW22" s="37" t="inlineStr">
        <is>
          <t>Yes</t>
        </is>
      </c>
      <c r="AX22" s="36" t="inlineStr">
        <is>
          <t>Former Homer City Generating Station</t>
        </is>
      </c>
      <c r="AY22" s="36" t="inlineStr">
        <is>
          <t>Homer City</t>
        </is>
      </c>
      <c r="AZ22" s="36" t="inlineStr">
        <is>
          <t>PA</t>
        </is>
      </c>
      <c r="BA22" s="39" t="n"/>
      <c r="BB22" s="36" t="inlineStr">
        <is>
          <t>United States</t>
        </is>
      </c>
      <c r="BC22" s="36" t="inlineStr">
        <is>
          <t>Indiana</t>
        </is>
      </c>
      <c r="BD22" s="40" t="n"/>
      <c r="BE22" s="38" t="inlineStr">
        <is>
          <t>Homer City Redevelopment (Knighthead Capital-led)</t>
        </is>
      </c>
      <c r="BF22" s="36" t="inlineStr">
        <is>
          <t>Kiewit Power Constructors Co.</t>
        </is>
      </c>
      <c r="BG22" s="38" t="inlineStr">
        <is>
          <t>Homer City Redevelopment (Knighthead Capital)</t>
        </is>
      </c>
      <c r="BH22" s="39" t="n"/>
      <c r="BI22" s="36" t="inlineStr">
        <is>
          <t>GE Vernova (7x 7HA.02 gas turbines)</t>
        </is>
      </c>
      <c r="BJ22" s="39" t="n"/>
      <c r="BK22" s="39" t="n"/>
      <c r="BL22" s="36" t="inlineStr">
        <is>
          <t>PJM Interconnection (PJM)</t>
        </is>
      </c>
      <c r="BM22" s="36" t="inlineStr">
        <is>
          <t>FirstEnergy (Penelec area)</t>
        </is>
      </c>
      <c r="BN22" s="39" t="n"/>
      <c r="BO22" s="39" t="n"/>
      <c r="BP22" s="37" t="inlineStr">
        <is>
          <t>Yes</t>
        </is>
      </c>
      <c r="BQ22" s="37" t="inlineStr">
        <is>
          <t>Yes</t>
        </is>
      </c>
      <c r="BR22" s="37" t="inlineStr">
        <is>
          <t>Yes</t>
        </is>
      </c>
      <c r="BS22" s="37" t="inlineStr">
        <is>
          <t>No</t>
        </is>
      </c>
      <c r="BT22" s="37" t="inlineStr">
        <is>
          <t>No</t>
        </is>
      </c>
      <c r="BU22" s="37" t="inlineStr">
        <is>
          <t>No</t>
        </is>
      </c>
      <c r="BV22" s="37" t="inlineStr">
        <is>
          <t>No</t>
        </is>
      </c>
      <c r="BW22" s="37" t="inlineStr">
        <is>
          <t>Yes</t>
        </is>
      </c>
      <c r="BX22" s="43" t="n"/>
      <c r="BY22" s="39" t="n"/>
      <c r="BZ22" s="39" t="n"/>
      <c r="CA22" s="39" t="n"/>
      <c r="CB22" s="39" t="n"/>
      <c r="CC22" s="39" t="n"/>
      <c r="CD22" s="39" t="n"/>
      <c r="CE22" s="39" t="n"/>
      <c r="CF22" s="39" t="n"/>
      <c r="CG22" s="38" t="inlineStr">
        <is>
          <t>AWARD (PO) DATE BASIS: Kiewit on site since Oct 2025, HRSG delivery Sep-Oct 2026, first GT set Oct 2026, first power late 2027/early 2028 -&gt; main power-block cable POs very likely placed; remaining releases/change orders through Q1 2027. Bigger long-tail: Amazon 36-building data-center campus plan (construction from Dec 2026, build-out to 2036; tabled by county Sep 2026). Other contacts: Brian Reinhart (VP, Kiewit Power Constructors); Kiewit vendor inbox HomerCity.Info@Kiewit.com; press@homercityredevelopment.com.</t>
        </is>
      </c>
      <c r="CH22" s="38" t="inlineStr">
        <is>
          <t>Call Kiewit procurement for remaining power-block MV/LV/control releases; pivot to Amazon data-center phases.</t>
        </is>
      </c>
      <c r="CI22" s="38" t="inlineStr">
        <is>
          <t>OVERVIEW: ~4.4-4.5 GW natural-gas power plant + AI data-center campus - the largest gas-powered data-center campus in the U.S. - on the former Homer City coal station; Amazon Data Services has filed a preliminary plan for a 36-building data-center campus (phased Dec 2026-2036). TECHNOLOGY &amp; EQUIPMENT: 7x GE Vernova 7HA.02 hydrogen-capable gas turbines in combined cycle with HRSGs (15 HRSG components delivered Sep-Oct 2026); GIS switchgear building (first steel Apr 2026); possible additional simple-cycle units (unverified). SITE: BROWNFIELD - ~3,200-acre former Homer City coal generating station, Indiana County; demolition/excavation completed Jun 2026; reuses legacy transmission lines and substations. INTERCONNECTION: PJM via new GIS switchyard (existing PJM/NYISO ties); supplies campus behind-the-meter and grid. OWNERSHIP/STATUS: Homer City Redevelopment (Knighthead Capital), EQT gas supply; EPC Kiewit Power Constructors (on site Oct 2025, 1,000 workers Mar 2026, 2,000+ Oct 2026); first power late 2027/early 2028. INVESTMENT: &gt;$10B. W&amp;C NEEDS (combined cycle, 7 blocks): MV power cable to aux transformers, MV switchgear and large motors; 600V power &amp; TC-ER tray cable for HRSG/ST auxiliaries and BOP; shielded I&amp;C cable; bare copper grounding; GIS/switchyard control cable; building wire - plus data-center campus MV distribution, building wire and grounding for 36 buildings (separate long-tail opportunity). Ref: https://www.businesswire.com/news/home/20260401716982/en/Homer-City-Redevelopment-Crosses-the-First-Steel-Threshold | https://www.gevernova.com/news/press-releases/homer-city-redevelopment-kiewit-announce-country-largest-natural-gas-powered-data-center-support-ai-hpc-demand | https://marcellusdrilling.com/2026/10/homer-city-update-first-turbine-set-amazon-plan-now-under-review/</t>
        </is>
      </c>
      <c r="CJ22" s="38" t="inlineStr">
        <is>
          <t>Total project investment: &gt;$10B initial capital for power infrastructure and site readiness. Est. W&amp;C value: $35,200,000 ($8/kW).</t>
        </is>
      </c>
    </row>
    <row r="23" ht="23" customHeight="1">
      <c r="A23" s="36" t="inlineStr">
        <is>
          <t>Ross III</t>
        </is>
      </c>
      <c r="B23" s="36" t="inlineStr">
        <is>
          <t>Edward "Ned"</t>
        </is>
      </c>
      <c r="C23" s="36" t="inlineStr">
        <is>
          <t>Sandow Lakes Energy Company</t>
        </is>
      </c>
      <c r="D23" s="37" t="inlineStr">
        <is>
          <t>New</t>
        </is>
      </c>
      <c r="E23" s="37" t="inlineStr">
        <is>
          <t>Sales</t>
        </is>
      </c>
      <c r="F23" s="36" t="inlineStr">
        <is>
          <t>Stephan Hardt</t>
        </is>
      </c>
      <c r="G23" s="40" t="n"/>
      <c r="H23" s="36" t="inlineStr">
        <is>
          <t>Executive Vice President</t>
        </is>
      </c>
      <c r="I23" s="37" t="inlineStr">
        <is>
          <t>End User</t>
        </is>
      </c>
      <c r="J23" s="37" t="inlineStr">
        <is>
          <t>Energy</t>
        </is>
      </c>
      <c r="K23" s="39" t="n"/>
      <c r="L23" s="39" t="n"/>
      <c r="M23" s="39" t="n"/>
      <c r="N23" s="39" t="n"/>
      <c r="O23" s="37" t="inlineStr">
        <is>
          <t>Yes</t>
        </is>
      </c>
      <c r="P23" s="46" t="n"/>
      <c r="Q23" s="48" t="n"/>
      <c r="R23" s="40" t="n"/>
      <c r="S23" s="40" t="n"/>
      <c r="T23" s="39" t="n"/>
      <c r="U23" s="47" t="n"/>
      <c r="V23" s="39" t="n"/>
      <c r="W23" s="39" t="n"/>
      <c r="X23" s="39" t="n"/>
      <c r="Y23" s="39" t="n"/>
      <c r="Z23" s="40" t="n"/>
      <c r="AA23" s="40" t="n"/>
      <c r="AB23" s="46" t="n"/>
      <c r="AC23" s="39" t="n"/>
      <c r="AD23" s="36" t="inlineStr">
        <is>
          <t>Sandow Lakes Energy Station</t>
        </is>
      </c>
      <c r="AE23" s="38" t="inlineStr">
        <is>
          <t>SL Energy Power Plant I, LLC; ERCOT/EIA 68504; Sandow Lakes CC (CRM Luminant Phase 1/2 duplicates)</t>
        </is>
      </c>
      <c r="AF23" s="36" t="inlineStr">
        <is>
          <t>Sandow Lakes Energy Company (SLEC)</t>
        </is>
      </c>
      <c r="AG23" s="38" t="inlineStr">
        <is>
          <t>EPC NTP Apr 2025; construction status unclear (sold Apr 2026 per Xebec bio)</t>
        </is>
      </c>
      <c r="AH23" s="37" t="inlineStr">
        <is>
          <t>IPP</t>
        </is>
      </c>
      <c r="AI23" s="49">
        <f>AL23*1000*Guide!$B$81</f>
        <v/>
      </c>
      <c r="AJ23" s="50" t="n"/>
      <c r="AK23" s="45" t="n">
        <v>47088</v>
      </c>
      <c r="AL23" s="44" t="n">
        <v>1200</v>
      </c>
      <c r="AM23" s="44" t="n">
        <v>345</v>
      </c>
      <c r="AN23" s="37" t="inlineStr">
        <is>
          <t>Power Generation</t>
        </is>
      </c>
      <c r="AO23" s="37" t="inlineStr">
        <is>
          <t>Generation</t>
        </is>
      </c>
      <c r="AP23" s="37" t="inlineStr">
        <is>
          <t>New Capacity/New Build</t>
        </is>
      </c>
      <c r="AQ23" s="37" t="inlineStr">
        <is>
          <t>Load Interconnection</t>
        </is>
      </c>
      <c r="AR23" s="37" t="inlineStr">
        <is>
          <t>Generation</t>
        </is>
      </c>
      <c r="AS23" s="38" t="inlineStr">
        <is>
          <t>Natural gas generation - electrical BoP (MV/LV power, tray/control &amp; instrumentation cable, substation)</t>
        </is>
      </c>
      <c r="AT23" s="37" t="inlineStr">
        <is>
          <t>Brownfield</t>
        </is>
      </c>
      <c r="AU23" s="37" t="inlineStr">
        <is>
          <t>Traditional</t>
        </is>
      </c>
      <c r="AV23" s="37" t="inlineStr">
        <is>
          <t>Natural Gas</t>
        </is>
      </c>
      <c r="AW23" s="37" t="inlineStr">
        <is>
          <t>Yes</t>
        </is>
      </c>
      <c r="AX23" s="36" t="inlineStr">
        <is>
          <t>Former Alcoa Sandow Lakes Ranch</t>
        </is>
      </c>
      <c r="AY23" s="36" t="inlineStr">
        <is>
          <t>Rockdale</t>
        </is>
      </c>
      <c r="AZ23" s="36" t="inlineStr">
        <is>
          <t>TX</t>
        </is>
      </c>
      <c r="BA23" s="39" t="n"/>
      <c r="BB23" s="36" t="inlineStr">
        <is>
          <t>United States</t>
        </is>
      </c>
      <c r="BC23" s="36" t="inlineStr">
        <is>
          <t>Lee / Milam</t>
        </is>
      </c>
      <c r="BD23" s="40" t="n"/>
      <c r="BE23" s="38" t="inlineStr">
        <is>
          <t>SLEC / Xebec (project reportedly sold Apr 2026 - buyer not public)</t>
        </is>
      </c>
      <c r="BF23" s="36" t="inlineStr">
        <is>
          <t>Gemma Power Systems (Argan)</t>
        </is>
      </c>
      <c r="BG23" s="36" t="inlineStr">
        <is>
          <t>Sandow Lakes Energy Company LLC</t>
        </is>
      </c>
      <c r="BH23" s="39" t="n"/>
      <c r="BI23" s="38" t="inlineStr">
        <is>
          <t>Siemens Energy (2x SGT6-9000HL GT); NEM Energy HRSGs</t>
        </is>
      </c>
      <c r="BJ23" s="39" t="n"/>
      <c r="BK23" s="39" t="n"/>
      <c r="BL23" s="38" t="inlineStr">
        <is>
          <t>Electric Reliability Council of Texas (ERCOT)</t>
        </is>
      </c>
      <c r="BM23" s="38" t="inlineStr">
        <is>
          <t>Oncor (private-use, ~80 MW temporary grid export)</t>
        </is>
      </c>
      <c r="BN23" s="39" t="n"/>
      <c r="BO23" s="39" t="n"/>
      <c r="BP23" s="37" t="inlineStr">
        <is>
          <t>Yes</t>
        </is>
      </c>
      <c r="BQ23" s="37" t="inlineStr">
        <is>
          <t>Yes</t>
        </is>
      </c>
      <c r="BR23" s="37" t="inlineStr">
        <is>
          <t>Yes</t>
        </is>
      </c>
      <c r="BS23" s="37" t="inlineStr">
        <is>
          <t>No</t>
        </is>
      </c>
      <c r="BT23" s="37" t="inlineStr">
        <is>
          <t>No</t>
        </is>
      </c>
      <c r="BU23" s="37" t="inlineStr">
        <is>
          <t>Yes</t>
        </is>
      </c>
      <c r="BV23" s="37" t="inlineStr">
        <is>
          <t>No</t>
        </is>
      </c>
      <c r="BW23" s="37" t="inlineStr">
        <is>
          <t>Yes</t>
        </is>
      </c>
      <c r="BX23" s="44" t="n">
        <v>12.2</v>
      </c>
      <c r="BY23" s="36" t="inlineStr">
        <is>
          <t>Sandow Lakes Energy Station</t>
        </is>
      </c>
      <c r="BZ23" s="36" t="inlineStr">
        <is>
          <t>Nearest 345 kV line (~12.2 mi est.)</t>
        </is>
      </c>
      <c r="CA23" s="39" t="n"/>
      <c r="CB23" s="39" t="n"/>
      <c r="CC23" s="39" t="n"/>
      <c r="CD23" s="39" t="n"/>
      <c r="CE23" s="39" t="n"/>
      <c r="CF23" s="39" t="n"/>
      <c r="CG23" s="38" t="inlineStr">
        <is>
          <t>AWARD (PO) DATE BASIS: Gemma EPC Feb 2025, NTP Apr 2025, completion 2028 -&gt; cable window Dec 2026-Dec 2027, target ~Q1 2027. RISK: Xebec bio says project sold Apr 2026 (buyer unknown) - confirm owner/schedule. Luminant link only historical (old Sandow coal plant) - merge CRM Luminant duplicates. Other contacts: Tommy Hodges (COO, SL Energy Power Plant I LLC - tommyh@slenergyco.com, TCEQ 2025 filing); Charles E. Collins IV (CEO, Gemma).</t>
        </is>
      </c>
      <c r="CH23" s="38" t="inlineStr">
        <is>
          <t>Ask Gemma Power Systems who owns the project now and current schedule; position for MV/LV/control packages Q1 2027.</t>
        </is>
      </c>
      <c r="CI23" s="38" t="inlineStr">
        <is>
          <t>OVERVIEW: 1,200 MW net natural-gas combined-cycle plant built mainly to serve private (likely data-center/industrial) customers in the 'Texas Triangle'; only ~80 MW temporary grid export in permits. TECHNOLOGY &amp; EQUIPMENT: 2x Siemens Energy SGT6-9000HL H-class, hydrogen-adaptable gas turbines (two ~645 MW units / 1x1 blocks), NEM Energy HRSGs (Siemens Energy USA client), steam turbines. SITE: BROWNFIELD/industrial - former Alcoa Sandow aluminum smelter and Luminant Sandow coal plant area on the Sandow Lakes Ranch (~33,000 acres, ~28,800 after Apr 2026 sale), Rockdale area, Lee/Milam County. INTERCONNECTION: ERCOT; nearest 345 kV line ~12.2 miles (estimate); Oncor territory. OWNERSHIP/STATUS: SLEC (SL Energy Power Plant I LLC), Xebec affiliate - reportedly sold Apr 2026; EPC Gemma Power Systems (NTP Apr 2025); COD Dec 2028. INVESTMENT: ~$1.2B. W&amp;C NEEDS (combined cycle): MV power cable to aux transformers, MV switchgear and large motors; 600V power &amp; TC-ER tray cable for HRSG/ST auxiliaries and BOP; shielded I&amp;C cable; bare copper grounding; switchyard control cable; private-customer MV feeders; possible 345 kV line. Ref: https://www.businesswire.com/news/home/20250206210188/en/Argan-Inc.s-Gemma-Power-Systems-Executes-EPC-Contract-for-a-1.2-GW-Power-Project-in-Texas | https://www.powermag.com/new-1-2-gw-natural-gas-fired-plant-announced-for-texas/ | https://interchange.puc.texas.gov/Documents/56455_62_1398423.PDF</t>
        </is>
      </c>
      <c r="CJ23" s="38" t="inlineStr">
        <is>
          <t>Total project investment: ~$1.2B. Est. W&amp;C value: $9,600,000 ($8/kW).</t>
        </is>
      </c>
    </row>
    <row r="24" ht="23" customHeight="1">
      <c r="A24" s="36" t="inlineStr">
        <is>
          <t>Davis</t>
        </is>
      </c>
      <c r="B24" s="36" t="inlineStr">
        <is>
          <t>Lee</t>
        </is>
      </c>
      <c r="C24" s="36" t="inlineStr">
        <is>
          <t>Kindle Energy</t>
        </is>
      </c>
      <c r="D24" s="37" t="inlineStr">
        <is>
          <t>New</t>
        </is>
      </c>
      <c r="E24" s="37" t="inlineStr">
        <is>
          <t>Sales</t>
        </is>
      </c>
      <c r="F24" s="36" t="inlineStr">
        <is>
          <t>Stephan Hardt</t>
        </is>
      </c>
      <c r="G24" s="40" t="n"/>
      <c r="H24" s="36" t="inlineStr">
        <is>
          <t>CEO</t>
        </is>
      </c>
      <c r="I24" s="37" t="inlineStr">
        <is>
          <t>End User</t>
        </is>
      </c>
      <c r="J24" s="37" t="inlineStr">
        <is>
          <t>Energy</t>
        </is>
      </c>
      <c r="K24" s="39" t="n"/>
      <c r="L24" s="39" t="n"/>
      <c r="M24" s="39" t="n"/>
      <c r="N24" s="39" t="n"/>
      <c r="O24" s="37" t="inlineStr">
        <is>
          <t>Yes</t>
        </is>
      </c>
      <c r="P24" s="46" t="n"/>
      <c r="Q24" s="48" t="n"/>
      <c r="R24" s="40" t="n"/>
      <c r="S24" s="40" t="n"/>
      <c r="T24" s="39" t="n"/>
      <c r="U24" s="47" t="n"/>
      <c r="V24" s="39" t="n"/>
      <c r="W24" s="39" t="n"/>
      <c r="X24" s="39" t="n"/>
      <c r="Y24" s="39" t="n"/>
      <c r="Z24" s="40" t="n"/>
      <c r="AA24" s="40" t="n"/>
      <c r="AB24" s="46" t="n"/>
      <c r="AC24" s="39" t="n"/>
      <c r="AD24" s="36" t="inlineStr">
        <is>
          <t>Wolf Summit Energy Center</t>
        </is>
      </c>
      <c r="AE24" s="38" t="inlineStr">
        <is>
          <t>ESC Harrison County; Kindle Energy / Blackstone Energy Transition Partners</t>
        </is>
      </c>
      <c r="AF24" s="38" t="inlineStr">
        <is>
          <t>Kindle Energy (Blackstone Energy Transition Partners)</t>
        </is>
      </c>
      <c r="AG24" s="38" t="inlineStr">
        <is>
          <t>Under Construction - groundbreaking Apr 22, 2026; concrete phase mid-2026</t>
        </is>
      </c>
      <c r="AH24" s="37" t="inlineStr">
        <is>
          <t>IPP</t>
        </is>
      </c>
      <c r="AI24" s="49">
        <f>AL24*1000*Guide!$B$81</f>
        <v/>
      </c>
      <c r="AJ24" s="50" t="n"/>
      <c r="AK24" s="45" t="n">
        <v>46934</v>
      </c>
      <c r="AL24" s="44" t="n">
        <v>610</v>
      </c>
      <c r="AM24" s="43" t="n"/>
      <c r="AN24" s="37" t="inlineStr">
        <is>
          <t>Power Generation</t>
        </is>
      </c>
      <c r="AO24" s="37" t="inlineStr">
        <is>
          <t>Generation</t>
        </is>
      </c>
      <c r="AP24" s="37" t="inlineStr">
        <is>
          <t>New Capacity/New Build</t>
        </is>
      </c>
      <c r="AQ24" s="37" t="inlineStr">
        <is>
          <t>New Load Growth</t>
        </is>
      </c>
      <c r="AR24" s="37" t="inlineStr">
        <is>
          <t>Generation</t>
        </is>
      </c>
      <c r="AS24" s="38" t="inlineStr">
        <is>
          <t>Natural gas generation - electrical BoP (MV/LV power, tray/control &amp; instrumentation cable, substation)</t>
        </is>
      </c>
      <c r="AT24" s="37" t="inlineStr">
        <is>
          <t>Greenfield</t>
        </is>
      </c>
      <c r="AU24" s="37" t="inlineStr">
        <is>
          <t>Traditional</t>
        </is>
      </c>
      <c r="AV24" s="37" t="inlineStr">
        <is>
          <t>Natural Gas</t>
        </is>
      </c>
      <c r="AW24" s="37" t="inlineStr">
        <is>
          <t>No</t>
        </is>
      </c>
      <c r="AX24" s="36" t="inlineStr">
        <is>
          <t>Pinnickinnick Hill area, near Clarksburg</t>
        </is>
      </c>
      <c r="AY24" s="36" t="inlineStr">
        <is>
          <t>Clarksburg (Wolf Summit)</t>
        </is>
      </c>
      <c r="AZ24" s="36" t="inlineStr">
        <is>
          <t>WV</t>
        </is>
      </c>
      <c r="BA24" s="39" t="n"/>
      <c r="BB24" s="36" t="inlineStr">
        <is>
          <t>United States</t>
        </is>
      </c>
      <c r="BC24" s="36" t="inlineStr">
        <is>
          <t>Harrison</t>
        </is>
      </c>
      <c r="BD24" s="40" t="n"/>
      <c r="BE24" s="36" t="inlineStr">
        <is>
          <t>Kindle Energy / Blackstone</t>
        </is>
      </c>
      <c r="BF24" s="38" t="inlineStr">
        <is>
          <t>Kindle Energy EPCM (four principal contractors - names not published)</t>
        </is>
      </c>
      <c r="BG24" s="36" t="inlineStr">
        <is>
          <t>Kindle Energy</t>
        </is>
      </c>
      <c r="BH24" s="39" t="n"/>
      <c r="BI24" s="36" t="inlineStr">
        <is>
          <t>GE Vernova (7HA.02 gas turbine)</t>
        </is>
      </c>
      <c r="BJ24" s="39" t="n"/>
      <c r="BK24" s="39" t="n"/>
      <c r="BL24" s="36" t="inlineStr">
        <is>
          <t>PJM Interconnection (PJM)</t>
        </is>
      </c>
      <c r="BM24" s="38" t="inlineStr">
        <is>
          <t>Offtake: Old Dominion Electric Cooperative (ODEC)</t>
        </is>
      </c>
      <c r="BN24" s="39" t="n"/>
      <c r="BO24" s="39" t="n"/>
      <c r="BP24" s="37" t="inlineStr">
        <is>
          <t>Yes</t>
        </is>
      </c>
      <c r="BQ24" s="37" t="inlineStr">
        <is>
          <t>Yes</t>
        </is>
      </c>
      <c r="BR24" s="37" t="inlineStr">
        <is>
          <t>Yes</t>
        </is>
      </c>
      <c r="BS24" s="37" t="inlineStr">
        <is>
          <t>No</t>
        </is>
      </c>
      <c r="BT24" s="37" t="inlineStr">
        <is>
          <t>No</t>
        </is>
      </c>
      <c r="BU24" s="37" t="inlineStr">
        <is>
          <t>No</t>
        </is>
      </c>
      <c r="BV24" s="37" t="inlineStr">
        <is>
          <t>No</t>
        </is>
      </c>
      <c r="BW24" s="37" t="inlineStr">
        <is>
          <t>Yes</t>
        </is>
      </c>
      <c r="BX24" s="43" t="n"/>
      <c r="BY24" s="39" t="n"/>
      <c r="BZ24" s="39" t="n"/>
      <c r="CA24" s="39" t="n"/>
      <c r="CB24" s="39" t="n"/>
      <c r="CC24" s="39" t="n"/>
      <c r="CD24" s="39" t="n"/>
      <c r="CE24" s="39" t="n"/>
      <c r="CF24" s="39" t="n"/>
      <c r="CG24" s="38" t="inlineStr">
        <is>
          <t>AWARD (PO) DATE BASIS: FID Nov 2025, groundbreaking Apr 2026, concrete pours mid-2026, COD 2028 -&gt; cable window open now, target Dec 2026-Mar 2027 (if COD 2027 per ENR, act immediately). Delivered as Kindle EPCM with four principal contractors (names not published) - identify the electrical contractor. CRM 579 MW not supported; sources say ~600-625 MW (610 MW used). Project contact: info@wolf-summit.com, (304) 576-8717. Other: Chris Cosby (CEO, ODEC); Bilal Khan (SMD, Blackstone).</t>
        </is>
      </c>
      <c r="CH24" s="38" t="inlineStr">
        <is>
          <t>Ask Kindle (EPCM) which principal contractor holds electrical; use Kindle Energy / project line (304) 576-8717 / WV Building Trades; position MV, control &amp; I&amp;C cable before bulk electrical buy.</t>
        </is>
      </c>
      <c r="CI24" s="38" t="inlineStr">
        <is>
          <t>OVERVIEW: ~600 MW natural-gas combined-cycle plant - West Virginia's first gas power plant - backed by $1.2B from Blackstone Energy Transition Partners, developed/operated by Kindle Energy, fully contracted to Old Dominion Electric Cooperative; ~500 construction jobs. TECHNOLOGY &amp; EQUIPMENT: GE Vernova 7HA.02 gas turbine in combined cycle (likely 1x1 with HRSG and steam turbine - inferred); GE Vernova Financial Services also financing. SITE: Pinnickinnick Hill area near Clarksburg/Wolf Summit, Harrison County (PILOT/lease Jan 2025); acreage not published. INTERCONNECTION: PJM grid sale to ODEC; substation/voltage not published. OWNERSHIP/STATUS: FID Nov 2025; groundbreaking Apr 22, 2026; site prep and roadwork Jun 2026; COD 2028. Kindle EPCM with four principal contractors (not published). INVESTMENT: $1.2B. W&amp;C NEEDS (combined cycle): MV power cable to aux transformers, MV switchgear and large motors; 600V power &amp; TC-ER tray cable for HRSG/ST auxiliaries and BOP; shielded I&amp;C cable; bare copper grounding; switchyard control cable; building wire. Ref: https://www.businesswire.com/news/home/20260422186042/en/Kindle-Energy-Breaks-Ground-on-Blackstone-Backed-$1.2-Billion-Natural-Gas-Power-Generation-Facility-in-West-Virginia | https://wolf-summit.com/ | https://www.powermag.com/blackstone-investing-1-2-billion-for-600-mw-gas-fired-plant-in-west-virginia/</t>
        </is>
      </c>
      <c r="CJ24" s="38" t="inlineStr">
        <is>
          <t>Total project investment: $1.2B (Blackstone). Est. W&amp;C value: $4,880,000 ($8/kW).</t>
        </is>
      </c>
    </row>
    <row r="25" ht="23" customHeight="1">
      <c r="A25" s="36" t="inlineStr">
        <is>
          <t>Gaudette</t>
        </is>
      </c>
      <c r="B25" s="36" t="inlineStr">
        <is>
          <t>Robert J.</t>
        </is>
      </c>
      <c r="C25" s="36" t="inlineStr">
        <is>
          <t>NRG Energy</t>
        </is>
      </c>
      <c r="D25" s="37" t="inlineStr">
        <is>
          <t>New</t>
        </is>
      </c>
      <c r="E25" s="37" t="inlineStr">
        <is>
          <t>Sales</t>
        </is>
      </c>
      <c r="F25" s="36" t="inlineStr">
        <is>
          <t>Stephan Hardt</t>
        </is>
      </c>
      <c r="G25" s="40" t="n"/>
      <c r="H25" s="38" t="inlineStr">
        <is>
          <t>EVP &amp; President, Business &amp; Wholesale Operations</t>
        </is>
      </c>
      <c r="I25" s="37" t="inlineStr">
        <is>
          <t>End User</t>
        </is>
      </c>
      <c r="J25" s="37" t="inlineStr">
        <is>
          <t>Energy</t>
        </is>
      </c>
      <c r="K25" s="39" t="n"/>
      <c r="L25" s="39" t="n"/>
      <c r="M25" s="39" t="n"/>
      <c r="N25" s="39" t="n"/>
      <c r="O25" s="37" t="inlineStr">
        <is>
          <t>Yes</t>
        </is>
      </c>
      <c r="P25" s="46" t="n"/>
      <c r="Q25" s="48" t="n"/>
      <c r="R25" s="40" t="n"/>
      <c r="S25" s="40" t="n"/>
      <c r="T25" s="39" t="n"/>
      <c r="U25" s="47" t="n"/>
      <c r="V25" s="39" t="n"/>
      <c r="W25" s="39" t="n"/>
      <c r="X25" s="39" t="n"/>
      <c r="Y25" s="39" t="n"/>
      <c r="Z25" s="40" t="n"/>
      <c r="AA25" s="40" t="n"/>
      <c r="AB25" s="46" t="n"/>
      <c r="AC25" s="39" t="n"/>
      <c r="AD25" s="36" t="inlineStr">
        <is>
          <t>Cedar Bayou Unit 5</t>
        </is>
      </c>
      <c r="AE25" s="38" t="inlineStr">
        <is>
          <t>Cedar Bayou 5; NRG Cedar Bayou Generating Station expansion</t>
        </is>
      </c>
      <c r="AF25" s="36" t="inlineStr">
        <is>
          <t>NRG Energy</t>
        </is>
      </c>
      <c r="AG25" s="38" t="inlineStr">
        <is>
          <t>Under Construction - on track (NRG Q1 2026); TEF loan closed</t>
        </is>
      </c>
      <c r="AH25" s="37" t="inlineStr">
        <is>
          <t>IPP</t>
        </is>
      </c>
      <c r="AI25" s="49">
        <f>AL25*1000*Guide!$B$81</f>
        <v/>
      </c>
      <c r="AJ25" s="50" t="n"/>
      <c r="AK25" s="45" t="n">
        <v>46965</v>
      </c>
      <c r="AL25" s="44" t="n">
        <v>689</v>
      </c>
      <c r="AM25" s="43" t="n"/>
      <c r="AN25" s="37" t="inlineStr">
        <is>
          <t>Power Generation</t>
        </is>
      </c>
      <c r="AO25" s="37" t="inlineStr">
        <is>
          <t>Generation</t>
        </is>
      </c>
      <c r="AP25" s="37" t="inlineStr">
        <is>
          <t>New Capacity/New Build</t>
        </is>
      </c>
      <c r="AQ25" s="37" t="inlineStr">
        <is>
          <t>New Load Growth</t>
        </is>
      </c>
      <c r="AR25" s="37" t="inlineStr">
        <is>
          <t>Generation</t>
        </is>
      </c>
      <c r="AS25" s="38" t="inlineStr">
        <is>
          <t>Natural gas generation - electrical BoP (MV/LV power, tray/control &amp; instrumentation cable, substation)</t>
        </is>
      </c>
      <c r="AT25" s="37" t="inlineStr">
        <is>
          <t>Brownfield</t>
        </is>
      </c>
      <c r="AU25" s="37" t="inlineStr">
        <is>
          <t>Traditional</t>
        </is>
      </c>
      <c r="AV25" s="37" t="inlineStr">
        <is>
          <t>Natural Gas</t>
        </is>
      </c>
      <c r="AW25" s="37" t="inlineStr">
        <is>
          <t>No</t>
        </is>
      </c>
      <c r="AX25" s="36" t="inlineStr">
        <is>
          <t>Existing Cedar Bayou Generating Station</t>
        </is>
      </c>
      <c r="AY25" s="36" t="inlineStr">
        <is>
          <t>Baytown</t>
        </is>
      </c>
      <c r="AZ25" s="36" t="inlineStr">
        <is>
          <t>TX</t>
        </is>
      </c>
      <c r="BA25" s="39" t="n"/>
      <c r="BB25" s="36" t="inlineStr">
        <is>
          <t>United States</t>
        </is>
      </c>
      <c r="BC25" s="36" t="inlineStr">
        <is>
          <t>Chambers</t>
        </is>
      </c>
      <c r="BD25" s="40" t="n"/>
      <c r="BE25" s="36" t="inlineStr">
        <is>
          <t>NRG Energy</t>
        </is>
      </c>
      <c r="BF25" s="39" t="n"/>
      <c r="BG25" s="36" t="inlineStr">
        <is>
          <t>NRG Energy</t>
        </is>
      </c>
      <c r="BH25" s="39" t="n"/>
      <c r="BI25" s="38" t="inlineStr">
        <is>
          <t>Mitsubishi Power (M501JAC gas turbine, per TCEQ permit)</t>
        </is>
      </c>
      <c r="BJ25" s="39" t="n"/>
      <c r="BK25" s="39" t="n"/>
      <c r="BL25" s="38" t="inlineStr">
        <is>
          <t>Electric Reliability Council of Texas (ERCOT)</t>
        </is>
      </c>
      <c r="BM25" s="36" t="inlineStr">
        <is>
          <t>ERCOT (CenterPoint area - unconfirmed)</t>
        </is>
      </c>
      <c r="BN25" s="39" t="n"/>
      <c r="BO25" s="39" t="n"/>
      <c r="BP25" s="37" t="inlineStr">
        <is>
          <t>Yes</t>
        </is>
      </c>
      <c r="BQ25" s="37" t="inlineStr">
        <is>
          <t>Yes</t>
        </is>
      </c>
      <c r="BR25" s="37" t="inlineStr">
        <is>
          <t>Yes</t>
        </is>
      </c>
      <c r="BS25" s="37" t="inlineStr">
        <is>
          <t>No</t>
        </is>
      </c>
      <c r="BT25" s="37" t="inlineStr">
        <is>
          <t>No</t>
        </is>
      </c>
      <c r="BU25" s="37" t="inlineStr">
        <is>
          <t>No</t>
        </is>
      </c>
      <c r="BV25" s="37" t="inlineStr">
        <is>
          <t>No</t>
        </is>
      </c>
      <c r="BW25" s="37" t="inlineStr">
        <is>
          <t>Yes</t>
        </is>
      </c>
      <c r="BX25" s="43" t="n"/>
      <c r="BY25" s="39" t="n"/>
      <c r="BZ25" s="39" t="n"/>
      <c r="CA25" s="39" t="n"/>
      <c r="CB25" s="39" t="n"/>
      <c r="CC25" s="39" t="n"/>
      <c r="CD25" s="39" t="n"/>
      <c r="CE25" s="39" t="n"/>
      <c r="CF25" s="39" t="n"/>
      <c r="CG25" s="38" t="inlineStr">
        <is>
          <t>AWARD (PO) DATE BASIS: TEF loan closed Q3 2025, under construction, COD mid-2028 (NRG) -&gt; cable window Jul 2026-Jul 2027, target Nov 2026-Feb 2027. EPC not public (NRG GE Vernova/Kiewit venture is for 7HA units, not this Mitsubishi unit). CRM correction: 689 MW (NRG) vs 721 MW (state), Mitsubishi not GE, COD mid-2028 not 2029. Owner contact on 2026 TDLR project registration: Dudley D. Zahn (NRG / Cedar Bayou 5 LLC, 713-537-3290; email historical).</t>
        </is>
      </c>
      <c r="CH25" s="38" t="inlineStr">
        <is>
          <t>Engage NRG construction/procurement to identify Cedar Bayou 5 EPC/BOP electrical contractor now.</t>
        </is>
      </c>
      <c r="CI25" s="38" t="inlineStr">
        <is>
          <t>OVERVIEW: 689 MW (NRG; state cites 721 MW) natural-gas combined-cycle unit added at NRG's existing Cedar Bayou Generating Station, one of NRG's largest Texas assets, backed by a Texas Energy Fund loan. TECHNOLOGY &amp; EQUIPMENT: 1x1 combined cycle - Mitsubishi Power M501JAC J-class gas turbine (TCEQ permit), HRSG and steam turbine (OEMs not published). SITE: BROWNFIELD - existing operating Cedar Bayou plant on Galveston Bay, Baytown, Chambers County (existing gas, water and transmission). INTERCONNECTION: ERCOT grid unit; voltage not published. OWNERSHIP/STATUS: NRG Energy; TEF loan announced Sep 26, 2025; under construction; COD mid/summer 2028. INVESTMENT: $936M. W&amp;C NEEDS (combined cycle): MV power cable to aux transformers, MV switchgear and large motors; 600V power &amp; TC-ER tray cable for HRSG/ST auxiliaries and BOP; shielded I&amp;C cable; bare copper grounding; switchyard control cable. Ref: https://gov.texas.gov/news/post/governor-abbott-announces-texas-energy-fund-loan-to-721-mw-natural-gas-facility-in-southeast-texas | https://www.utilitydive.com/news/nrg-close-to-completing-415-mw-gas-plant-backed-by-texas-energy-fund/819587/ | https://www.texastribune.org/2025/09/26/texas-energy-fund-loan-nrg-baytown</t>
        </is>
      </c>
      <c r="CJ25" s="38" t="inlineStr">
        <is>
          <t>Total project investment: $936M ($562M Texas Energy Fund loan, 3%, 20 yr). Est. W&amp;C value: $5,512,000 ($8/kW).</t>
        </is>
      </c>
    </row>
    <row r="26" ht="23" customHeight="1">
      <c r="A26" s="36" t="inlineStr">
        <is>
          <t>Podurgiel</t>
        </is>
      </c>
      <c r="B26" s="36" t="inlineStr">
        <is>
          <t>Peter</t>
        </is>
      </c>
      <c r="C26" s="36" t="inlineStr">
        <is>
          <t>CPV Group</t>
        </is>
      </c>
      <c r="D26" s="37" t="inlineStr">
        <is>
          <t>New</t>
        </is>
      </c>
      <c r="E26" s="37" t="inlineStr">
        <is>
          <t>Sales</t>
        </is>
      </c>
      <c r="F26" s="36" t="inlineStr">
        <is>
          <t>Stephan Hardt</t>
        </is>
      </c>
      <c r="G26" s="40" t="n"/>
      <c r="H26" s="36" t="inlineStr">
        <is>
          <t>President, Low Carbon Generation</t>
        </is>
      </c>
      <c r="I26" s="37" t="inlineStr">
        <is>
          <t>End User</t>
        </is>
      </c>
      <c r="J26" s="37" t="inlineStr">
        <is>
          <t>Energy</t>
        </is>
      </c>
      <c r="K26" s="39" t="n"/>
      <c r="L26" s="39" t="n"/>
      <c r="M26" s="39" t="n"/>
      <c r="N26" s="39" t="n"/>
      <c r="O26" s="37" t="inlineStr">
        <is>
          <t>Yes</t>
        </is>
      </c>
      <c r="P26" s="46" t="n"/>
      <c r="Q26" s="48" t="n"/>
      <c r="R26" s="40" t="n"/>
      <c r="S26" s="40" t="n"/>
      <c r="T26" s="39" t="n"/>
      <c r="U26" s="47" t="n"/>
      <c r="V26" s="39" t="n"/>
      <c r="W26" s="39" t="n"/>
      <c r="X26" s="39" t="n"/>
      <c r="Y26" s="39" t="n"/>
      <c r="Z26" s="40" t="n"/>
      <c r="AA26" s="40" t="n"/>
      <c r="AB26" s="46" t="n"/>
      <c r="AC26" s="39" t="n"/>
      <c r="AD26" s="36" t="inlineStr">
        <is>
          <t>CPV Basin Ranch Energy Center</t>
        </is>
      </c>
      <c r="AE26" s="38" t="inlineStr">
        <is>
          <t>CPV Basin Ranch Holdings LLC; ERCOT 25INR0008 (BASRANCH)</t>
        </is>
      </c>
      <c r="AF26" s="36" t="inlineStr">
        <is>
          <t>CPV Group (OPC Energy / Kenon)</t>
        </is>
      </c>
      <c r="AG26" s="38" t="inlineStr">
        <is>
          <t>Under Construction - Gemma full NTP Oct 30, 2025; groundbreaking Nov 20, 2025</t>
        </is>
      </c>
      <c r="AH26" s="37" t="inlineStr">
        <is>
          <t>IPP</t>
        </is>
      </c>
      <c r="AI26" s="49">
        <f>AL26*1000*Guide!$B$81</f>
        <v/>
      </c>
      <c r="AJ26" s="50" t="n"/>
      <c r="AK26" s="45" t="n">
        <v>47088</v>
      </c>
      <c r="AL26" s="44" t="n">
        <v>1350</v>
      </c>
      <c r="AM26" s="44" t="n">
        <v>345</v>
      </c>
      <c r="AN26" s="37" t="inlineStr">
        <is>
          <t>Power Generation</t>
        </is>
      </c>
      <c r="AO26" s="37" t="inlineStr">
        <is>
          <t>Generation</t>
        </is>
      </c>
      <c r="AP26" s="37" t="inlineStr">
        <is>
          <t>New Capacity/New Build</t>
        </is>
      </c>
      <c r="AQ26" s="37" t="inlineStr">
        <is>
          <t>New Load Growth</t>
        </is>
      </c>
      <c r="AR26" s="37" t="inlineStr">
        <is>
          <t>Generation</t>
        </is>
      </c>
      <c r="AS26" s="38" t="inlineStr">
        <is>
          <t>Natural gas generation - electrical BoP (MV/LV power, tray/control &amp; instrumentation cable, substation)</t>
        </is>
      </c>
      <c r="AT26" s="37" t="inlineStr">
        <is>
          <t>Greenfield</t>
        </is>
      </c>
      <c r="AU26" s="37" t="inlineStr">
        <is>
          <t>Traditional</t>
        </is>
      </c>
      <c r="AV26" s="37" t="inlineStr">
        <is>
          <t>Natural Gas</t>
        </is>
      </c>
      <c r="AW26" s="37" t="inlineStr">
        <is>
          <t>No</t>
        </is>
      </c>
      <c r="AX26" s="36" t="inlineStr">
        <is>
          <t>Near Barstow, Ward County</t>
        </is>
      </c>
      <c r="AY26" s="36" t="inlineStr">
        <is>
          <t>Barstow</t>
        </is>
      </c>
      <c r="AZ26" s="36" t="inlineStr">
        <is>
          <t>TX</t>
        </is>
      </c>
      <c r="BA26" s="39" t="n"/>
      <c r="BB26" s="36" t="inlineStr">
        <is>
          <t>United States</t>
        </is>
      </c>
      <c r="BC26" s="36" t="inlineStr">
        <is>
          <t>Ward</t>
        </is>
      </c>
      <c r="BD26" s="40" t="n"/>
      <c r="BE26" s="36" t="inlineStr">
        <is>
          <t>CPV Basin Ranch Holdings LLC (CPV 100%)</t>
        </is>
      </c>
      <c r="BF26" s="38" t="inlineStr">
        <is>
          <t>Gemma Power Systems (Argan); engineer POWER Engineers</t>
        </is>
      </c>
      <c r="BG26" s="36" t="inlineStr">
        <is>
          <t>CPV Group</t>
        </is>
      </c>
      <c r="BH26" s="39" t="n"/>
      <c r="BI26" s="36" t="inlineStr">
        <is>
          <t>GE Vernova (2x 7HA.03 gas turbines)</t>
        </is>
      </c>
      <c r="BJ26" s="39" t="n"/>
      <c r="BK26" s="39" t="n"/>
      <c r="BL26" s="38" t="inlineStr">
        <is>
          <t>Electric Reliability Council of Texas (ERCOT)</t>
        </is>
      </c>
      <c r="BM26" s="36" t="inlineStr">
        <is>
          <t>Oncor (345 kV switchyard)</t>
        </is>
      </c>
      <c r="BN26" s="39" t="n"/>
      <c r="BO26" s="39" t="n"/>
      <c r="BP26" s="37" t="inlineStr">
        <is>
          <t>Yes</t>
        </is>
      </c>
      <c r="BQ26" s="37" t="inlineStr">
        <is>
          <t>Yes</t>
        </is>
      </c>
      <c r="BR26" s="37" t="inlineStr">
        <is>
          <t>Yes</t>
        </is>
      </c>
      <c r="BS26" s="37" t="inlineStr">
        <is>
          <t>No</t>
        </is>
      </c>
      <c r="BT26" s="37" t="inlineStr">
        <is>
          <t>No</t>
        </is>
      </c>
      <c r="BU26" s="37" t="inlineStr">
        <is>
          <t>Yes</t>
        </is>
      </c>
      <c r="BV26" s="37" t="inlineStr">
        <is>
          <t>No</t>
        </is>
      </c>
      <c r="BW26" s="37" t="inlineStr">
        <is>
          <t>Yes</t>
        </is>
      </c>
      <c r="BX26" s="43" t="n"/>
      <c r="BY26" s="36" t="inlineStr">
        <is>
          <t>CPV Basin Ranch Energy Center</t>
        </is>
      </c>
      <c r="BZ26" s="38" t="inlineStr">
        <is>
          <t>Oncor 345 kV switchyard (tap Riverton-Sand Lake 345 kV)</t>
        </is>
      </c>
      <c r="CA26" s="39" t="n"/>
      <c r="CB26" s="39" t="n"/>
      <c r="CC26" s="39" t="n"/>
      <c r="CD26" s="39" t="n"/>
      <c r="CE26" s="39" t="n"/>
      <c r="CF26" s="39" t="n"/>
      <c r="CG26" s="38" t="inlineStr">
        <is>
          <t>AWARD (PO) DATE BASIS: full NTP Oct 2025, construction since Nov 2025, COD Dec 2028 (ERCOT; CPV says 2029) -&gt; target Q1 2027; early packages may already be placed. CRM correction: utility is Oncor (not AEP Texas). Other contacts: Sherman Knight (CEO, CPV); Charles E. Collins IV (CEO, Gemma); David Watson (Argan company contact, 301-315-0027).</t>
        </is>
      </c>
      <c r="CH26" s="38" t="inlineStr">
        <is>
          <t>Get in front of Gemma procurement now for MV/LV power, control &amp; I&amp;C packages before Q1 2027.</t>
        </is>
      </c>
      <c r="CI26" s="38" t="inlineStr">
        <is>
          <t>OVERVIEW: 1,350 MW natural-gas combined-cycle plant in the Permian Basin, CPV's first Texas project, backed by a ~$1.1B Texas Energy Fund loan; CPV bought the remaining 30% in Feb 2026 (100% owner). TECHNOLOGY &amp; EQUIPMENT: two 1x1 combined-cycle blocks with GE Vernova 7HA.03 gas turbines, HRSGs and steam turbines; permitted carbon-capture option for later phases (CPV Basin Ranch Capture LLC). SITE: GREENFIELD - near Barstow, Ward County (acreage not published). INTERCONNECTION: 345 kV into an Oncor switchyard tapping the Riverton-Sand Lake 345 kV line; ERCOT. OWNERSHIP/STATUS: CPV Group (OPC Energy/Kenon); EPC Gemma Power Systems, detailed engineering POWER Engineers; groundbreaking Nov 20, 2025; COD Dec 2028-2029. INVESTMENT: ~$2B. W&amp;C NEEDS (combined cycle): MV power cable to aux transformers, MV switchgear and large motors; 600V power &amp; TC-ER tray cable for HRSG/ST auxiliaries and BOP; shielded I&amp;C cable; bare copper grounding; 345 kV switchyard control cable; future carbon-capture plant cabling. Ref: https://cpv.com/2025/11/20/cpv-basin-ranch-energy-center-breaks-ground-in-ward-county-texas/ | https://www.businesswire.com/news/home/20251030500209/en/Argan-Inc.s-Gemma-Power-Systems-Receives-Full-Notice-to-Proceed-on-EPC-Contract-for-1350-MW-Combined-Cycle-Power-Plant-in-Texas | https://cpv.com/our-fleet/cpv-basin-ranch-energy-center/</t>
        </is>
      </c>
      <c r="CJ26" s="38" t="inlineStr">
        <is>
          <t>Total project investment: ~$2B (~$1.1B Texas Energy Fund loan, 3%). Est. W&amp;C value: $10,800,000 ($8/kW).</t>
        </is>
      </c>
    </row>
    <row r="27" ht="23" customHeight="1">
      <c r="A27" s="36" t="inlineStr">
        <is>
          <t>Podurgiel</t>
        </is>
      </c>
      <c r="B27" s="36" t="inlineStr">
        <is>
          <t>Peter</t>
        </is>
      </c>
      <c r="C27" s="36" t="inlineStr">
        <is>
          <t>CPV Group</t>
        </is>
      </c>
      <c r="D27" s="37" t="inlineStr">
        <is>
          <t>New</t>
        </is>
      </c>
      <c r="E27" s="37" t="inlineStr">
        <is>
          <t>Sales</t>
        </is>
      </c>
      <c r="F27" s="36" t="inlineStr">
        <is>
          <t>Stephan Hardt</t>
        </is>
      </c>
      <c r="G27" s="40" t="n"/>
      <c r="H27" s="36" t="inlineStr">
        <is>
          <t>President (per Aug 2026 release)</t>
        </is>
      </c>
      <c r="I27" s="37" t="inlineStr">
        <is>
          <t>End User</t>
        </is>
      </c>
      <c r="J27" s="37" t="inlineStr">
        <is>
          <t>Energy</t>
        </is>
      </c>
      <c r="K27" s="39" t="n"/>
      <c r="L27" s="39" t="n"/>
      <c r="M27" s="39" t="n"/>
      <c r="N27" s="39" t="n"/>
      <c r="O27" s="37" t="inlineStr">
        <is>
          <t>Yes</t>
        </is>
      </c>
      <c r="P27" s="46" t="n"/>
      <c r="Q27" s="48" t="n"/>
      <c r="R27" s="40" t="n"/>
      <c r="S27" s="40" t="n"/>
      <c r="T27" s="39" t="n"/>
      <c r="U27" s="47" t="n"/>
      <c r="V27" s="39" t="n"/>
      <c r="W27" s="39" t="n"/>
      <c r="X27" s="39" t="n"/>
      <c r="Y27" s="39" t="n"/>
      <c r="Z27" s="40" t="n"/>
      <c r="AA27" s="40" t="n"/>
      <c r="AB27" s="46" t="n"/>
      <c r="AC27" s="39" t="n"/>
      <c r="AD27" s="36" t="inlineStr">
        <is>
          <t>CPV Shay Energy Center</t>
        </is>
      </c>
      <c r="AE27" s="38" t="inlineStr">
        <is>
          <t>CPV Shay, LLC; CPV Shay Clean Energy Center</t>
        </is>
      </c>
      <c r="AF27" s="36" t="inlineStr">
        <is>
          <t>CPV Group (OPC Energy / Kenon)</t>
        </is>
      </c>
      <c r="AG27" s="38" t="inlineStr">
        <is>
          <t>Development - WV PSC siting Apr 2024; air permit applied Jan 2026; EQT gas deal Aug 2026</t>
        </is>
      </c>
      <c r="AH27" s="37" t="inlineStr">
        <is>
          <t>IPP</t>
        </is>
      </c>
      <c r="AI27" s="49">
        <f>AL27*1000*Guide!$B$81</f>
        <v/>
      </c>
      <c r="AJ27" s="50" t="n"/>
      <c r="AK27" s="45" t="n">
        <v>48213</v>
      </c>
      <c r="AL27" s="44" t="n">
        <v>2100</v>
      </c>
      <c r="AM27" s="44" t="n">
        <v>500</v>
      </c>
      <c r="AN27" s="37" t="inlineStr">
        <is>
          <t>Power Generation</t>
        </is>
      </c>
      <c r="AO27" s="37" t="inlineStr">
        <is>
          <t>Generation</t>
        </is>
      </c>
      <c r="AP27" s="37" t="inlineStr">
        <is>
          <t>New Capacity/New Build</t>
        </is>
      </c>
      <c r="AQ27" s="37" t="inlineStr">
        <is>
          <t>New Load Growth</t>
        </is>
      </c>
      <c r="AR27" s="37" t="inlineStr">
        <is>
          <t>Generation</t>
        </is>
      </c>
      <c r="AS27" s="38" t="inlineStr">
        <is>
          <t>Natural gas generation - electrical BoP (MV/LV power, tray/control &amp; instrumentation cable, substation)</t>
        </is>
      </c>
      <c r="AT27" s="37" t="inlineStr">
        <is>
          <t>Greenfield</t>
        </is>
      </c>
      <c r="AU27" s="37" t="inlineStr">
        <is>
          <t>Traditional</t>
        </is>
      </c>
      <c r="AV27" s="37" t="inlineStr">
        <is>
          <t>Natural Gas</t>
        </is>
      </c>
      <c r="AW27" s="37" t="inlineStr">
        <is>
          <t>No</t>
        </is>
      </c>
      <c r="AX27" s="36" t="inlineStr">
        <is>
          <t>WV Route 18, ~5 mi SE of West Union</t>
        </is>
      </c>
      <c r="AY27" s="36" t="inlineStr">
        <is>
          <t>West Union (Blandville)</t>
        </is>
      </c>
      <c r="AZ27" s="36" t="inlineStr">
        <is>
          <t>WV</t>
        </is>
      </c>
      <c r="BA27" s="39" t="n"/>
      <c r="BB27" s="36" t="inlineStr">
        <is>
          <t>United States</t>
        </is>
      </c>
      <c r="BC27" s="36" t="inlineStr">
        <is>
          <t>Doddridge</t>
        </is>
      </c>
      <c r="BD27" s="40" t="n"/>
      <c r="BE27" s="36" t="inlineStr">
        <is>
          <t>CPV Shay, LLC</t>
        </is>
      </c>
      <c r="BF27" s="39" t="n"/>
      <c r="BG27" s="36" t="inlineStr">
        <is>
          <t>CPV Group</t>
        </is>
      </c>
      <c r="BH27" s="39" t="n"/>
      <c r="BI27" s="36" t="inlineStr">
        <is>
          <t>GE Vernova (3x 7HA.03 gas turbines)</t>
        </is>
      </c>
      <c r="BJ27" s="39" t="n"/>
      <c r="BK27" s="39" t="n"/>
      <c r="BL27" s="36" t="inlineStr">
        <is>
          <t>PJM Interconnection (PJM)</t>
        </is>
      </c>
      <c r="BM27" s="36" t="inlineStr">
        <is>
          <t>Monongahela Power (FirstEnergy)</t>
        </is>
      </c>
      <c r="BN27" s="39" t="n"/>
      <c r="BO27" s="39" t="n"/>
      <c r="BP27" s="37" t="inlineStr">
        <is>
          <t>Yes</t>
        </is>
      </c>
      <c r="BQ27" s="37" t="inlineStr">
        <is>
          <t>Yes</t>
        </is>
      </c>
      <c r="BR27" s="37" t="inlineStr">
        <is>
          <t>Yes</t>
        </is>
      </c>
      <c r="BS27" s="37" t="inlineStr">
        <is>
          <t>No</t>
        </is>
      </c>
      <c r="BT27" s="37" t="inlineStr">
        <is>
          <t>No</t>
        </is>
      </c>
      <c r="BU27" s="37" t="inlineStr">
        <is>
          <t>Yes</t>
        </is>
      </c>
      <c r="BV27" s="37" t="inlineStr">
        <is>
          <t>No</t>
        </is>
      </c>
      <c r="BW27" s="37" t="inlineStr">
        <is>
          <t>Yes</t>
        </is>
      </c>
      <c r="BX27" s="44" t="n">
        <v>9</v>
      </c>
      <c r="BY27" s="36" t="inlineStr">
        <is>
          <t>CPV Shay Energy Center</t>
        </is>
      </c>
      <c r="BZ27" s="36" t="inlineStr">
        <is>
          <t>Mon Power Flint Run 500 kV Substation</t>
        </is>
      </c>
      <c r="CA27" s="39" t="n"/>
      <c r="CB27" s="39" t="n"/>
      <c r="CC27" s="39" t="n"/>
      <c r="CD27" s="39" t="n"/>
      <c r="CE27" s="39" t="n"/>
      <c r="CF27" s="39" t="n"/>
      <c r="CG27" s="38" t="inlineStr">
        <is>
          <t>AWARD (PO) DATE BASIS: construction start est. Q1 2027, COD est. 2031 (CPV fact sheet Mar 2026) -&gt; award window ~2029-2030. Could accelerate if selected in PJM Reliability Backstop procurement (auction postponed after FERC order Sep 29, 2026). EPC not yet named. CRM COD 12/31/2029 updated to 2031. Other: Toby Rice (CEO, EQT).</t>
        </is>
      </c>
      <c r="CH27" s="38" t="inlineStr">
        <is>
          <t>Track WVDEP air permit and EPC award (likely 2027); spec in early with engineer.</t>
        </is>
      </c>
      <c r="CI27" s="38" t="inlineStr">
        <is>
          <t>OVERVIEW: ~2,060-2,100 MW natural-gas combined-cycle plant with amine-based carbon capture capability (90-95% capture target), one of the largest gas plants planned in PJM; 10-yr EQT gas supply (&gt;100 BCF/yr) signed Aug 2026. TECHNOLOGY &amp; EQUIPMENT: three 1x1 combined-cycle blocks with GE Vernova 7HA.03 gas turbines (~687 MW each), HRSGs and steam turbines; post-combustion amine carbon capture plant (can run with or without capture). SITE: GREENFIELD - 54-acre footprint within a 230-acre parcel along WV Route 18, ~5 miles SE of West Union, Doddridge County. INTERCONNECTION: new ~9-mile 500 kV line to Mon Power's Flint Run 500 kV substation; PJM. OWNERSHIP/STATUS: CPV Shay LLC; WV PSC siting certificate Apr 2024; WVDEP air permit application Jan 2026; construction start est. 2027; COD est. 2031. INVESTMENT: ~$3-3.3B. W&amp;C NEEDS (combined cycle x3 + carbon capture): MV power cable to aux transformers, MV switchgear and large motors (incl. capture-plant compressors/blowers/pumps); 600V power &amp; TC-ER tray cable; shielded I&amp;C cable; bare copper grounding; 500 kV switchyard control cable; 9-mile 500 kV transmission conductor. Ref: https://cpv.com/our-fleet/cpv-shay-energy-center/ | https://cpv.com/2026/08/12/cpv-secures-10-year-gas-netback-with-eqt-to-supply-2-gw-cpv-shay-energy-center/ | https://cpv.com/wp-content/uploads/2026/03/CPV-Shay-Energy-Center-Project-Fact-Sheet-March-2026-1.pdf</t>
        </is>
      </c>
      <c r="CJ27" s="38" t="inlineStr">
        <is>
          <t>Total project investment: ~$3B-$3.3B. Est. W&amp;C value: $16,800,000 ($8/kW).</t>
        </is>
      </c>
    </row>
    <row r="28" ht="23" customHeight="1">
      <c r="A28" s="36" t="inlineStr">
        <is>
          <t>TBD</t>
        </is>
      </c>
      <c r="B28" s="39" t="n"/>
      <c r="C28" s="36" t="inlineStr">
        <is>
          <t>CPV Group</t>
        </is>
      </c>
      <c r="D28" s="37" t="inlineStr">
        <is>
          <t>New</t>
        </is>
      </c>
      <c r="E28" s="37" t="inlineStr">
        <is>
          <t>Sales</t>
        </is>
      </c>
      <c r="F28" s="36" t="inlineStr">
        <is>
          <t>Stephan Hardt</t>
        </is>
      </c>
      <c r="G28" s="40" t="n"/>
      <c r="H28" s="36" t="inlineStr">
        <is>
          <t>Project development contact</t>
        </is>
      </c>
      <c r="I28" s="37" t="inlineStr">
        <is>
          <t>End User</t>
        </is>
      </c>
      <c r="J28" s="37" t="inlineStr">
        <is>
          <t>Energy</t>
        </is>
      </c>
      <c r="K28" s="39" t="n"/>
      <c r="L28" s="39" t="n"/>
      <c r="M28" s="39" t="n"/>
      <c r="N28" s="39" t="n"/>
      <c r="O28" s="37" t="inlineStr">
        <is>
          <t>Yes</t>
        </is>
      </c>
      <c r="P28" s="46" t="n"/>
      <c r="Q28" s="48" t="n"/>
      <c r="R28" s="40" t="n"/>
      <c r="S28" s="40" t="n"/>
      <c r="T28" s="39" t="n"/>
      <c r="U28" s="47" t="n"/>
      <c r="V28" s="39" t="n"/>
      <c r="W28" s="39" t="n"/>
      <c r="X28" s="39" t="n"/>
      <c r="Y28" s="39" t="n"/>
      <c r="Z28" s="40" t="n"/>
      <c r="AA28" s="40" t="n"/>
      <c r="AB28" s="46" t="n"/>
      <c r="AC28" s="39" t="n"/>
      <c r="AD28" s="38" t="inlineStr">
        <is>
          <t>CPV Clean Energy Future - Oregon (Oregon Energy Center)</t>
        </is>
      </c>
      <c r="AE28" s="38" t="inlineStr">
        <is>
          <t>CPV Oregon Energy Center; Clean Energy Future - Oregon; OPSB 17-0530-EL-BGN</t>
        </is>
      </c>
      <c r="AF28" s="36" t="inlineStr">
        <is>
          <t>CPV Group (CPV Oregon Holdings)</t>
        </is>
      </c>
      <c r="AG28" s="38" t="inlineStr">
        <is>
          <t>Stalled / at risk - PJM queue reportedly withdrawn (Aurora, Feb 2026); OPSB certificate may have lapsed</t>
        </is>
      </c>
      <c r="AH28" s="37" t="inlineStr">
        <is>
          <t>IPP</t>
        </is>
      </c>
      <c r="AI28" s="49">
        <f>AL28*1000*Guide!$B$81</f>
        <v/>
      </c>
      <c r="AJ28" s="50" t="n"/>
      <c r="AK28" s="45" t="n">
        <v>48213</v>
      </c>
      <c r="AL28" s="44" t="n">
        <v>1475</v>
      </c>
      <c r="AM28" s="44" t="n">
        <v>345</v>
      </c>
      <c r="AN28" s="37" t="inlineStr">
        <is>
          <t>Power Generation</t>
        </is>
      </c>
      <c r="AO28" s="37" t="inlineStr">
        <is>
          <t>Generation</t>
        </is>
      </c>
      <c r="AP28" s="37" t="inlineStr">
        <is>
          <t>New Capacity/New Build</t>
        </is>
      </c>
      <c r="AQ28" s="37" t="inlineStr">
        <is>
          <t>New Load Growth</t>
        </is>
      </c>
      <c r="AR28" s="37" t="inlineStr">
        <is>
          <t>Generation</t>
        </is>
      </c>
      <c r="AS28" s="38" t="inlineStr">
        <is>
          <t>Natural gas generation - electrical BoP (MV/LV power, tray/control &amp; instrumentation cable, substation)</t>
        </is>
      </c>
      <c r="AT28" s="37" t="inlineStr">
        <is>
          <t>Brownfield</t>
        </is>
      </c>
      <c r="AU28" s="37" t="inlineStr">
        <is>
          <t>Traditional</t>
        </is>
      </c>
      <c r="AV28" s="37" t="inlineStr">
        <is>
          <t>Natural Gas</t>
        </is>
      </c>
      <c r="AW28" s="37" t="inlineStr">
        <is>
          <t>No</t>
        </is>
      </c>
      <c r="AX28" s="38" t="inlineStr">
        <is>
          <t>North of Parkway Rd between N. Wynn and N. Lallendorf</t>
        </is>
      </c>
      <c r="AY28" s="36" t="inlineStr">
        <is>
          <t>Oregon</t>
        </is>
      </c>
      <c r="AZ28" s="36" t="inlineStr">
        <is>
          <t>OH</t>
        </is>
      </c>
      <c r="BA28" s="39" t="n"/>
      <c r="BB28" s="36" t="inlineStr">
        <is>
          <t>United States</t>
        </is>
      </c>
      <c r="BC28" s="36" t="inlineStr">
        <is>
          <t>Lucas</t>
        </is>
      </c>
      <c r="BD28" s="40" t="n"/>
      <c r="BE28" s="36" t="inlineStr">
        <is>
          <t>CPV Oregon Holdings</t>
        </is>
      </c>
      <c r="BF28" s="39" t="n"/>
      <c r="BG28" s="36" t="inlineStr">
        <is>
          <t>CPV Group</t>
        </is>
      </c>
      <c r="BH28" s="39" t="n"/>
      <c r="BI28" s="38" t="inlineStr">
        <is>
          <t>Not found (original design: 2 CTs in combined cycle)</t>
        </is>
      </c>
      <c r="BJ28" s="39" t="n"/>
      <c r="BK28" s="39" t="n"/>
      <c r="BL28" s="36" t="inlineStr">
        <is>
          <t>PJM Interconnection (PJM)</t>
        </is>
      </c>
      <c r="BM28" s="38" t="inlineStr">
        <is>
          <t>FirstEnergy / Toledo Edison area (unverified)</t>
        </is>
      </c>
      <c r="BN28" s="39" t="n"/>
      <c r="BO28" s="39" t="n"/>
      <c r="BP28" s="37" t="inlineStr">
        <is>
          <t>Yes</t>
        </is>
      </c>
      <c r="BQ28" s="37" t="inlineStr">
        <is>
          <t>Yes</t>
        </is>
      </c>
      <c r="BR28" s="37" t="inlineStr">
        <is>
          <t>Yes</t>
        </is>
      </c>
      <c r="BS28" s="37" t="inlineStr">
        <is>
          <t>No</t>
        </is>
      </c>
      <c r="BT28" s="37" t="inlineStr">
        <is>
          <t>No</t>
        </is>
      </c>
      <c r="BU28" s="37" t="inlineStr">
        <is>
          <t>No</t>
        </is>
      </c>
      <c r="BV28" s="37" t="inlineStr">
        <is>
          <t>No</t>
        </is>
      </c>
      <c r="BW28" s="37" t="inlineStr">
        <is>
          <t>Yes</t>
        </is>
      </c>
      <c r="BX28" s="43" t="n"/>
      <c r="BY28" s="39" t="n"/>
      <c r="BZ28" s="39" t="n"/>
      <c r="CA28" s="39" t="n"/>
      <c r="CB28" s="39" t="n"/>
      <c r="CC28" s="39" t="n"/>
      <c r="CD28" s="39" t="n"/>
      <c r="CE28" s="39" t="n"/>
      <c r="CF28" s="39" t="n"/>
      <c r="CG28" s="38" t="inlineStr">
        <is>
          <t>ON HOLD: OPSB certificate (955 MW, 2017) extended to ~mid-2026; selected for PJM RRI May 2025 and redesigned to 1,475 MW / 2031 COD; Aurora (Feb 2026) reports queue request withdrawn after $878/kW cost estimate (single source). Neighboring Oregon Clean Energy Center (870 MW) now owned by I&amp;M/AEP (Mar 2026) - not CPV. ALTERNATIVE CPV LEAD: CPV Walker Energy Center, Fayette County OH (1,450-1,465 MW CC, ~150 acres, construction Q2 2028, COD Q4 2031, AES Ohio 345 kV). Other contact: Joel Mazur (City Administrator, Oregon OH).</t>
        </is>
      </c>
      <c r="CH28" s="38" t="inlineStr">
        <is>
          <t>Confirm with CPV whether Oregon is alive; open new lead for CPV Walker Energy Center (Fayette Co., OH).</t>
        </is>
      </c>
      <c r="CI28" s="38" t="inlineStr">
        <is>
          <t>OVERVIEW: planned ~1,475 MW natural-gas combined-cycle plant (redesigned from the 955 MW certificate) by CPV, selected for PJM's Reliability Resource Initiative (May 2025) with a 2031 target - currently stalled (queue reportedly withdrawn). TECHNOLOGY &amp; EQUIPMENT: combined cycle; original design two combustion turbines + HRSGs + steam turbine; OEM for redesign not published. SITE: BROWNFIELD-ADJACENT industrial parcel next to the existing 870 MW Oregon Clean Energy Center (now I&amp;M/AEP), north of Parkway Rd, Oregon, Lucas County. INTERCONNECTION: 138 kV and 345 kV lines (955 MW case); PJM. OWNERSHIP/STATUS: CPV Oregon Holdings (transfer Jan 2024); OPSB extensions Dec 2023 and May 2025; status uncertain. INVESTMENT: not published for redesign. W&amp;C NEEDS (combined cycle, if revived): MV power cable, 600V power &amp; TC-ER tray cable, shielded I&amp;C cable, grounding, switchyard control cable. Ref: https://opsb.ohio.gov/news/opsb-extends-certificate-for-lucas-county-natural-gas-fired-power-plant | https://www.presspublications.com/stories/natural-gas-power-plant-oregon-ohio-reliability-resource-initiative-pjm,58407 | https://www.recordherald.com/2026/05/04/cpv-walker-energy-center-begins-state-review-for-new-power-plant/</t>
        </is>
      </c>
      <c r="CJ28" s="38" t="inlineStr">
        <is>
          <t>Total project investment: Not found for 1,475 MW redesign (original 955 MW ~$900M). Est. W&amp;C value: $11,800,000 ($8/kW).</t>
        </is>
      </c>
    </row>
    <row r="29" ht="23" customHeight="1">
      <c r="A29" s="36" t="inlineStr">
        <is>
          <t>Kinnamon</t>
        </is>
      </c>
      <c r="B29" s="36" t="inlineStr">
        <is>
          <t>John</t>
        </is>
      </c>
      <c r="C29" s="36" t="inlineStr">
        <is>
          <t>EmberClear Corp.</t>
        </is>
      </c>
      <c r="D29" s="37" t="inlineStr">
        <is>
          <t>New</t>
        </is>
      </c>
      <c r="E29" s="37" t="inlineStr">
        <is>
          <t>Sales</t>
        </is>
      </c>
      <c r="F29" s="36" t="inlineStr">
        <is>
          <t>Stephan Hardt</t>
        </is>
      </c>
      <c r="G29" s="40" t="n"/>
      <c r="H29" s="36" t="inlineStr">
        <is>
          <t>VP, LLEC Project Leader</t>
        </is>
      </c>
      <c r="I29" s="37" t="inlineStr">
        <is>
          <t>End User</t>
        </is>
      </c>
      <c r="J29" s="37" t="inlineStr">
        <is>
          <t>Energy</t>
        </is>
      </c>
      <c r="K29" s="39" t="n"/>
      <c r="L29" s="39" t="n"/>
      <c r="M29" s="39" t="n"/>
      <c r="N29" s="39" t="n"/>
      <c r="O29" s="37" t="inlineStr">
        <is>
          <t>Yes</t>
        </is>
      </c>
      <c r="P29" s="46" t="n"/>
      <c r="Q29" s="48" t="n"/>
      <c r="R29" s="40" t="n"/>
      <c r="S29" s="40" t="n"/>
      <c r="T29" s="39" t="n"/>
      <c r="U29" s="47" t="n"/>
      <c r="V29" s="39" t="n"/>
      <c r="W29" s="39" t="n"/>
      <c r="X29" s="39" t="n"/>
      <c r="Y29" s="39" t="n"/>
      <c r="Z29" s="40" t="n"/>
      <c r="AA29" s="40" t="n"/>
      <c r="AB29" s="46" t="n"/>
      <c r="AC29" s="39" t="n"/>
      <c r="AD29" s="36" t="inlineStr">
        <is>
          <t>Lincoln Land Energy Center (LLEC)</t>
        </is>
      </c>
      <c r="AE29" s="38" t="inlineStr">
        <is>
          <t>Lincoln Land Energy Center LLC; MISO 62022_GEN1/GEN2</t>
        </is>
      </c>
      <c r="AF29" s="36" t="inlineStr">
        <is>
          <t>EmberClear Corp.</t>
        </is>
      </c>
      <c r="AG29" s="38" t="inlineStr">
        <is>
          <t>Dormant / at risk - construction not started; IEPA permit expires Jan 1, 2027; data-center offtaker withdrew Aug 2026</t>
        </is>
      </c>
      <c r="AH29" s="37" t="inlineStr">
        <is>
          <t>IPP</t>
        </is>
      </c>
      <c r="AI29" s="49">
        <f>AL29*1000*Guide!$B$81</f>
        <v/>
      </c>
      <c r="AJ29" s="50" t="n"/>
      <c r="AK29" s="45" t="n">
        <v>47635</v>
      </c>
      <c r="AL29" s="44" t="n">
        <v>1190</v>
      </c>
      <c r="AM29" s="44" t="n">
        <v>345</v>
      </c>
      <c r="AN29" s="37" t="inlineStr">
        <is>
          <t>Power Generation</t>
        </is>
      </c>
      <c r="AO29" s="37" t="inlineStr">
        <is>
          <t>Generation</t>
        </is>
      </c>
      <c r="AP29" s="37" t="inlineStr">
        <is>
          <t>New Capacity/New Build</t>
        </is>
      </c>
      <c r="AQ29" s="37" t="inlineStr">
        <is>
          <t>New Load Growth</t>
        </is>
      </c>
      <c r="AR29" s="37" t="inlineStr">
        <is>
          <t>Generation</t>
        </is>
      </c>
      <c r="AS29" s="38" t="inlineStr">
        <is>
          <t>Natural gas generation - electrical BoP (MV/LV power, tray/control &amp; instrumentation cable, substation)</t>
        </is>
      </c>
      <c r="AT29" s="37" t="inlineStr">
        <is>
          <t>Greenfield</t>
        </is>
      </c>
      <c r="AU29" s="37" t="inlineStr">
        <is>
          <t>Traditional</t>
        </is>
      </c>
      <c r="AV29" s="37" t="inlineStr">
        <is>
          <t>Natural Gas</t>
        </is>
      </c>
      <c r="AW29" s="37" t="inlineStr">
        <is>
          <t>No</t>
        </is>
      </c>
      <c r="AX29" s="36" t="inlineStr">
        <is>
          <t>~0.5 mile south of the Village of Pawnee</t>
        </is>
      </c>
      <c r="AY29" s="36" t="inlineStr">
        <is>
          <t>Pawnee</t>
        </is>
      </c>
      <c r="AZ29" s="36" t="inlineStr">
        <is>
          <t>IL</t>
        </is>
      </c>
      <c r="BA29" s="39" t="n"/>
      <c r="BB29" s="36" t="inlineStr">
        <is>
          <t>United States</t>
        </is>
      </c>
      <c r="BC29" s="36" t="inlineStr">
        <is>
          <t>Sangamon</t>
        </is>
      </c>
      <c r="BD29" s="40" t="n"/>
      <c r="BE29" s="38" t="inlineStr">
        <is>
          <t>EmberClear (Lincoln Land Energy Center LLC)</t>
        </is>
      </c>
      <c r="BF29" s="38" t="inlineStr">
        <is>
          <t>Bechtel (partner via BDC Power Holdings - contract not confirmed)</t>
        </is>
      </c>
      <c r="BG29" s="38" t="inlineStr">
        <is>
          <t>EmberClear Corp. (with Kindle Energy, Siemens Energy, Bechtel)</t>
        </is>
      </c>
      <c r="BH29" s="39" t="n"/>
      <c r="BI29" s="36" t="inlineStr">
        <is>
          <t>Siemens Energy (gas turbines)</t>
        </is>
      </c>
      <c r="BJ29" s="39" t="n"/>
      <c r="BK29" s="39" t="n"/>
      <c r="BL29" s="38" t="inlineStr">
        <is>
          <t>Midcontinent Independent System Operator (MISO)</t>
        </is>
      </c>
      <c r="BM29" s="38" t="inlineStr">
        <is>
          <t>Ameren Illinois (Illinois Rivers 345 kV substation)</t>
        </is>
      </c>
      <c r="BN29" s="39" t="n"/>
      <c r="BO29" s="39" t="n"/>
      <c r="BP29" s="37" t="inlineStr">
        <is>
          <t>Yes</t>
        </is>
      </c>
      <c r="BQ29" s="37" t="inlineStr">
        <is>
          <t>Yes</t>
        </is>
      </c>
      <c r="BR29" s="37" t="inlineStr">
        <is>
          <t>Yes</t>
        </is>
      </c>
      <c r="BS29" s="37" t="inlineStr">
        <is>
          <t>No</t>
        </is>
      </c>
      <c r="BT29" s="37" t="inlineStr">
        <is>
          <t>No</t>
        </is>
      </c>
      <c r="BU29" s="37" t="inlineStr">
        <is>
          <t>No</t>
        </is>
      </c>
      <c r="BV29" s="37" t="inlineStr">
        <is>
          <t>No</t>
        </is>
      </c>
      <c r="BW29" s="37" t="inlineStr">
        <is>
          <t>Yes</t>
        </is>
      </c>
      <c r="BX29" s="43" t="n"/>
      <c r="BY29" s="39" t="n"/>
      <c r="BZ29" s="39" t="n"/>
      <c r="CA29" s="39" t="n"/>
      <c r="CB29" s="39" t="n"/>
      <c r="CC29" s="39" t="n"/>
      <c r="CD29" s="39" t="n"/>
      <c r="CE29" s="39" t="n"/>
      <c r="CF29" s="39" t="n"/>
      <c r="CG29" s="38" t="inlineStr">
        <is>
          <t>ON HOLD: IEPA construction permit (2022, extended twice) expires Jan 1, 2027; construction not begun; EmberClear/Kindle not responding to press; Eagle Rock Partners abandoned its Christian County data center (offtaker) Aug 12, 2026. CRM correction: RTO is MISO Zone 4 (Ameren), not PJM; EIA COD Jun 2030. Re-check after Jan 1, 2027.</t>
        </is>
      </c>
      <c r="CH29" s="38" t="inlineStr">
        <is>
          <t>Re-check IEPA permit status after Jan 1, 2027; move to dormant if not extended; watch for Kindle/Blackstone revival.</t>
        </is>
      </c>
      <c r="CI29" s="38" t="inlineStr">
        <is>
          <t>OVERVIEW: ~1,190 MW (EIA/MISO 1,277 MW) natural-gas combined-cycle plant near Pawnee, IL, developed by EmberClear with Siemens Energy, Siemens Financial Services, Bechtel (BDC Power Holdings) and Kindle Energy; designed for 30% hydrogen blend with path to 100%. Linked data-center offtaker (Eagle Rock Meridian Technology Park, ~1 GW) withdrew Aug 2026. TECHNOLOGY &amp; EQUIPMENT: two combined-cycle blocks (2x ~560-638 MW) with Siemens Energy gas turbines, HRSGs and steam turbines. SITE: GREENFIELD - 160 acres, half a mile south of the Village of Pawnee, Sangamon County. INTERCONNECTION: adjacent to Ameren's Illinois Rivers 345 kV substation; MISO Zone 4 (interconnection agreement 2023). OWNERSHIP/STATUS: EmberClear (Lincoln Land Energy Center LLC); IEPA permit expires Jan 1, 2027; EIA COD Jun 2030. INVESTMENT: ~$1.4-1.5B. W&amp;C NEEDS (combined cycle, if revived): MV power cable, 600V power &amp; TC-ER tray cable, shielded I&amp;C cable, grounding, 345 kV switchyard control cable. Ref: https://emberclear.com/lincoln-land-2/ | https://www.illinoistimes.com/news/data-center-development-linked-to-power-plant-construction/ | https://www.springfieldbusinessjournal.com/news/data-center-developer-abandons-plans-for-christian-county/</t>
        </is>
      </c>
      <c r="CJ29" s="38" t="inlineStr">
        <is>
          <t>Total project investment: ~$1.4B-$1.5B+. Est. W&amp;C value: $9,520,000 ($8/kW).</t>
        </is>
      </c>
    </row>
    <row r="30" ht="23" customHeight="1">
      <c r="A30" s="36" t="inlineStr">
        <is>
          <t>Droog</t>
        </is>
      </c>
      <c r="B30" s="36" t="inlineStr">
        <is>
          <t>Daniel</t>
        </is>
      </c>
      <c r="C30" s="36" t="inlineStr">
        <is>
          <t>Chevron</t>
        </is>
      </c>
      <c r="D30" s="37" t="inlineStr">
        <is>
          <t>New</t>
        </is>
      </c>
      <c r="E30" s="37" t="inlineStr">
        <is>
          <t>Sales</t>
        </is>
      </c>
      <c r="F30" s="36" t="inlineStr">
        <is>
          <t>Stephan Hardt</t>
        </is>
      </c>
      <c r="G30" s="40" t="n"/>
      <c r="H30" s="36" t="inlineStr">
        <is>
          <t>VP, Power Solutions</t>
        </is>
      </c>
      <c r="I30" s="37" t="inlineStr">
        <is>
          <t>End User</t>
        </is>
      </c>
      <c r="J30" s="37" t="inlineStr">
        <is>
          <t>Energy</t>
        </is>
      </c>
      <c r="K30" s="39" t="n"/>
      <c r="L30" s="39" t="n"/>
      <c r="M30" s="39" t="n"/>
      <c r="N30" s="39" t="n"/>
      <c r="O30" s="37" t="inlineStr">
        <is>
          <t>Yes</t>
        </is>
      </c>
      <c r="P30" s="46" t="n"/>
      <c r="Q30" s="48" t="n"/>
      <c r="R30" s="40" t="n"/>
      <c r="S30" s="40" t="n"/>
      <c r="T30" s="39" t="n"/>
      <c r="U30" s="47" t="n"/>
      <c r="V30" s="39" t="n"/>
      <c r="W30" s="39" t="n"/>
      <c r="X30" s="39" t="n"/>
      <c r="Y30" s="39" t="n"/>
      <c r="Z30" s="40" t="n"/>
      <c r="AA30" s="40" t="n"/>
      <c r="AB30" s="46" t="n"/>
      <c r="AC30" s="39" t="n"/>
      <c r="AD30" s="36" t="inlineStr">
        <is>
          <t>Project Kilby (Chevron West Texas Power)</t>
        </is>
      </c>
      <c r="AE30" s="38" t="inlineStr">
        <is>
          <t>Kilby Power Plant; Energy Forge One LLC; Kilby Chevron West Texas Natural Gas (CRM); TCEQ 181895/PSDTX1684</t>
        </is>
      </c>
      <c r="AF30" s="38" t="inlineStr">
        <is>
          <t>Chevron (Energy Forge One LLC) / Joulent (Engine No. 1, National Grid Ventures)</t>
        </is>
      </c>
      <c r="AG30" s="38" t="inlineStr">
        <is>
          <t>Pre-FID - Microsoft 20-yr PPA Jun 22, 2026; FID targeted end-2026; TCEQ air permit pending</t>
        </is>
      </c>
      <c r="AH30" s="37" t="inlineStr">
        <is>
          <t>IPP</t>
        </is>
      </c>
      <c r="AI30" s="49">
        <f>AL30*1000*Guide!$B$81</f>
        <v/>
      </c>
      <c r="AJ30" s="50" t="n"/>
      <c r="AK30" s="45" t="n">
        <v>46934</v>
      </c>
      <c r="AL30" s="44" t="n">
        <v>2670</v>
      </c>
      <c r="AM30" s="43" t="n"/>
      <c r="AN30" s="37" t="inlineStr">
        <is>
          <t>Power Generation</t>
        </is>
      </c>
      <c r="AO30" s="37" t="inlineStr">
        <is>
          <t>Generation</t>
        </is>
      </c>
      <c r="AP30" s="37" t="inlineStr">
        <is>
          <t>New Capacity/New Build</t>
        </is>
      </c>
      <c r="AQ30" s="37" t="inlineStr">
        <is>
          <t>Load Interconnection</t>
        </is>
      </c>
      <c r="AR30" s="37" t="inlineStr">
        <is>
          <t>Generation</t>
        </is>
      </c>
      <c r="AS30" s="38" t="inlineStr">
        <is>
          <t>Natural gas generation - electrical BoP (MV/LV power, tray/control &amp; instrumentation cable, substation)</t>
        </is>
      </c>
      <c r="AT30" s="37" t="inlineStr">
        <is>
          <t>Greenfield</t>
        </is>
      </c>
      <c r="AU30" s="37" t="inlineStr">
        <is>
          <t>Traditional</t>
        </is>
      </c>
      <c r="AV30" s="37" t="inlineStr">
        <is>
          <t>Natural Gas</t>
        </is>
      </c>
      <c r="AW30" s="37" t="inlineStr">
        <is>
          <t>Yes</t>
        </is>
      </c>
      <c r="AX30" s="38" t="inlineStr">
        <is>
          <t>SE of Pecos off US-285 / FM 112 (~2 mi W)</t>
        </is>
      </c>
      <c r="AY30" s="36" t="inlineStr">
        <is>
          <t>Pecos (Verhalen area)</t>
        </is>
      </c>
      <c r="AZ30" s="36" t="inlineStr">
        <is>
          <t>TX</t>
        </is>
      </c>
      <c r="BA30" s="36" t="inlineStr">
        <is>
          <t>79780</t>
        </is>
      </c>
      <c r="BB30" s="36" t="inlineStr">
        <is>
          <t>United States</t>
        </is>
      </c>
      <c r="BC30" s="36" t="inlineStr">
        <is>
          <t>Reeves</t>
        </is>
      </c>
      <c r="BD30" s="40" t="n"/>
      <c r="BE30" s="36" t="inlineStr">
        <is>
          <t>Energy Forge One LLC (Chevron)</t>
        </is>
      </c>
      <c r="BF30" s="38" t="inlineStr">
        <is>
          <t>Bechtel (Kilby job 26776 - procurement/early works published; full NTP to confirm)</t>
        </is>
      </c>
      <c r="BG30" s="38" t="inlineStr">
        <is>
          <t>Energy Forge One LLC - Chevron / Joulent 50:50 JV (Joulent: Engine No. 1; National Grid Ventures 35%)</t>
        </is>
      </c>
      <c r="BH30" s="39" t="n"/>
      <c r="BI30" s="38" t="inlineStr">
        <is>
          <t>GE Vernova 7HA turbines (7 reserved) + Solar Turbines Titan 350/130 (Caterpillar)</t>
        </is>
      </c>
      <c r="BJ30" s="39" t="n"/>
      <c r="BK30" s="39" t="n"/>
      <c r="BL30" s="38" t="inlineStr">
        <is>
          <t>None - behind the meter (co-located, ERCOT region)</t>
        </is>
      </c>
      <c r="BM30" s="36" t="inlineStr">
        <is>
          <t>None - dedicated to Microsoft</t>
        </is>
      </c>
      <c r="BN30" s="39" t="n"/>
      <c r="BO30" s="39" t="n"/>
      <c r="BP30" s="37" t="inlineStr">
        <is>
          <t>Yes</t>
        </is>
      </c>
      <c r="BQ30" s="37" t="inlineStr">
        <is>
          <t>Yes</t>
        </is>
      </c>
      <c r="BR30" s="37" t="inlineStr">
        <is>
          <t>Yes</t>
        </is>
      </c>
      <c r="BS30" s="37" t="inlineStr">
        <is>
          <t>No</t>
        </is>
      </c>
      <c r="BT30" s="37" t="inlineStr">
        <is>
          <t>No</t>
        </is>
      </c>
      <c r="BU30" s="37" t="inlineStr">
        <is>
          <t>No</t>
        </is>
      </c>
      <c r="BV30" s="37" t="inlineStr">
        <is>
          <t>No</t>
        </is>
      </c>
      <c r="BW30" s="37" t="inlineStr">
        <is>
          <t>Yes</t>
        </is>
      </c>
      <c r="BX30" s="43" t="n"/>
      <c r="BY30" s="39" t="n"/>
      <c r="BZ30" s="39" t="n"/>
      <c r="CA30" s="39" t="n"/>
      <c r="CB30" s="39" t="n"/>
      <c r="CC30" s="39" t="n"/>
      <c r="CD30" s="39" t="n"/>
      <c r="CE30" s="39" t="n"/>
      <c r="CF30" s="39" t="n"/>
      <c r="CG30" s="38" t="inlineStr">
        <is>
          <t>AWARD (PO) DATE BASIS: PPA signed Jun 2026, FID targeted end-2026, first power 2028 with phased ramp to ~2.67 GW (~2029-30) -&gt; award window Jun 2026-Jun 2027, target ~Q1 2027 (early-power Titan 130 units drive first packages). CRM COD 6/30/2027 corrected to 2028. Bechtel May 2026 Project Opportunity Report lists Kilby job 26776 with procurement (Birju Vasani, bvasani@bechtel.com) and subcontracts (Mark Bingaman, mabingam@bechtel.com, 713-235-1662) prequalification contacts; full NTP not confirmed. Full capacity 2031 per kilby.com. Other contacts: Jeff Gustavson (President, Chevron New Energies); Chris James (Founder &amp; CEO, Engine No. 1 / Joulent).</t>
        </is>
      </c>
      <c r="CH30" s="38" t="inlineStr">
        <is>
          <t>Prequalify with Bechtel now: Birju Vasani (procurement) and Mark Bingaman (subcontracts) for Kilby job 26776; get specified before FID (Dec 2026); engage Chevron Power Solutions (Daniel Droog).</t>
        </is>
      </c>
      <c r="CI30" s="38" t="inlineStr">
        <is>
          <t>OVERVIEW: ~2.67 GW (permit ~2.87 GW, possible scale to 5 GW) off-grid natural-gas power plant dedicated to Microsoft's up-to-2 GW Pecos AI data-center campus under a 20-year PPA (Jun 22, 2026); developed by Chevron (Energy Forge One) with Engine No. 1's Joulent and National Grid Ventures ($1.75B for 35% of Joulent). TECHNOLOGY &amp; EQUIPMENT: ~46 gas turbines - GE Vernova 7HA (7 reserved; permit analysis 5x 7HA.02) plus Solar Turbines Titan 350 (12) and Titan 130 (29, added Dec 2025 for early power); SCR and oxidation catalysts; combined/simple-cycle split not confirmed. SITE: GREENFIELD - Reeves County, SE of Pecos near Verhalen (Pecos TX 79780), off US-285 / FM 112; Microsoft campus ~7,000 acres (tracker, unverified). INTERCONNECTION: behind-the-meter, co-located with Microsoft campus (ERCOT region, no grid export disclosed). OWNERSHIP/STATUS: Energy Forge One LLC (Chevron/Joulent 50:50); EPC Bechtel (job 26776, procurement/early works); pre-FID; TCEQ air permit draft Apr 2026, public meeting Jun 10, 2026, pending; FID end-2026; first power 2028. INVESTMENT: ~$7-9B (analyst estimates).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Very large scope: 46 turbine packages plus data-center campus feeders. Ref: https://www.chevron.com/newsroom/2026/q2/chevron-signs-20-year-power-agreement-with-microsoft-for-west-texas-data-center | https://www.tceq.texas.gov/downloads/permitting/air/bilingual/pending-permit-notices/181895-pls-english.pdf | https://blogs.microsoft.com/blog/2026/06/22/powering-the-next-wave-of-ai-expanding-capacity-with-our-new-datacenter-in-pecos/</t>
        </is>
      </c>
      <c r="CJ30" s="38" t="inlineStr">
        <is>
          <t>Total project investment: Not disclosed (~$7B Bloomberg to ~$9B TD Securities estimates). Est. W&amp;C value: $21,360,000 ($8/kW).</t>
        </is>
      </c>
    </row>
    <row r="31" ht="23" customHeight="1">
      <c r="A31" s="36" t="inlineStr">
        <is>
          <t>Cox</t>
        </is>
      </c>
      <c r="B31" s="36" t="inlineStr">
        <is>
          <t>Chris</t>
        </is>
      </c>
      <c r="C31" s="36" t="inlineStr">
        <is>
          <t>The Frontier Group of Companies</t>
        </is>
      </c>
      <c r="D31" s="37" t="inlineStr">
        <is>
          <t>New</t>
        </is>
      </c>
      <c r="E31" s="37" t="inlineStr">
        <is>
          <t>Sales</t>
        </is>
      </c>
      <c r="F31" s="36" t="inlineStr">
        <is>
          <t>Stephan Hardt</t>
        </is>
      </c>
      <c r="G31" s="40" t="n"/>
      <c r="H31" s="36" t="inlineStr">
        <is>
          <t>VP, Power Generation</t>
        </is>
      </c>
      <c r="I31" s="37" t="inlineStr">
        <is>
          <t>End User</t>
        </is>
      </c>
      <c r="J31" s="37" t="inlineStr">
        <is>
          <t>Energy</t>
        </is>
      </c>
      <c r="K31" s="39" t="n"/>
      <c r="L31" s="39" t="n"/>
      <c r="M31" s="39" t="n"/>
      <c r="N31" s="39" t="n"/>
      <c r="O31" s="37" t="inlineStr">
        <is>
          <t>Yes</t>
        </is>
      </c>
      <c r="P31" s="46" t="n"/>
      <c r="Q31" s="48" t="n"/>
      <c r="R31" s="40" t="n"/>
      <c r="S31" s="40" t="n"/>
      <c r="T31" s="39" t="n"/>
      <c r="U31" s="47" t="n"/>
      <c r="V31" s="39" t="n"/>
      <c r="W31" s="39" t="n"/>
      <c r="X31" s="39" t="n"/>
      <c r="Y31" s="39" t="n"/>
      <c r="Z31" s="40" t="n"/>
      <c r="AA31" s="40" t="n"/>
      <c r="AB31" s="46" t="n"/>
      <c r="AC31" s="39" t="n"/>
      <c r="AD31" s="36" t="inlineStr">
        <is>
          <t>Shippingport Power Station Phase II</t>
        </is>
      </c>
      <c r="AE31" s="38" t="inlineStr">
        <is>
          <t>Shippingport Power Station, LLC; former Bruce Mansfield Power Plant conversion; Shippingport Industrial Park</t>
        </is>
      </c>
      <c r="AF31" s="36" t="inlineStr">
        <is>
          <t>The Frontier Group of Companies (FGC)</t>
        </is>
      </c>
      <c r="AG31" s="38" t="inlineStr">
        <is>
          <t>Development / permitting - DEP fuel-yard stormwater permit comment to Nov 23, 2026; PJM approval expected mid-2028</t>
        </is>
      </c>
      <c r="AH31" s="37" t="inlineStr">
        <is>
          <t>IPP</t>
        </is>
      </c>
      <c r="AI31" s="49">
        <f>AL31*1000*Guide!$B$81</f>
        <v/>
      </c>
      <c r="AJ31" s="50" t="n"/>
      <c r="AK31" s="45" t="n">
        <v>47208</v>
      </c>
      <c r="AL31" s="44" t="n">
        <v>2550</v>
      </c>
      <c r="AM31" s="44" t="n">
        <v>345</v>
      </c>
      <c r="AN31" s="37" t="inlineStr">
        <is>
          <t>Power Generation</t>
        </is>
      </c>
      <c r="AO31" s="37" t="inlineStr">
        <is>
          <t>Generation</t>
        </is>
      </c>
      <c r="AP31" s="37" t="inlineStr">
        <is>
          <t>New Capacity/New Build</t>
        </is>
      </c>
      <c r="AQ31" s="37" t="inlineStr">
        <is>
          <t>Load Interconnection</t>
        </is>
      </c>
      <c r="AR31" s="37" t="inlineStr">
        <is>
          <t>Generation</t>
        </is>
      </c>
      <c r="AS31" s="38" t="inlineStr">
        <is>
          <t>Natural gas generation - electrical BoP (MV/LV power, tray/control &amp; instrumentation cable, substation)</t>
        </is>
      </c>
      <c r="AT31" s="37" t="inlineStr">
        <is>
          <t>Brownfield</t>
        </is>
      </c>
      <c r="AU31" s="37" t="inlineStr">
        <is>
          <t>Traditional</t>
        </is>
      </c>
      <c r="AV31" s="37" t="inlineStr">
        <is>
          <t>Natural Gas</t>
        </is>
      </c>
      <c r="AW31" s="37" t="inlineStr">
        <is>
          <t>Yes</t>
        </is>
      </c>
      <c r="AX31" s="38" t="inlineStr">
        <is>
          <t>Shippingport Industrial Park (former Bruce Mansfield plant)</t>
        </is>
      </c>
      <c r="AY31" s="36" t="inlineStr">
        <is>
          <t>Shippingport</t>
        </is>
      </c>
      <c r="AZ31" s="36" t="inlineStr">
        <is>
          <t>PA</t>
        </is>
      </c>
      <c r="BA31" s="39" t="n"/>
      <c r="BB31" s="36" t="inlineStr">
        <is>
          <t>United States</t>
        </is>
      </c>
      <c r="BC31" s="36" t="inlineStr">
        <is>
          <t>Beaver</t>
        </is>
      </c>
      <c r="BD31" s="40" t="n"/>
      <c r="BE31" s="38" t="inlineStr">
        <is>
          <t>Shippingport Power Station, LLC (Frontier)</t>
        </is>
      </c>
      <c r="BF31" s="38" t="inlineStr">
        <is>
          <t>Frontier Group (self-performs); Wood - owner's engineer; construction package contractors to confirm</t>
        </is>
      </c>
      <c r="BG31" s="36" t="inlineStr">
        <is>
          <t>The Frontier Group of Companies</t>
        </is>
      </c>
      <c r="BH31" s="39" t="n"/>
      <c r="BI31" s="38" t="inlineStr">
        <is>
          <t>Existing Foster Wheeler boilers / 3x GE steam turbine-generators (refurbished); new gas turbines (OEM not disclosed)</t>
        </is>
      </c>
      <c r="BJ31" s="39" t="n"/>
      <c r="BK31" s="39" t="n"/>
      <c r="BL31" s="36" t="inlineStr">
        <is>
          <t>PJM Interconnection (PJM)</t>
        </is>
      </c>
      <c r="BM31" s="38" t="inlineStr">
        <is>
          <t>Penn Power / FirstEnergy (Bruce Mansfield 345 kV substation)</t>
        </is>
      </c>
      <c r="BN31" s="39" t="n"/>
      <c r="BO31" s="39" t="n"/>
      <c r="BP31" s="37" t="inlineStr">
        <is>
          <t>Yes</t>
        </is>
      </c>
      <c r="BQ31" s="37" t="inlineStr">
        <is>
          <t>Yes</t>
        </is>
      </c>
      <c r="BR31" s="37" t="inlineStr">
        <is>
          <t>Yes</t>
        </is>
      </c>
      <c r="BS31" s="37" t="inlineStr">
        <is>
          <t>No</t>
        </is>
      </c>
      <c r="BT31" s="37" t="inlineStr">
        <is>
          <t>No</t>
        </is>
      </c>
      <c r="BU31" s="37" t="inlineStr">
        <is>
          <t>No</t>
        </is>
      </c>
      <c r="BV31" s="37" t="inlineStr">
        <is>
          <t>No</t>
        </is>
      </c>
      <c r="BW31" s="37" t="inlineStr">
        <is>
          <t>Yes</t>
        </is>
      </c>
      <c r="BX31" s="43" t="n"/>
      <c r="BY31" s="39" t="n"/>
      <c r="BZ31" s="39" t="n"/>
      <c r="CA31" s="39" t="n"/>
      <c r="CB31" s="39" t="n"/>
      <c r="CC31" s="39" t="n"/>
      <c r="CD31" s="39" t="n"/>
      <c r="CE31" s="39" t="n"/>
      <c r="CF31" s="39" t="n"/>
      <c r="CG31" s="38" t="inlineStr">
        <is>
          <t>AWARD (PO) DATE BASIS: Frontier targets PJM approval mid-2028 and units online early 2029 with ~3-year construction -&gt; award window Mar 2027-Mar 2028, target ~Q2 2027. CRM COD 12/31/2030 updated to early 2029. Capacity conflicts: 2,550 MW export / 2.7 GW conversion + 900 MW Phase I = 3.6 GW. Aligned Data Centers broke ground on 2 GW Project Phoenix (~$10B) Sep 10, 2026 next door. Other contacts: David Franjoine (Founder &amp; CEO); Robert Zuchlewski (COO); Anthony Basil (Project Manager) and Peter Violante (Dir. Logistics &amp; BD) - Shippingport assignment not confirmed. Owner's engineer: Wood.</t>
        </is>
      </c>
      <c r="CH31" s="38" t="inlineStr">
        <is>
          <t>Meet Chris Cox (Frontier) on Phase II steam-unit refurbishment and 34.5 kV substation cable packages.</t>
        </is>
      </c>
      <c r="CI31" s="38" t="inlineStr">
        <is>
          <t>OVERVIEW: conversion of the former 2.5-2.7 GW Bruce Mansfield coal plant (operated 1976-2019) into a natural-gas power station; Phase I adds ~900 MW new simple-cycle gas turbines + switchyard, Phase II (this record) converts the coal units (~2.7 GW) - up to ~3.6 GW total available to the park; EQT gas supply ~800 MMcf/d via new 7.2-mile National Fuel lateral. TECHNOLOGY &amp; EQUIPMENT: refurbish 3x existing GE steam turbine-generators (~850 MW each) re-powered with new gas turbines (repowering), new cooling towers, transformers and switchgear, on-site gas receiving station and 34.5 kV substation; coal handling demolished. SITE: BROWNFIELD - former Bruce Mansfield coal plant in the 660-acre Shippingport Industrial Park, Shippingport Borough, Beaver County; 14.5-acre gas fuel yard. Aligned Data Centers' 2 GW Project Phoenix campus under construction on site. INTERCONNECTION: PJM Cycle 01 (existing Bruce Mansfield 345 kV substation, Penn Power/FirstEnergy) plus behind-the-meter supply to the park. OWNERSHIP/STATUS: Frontier Group (self-performs engineering and construction; Wood owner's engineer); permitting underway; PJM approval mid-2028; units online early 2029; &gt;1,500 construction workers. INVESTMENT: &gt;$1.8B. W&amp;C NEEDS (repowered steam units + new GTs): MV power cable for new GT/aux transformers, cooling-tower fans and pumps, 34.5 kV substation feeders; 600V power &amp; TC-ER tray cable; shielded I&amp;C cable for new controls/DCS; grounding; switchyard control cable; data-center park MV distribution. Ref: https://frontier-companies.com/shippingport-power-station-featured-in-energy-oil-gas-magazine/ | https://www.businesswire.com/news/home/20250715103342/en/The-Frontier-Group-of-Companies-to-Transform-Bruce-Mansfield-Power-Plant-into-State-of-the-Art-Natural-Gas-Power-Plant-Supporting-Americas-Energy-Goals-and-Pennsylvanias-Economic-Growth | https://aligneddc.com/press-release/project-phoenix-data-center-shippingport-pa/</t>
        </is>
      </c>
      <c r="CJ31" s="38" t="inlineStr">
        <is>
          <t>Total project investment: &gt;$1.8B (Frontier Oct 2026; other Frontier pages cite $1.6B+ to ~$3.2B for full conversion). Est. W&amp;C value: $20,400,000 ($8/kW).</t>
        </is>
      </c>
    </row>
    <row r="32" ht="23" customHeight="1">
      <c r="A32" s="36" t="inlineStr">
        <is>
          <t>Siffin</t>
        </is>
      </c>
      <c r="B32" s="36" t="inlineStr">
        <is>
          <t>Mark</t>
        </is>
      </c>
      <c r="C32" s="36" t="inlineStr">
        <is>
          <t>Maefield Development / VPN 4420 LLC</t>
        </is>
      </c>
      <c r="D32" s="37" t="inlineStr">
        <is>
          <t>New</t>
        </is>
      </c>
      <c r="E32" s="37" t="inlineStr">
        <is>
          <t>Sales</t>
        </is>
      </c>
      <c r="F32" s="36" t="inlineStr">
        <is>
          <t>Stephan Hardt</t>
        </is>
      </c>
      <c r="G32" s="40" t="n"/>
      <c r="H32" s="36" t="inlineStr">
        <is>
          <t>CEO / project business contact</t>
        </is>
      </c>
      <c r="I32" s="37" t="inlineStr">
        <is>
          <t>End User</t>
        </is>
      </c>
      <c r="J32" s="37" t="inlineStr">
        <is>
          <t>Energy</t>
        </is>
      </c>
      <c r="K32" s="36" t="inlineStr">
        <is>
          <t>+1 347-703-0093</t>
        </is>
      </c>
      <c r="L32" s="39" t="n"/>
      <c r="M32" s="36" t="inlineStr">
        <is>
          <t>siffin@maefield.com</t>
        </is>
      </c>
      <c r="N32" s="39" t="n"/>
      <c r="O32" s="37" t="inlineStr">
        <is>
          <t>Yes</t>
        </is>
      </c>
      <c r="P32" s="46" t="n"/>
      <c r="Q32" s="48" t="n"/>
      <c r="R32" s="40" t="n"/>
      <c r="S32" s="40" t="n"/>
      <c r="T32" s="39" t="n"/>
      <c r="U32" s="47" t="n"/>
      <c r="V32" s="39" t="n"/>
      <c r="W32" s="39" t="n"/>
      <c r="X32" s="39" t="n"/>
      <c r="Y32" s="39" t="n"/>
      <c r="Z32" s="40" t="n"/>
      <c r="AA32" s="40" t="n"/>
      <c r="AB32" s="46" t="n"/>
      <c r="AC32" s="39" t="n"/>
      <c r="AD32" s="38" t="inlineStr">
        <is>
          <t>VPN 4420 Natural Gas Generation Component</t>
        </is>
      </c>
      <c r="AE32" s="38" t="inlineStr">
        <is>
          <t>VPN 4420 LLC; Texas Comptroller Chapter 313 Application #1993 (Pecos-Barstow-Toyah ISD)</t>
        </is>
      </c>
      <c r="AF32" s="36" t="inlineStr">
        <is>
          <t>VPN 4420 LLC</t>
        </is>
      </c>
      <c r="AG32" s="38" t="inlineStr">
        <is>
          <t>Dormant / speculative - 2022 Chapter 313 agreement; no investment or permits reported</t>
        </is>
      </c>
      <c r="AH32" s="37" t="inlineStr">
        <is>
          <t>IPP</t>
        </is>
      </c>
      <c r="AI32" s="49">
        <f>AL32*1000*Guide!$B$81</f>
        <v/>
      </c>
      <c r="AJ32" s="50" t="n"/>
      <c r="AK32" s="45" t="n">
        <v>47848</v>
      </c>
      <c r="AL32" s="44" t="n">
        <v>1540</v>
      </c>
      <c r="AM32" s="43" t="n"/>
      <c r="AN32" s="37" t="inlineStr">
        <is>
          <t>Power Generation</t>
        </is>
      </c>
      <c r="AO32" s="37" t="inlineStr">
        <is>
          <t>Generation</t>
        </is>
      </c>
      <c r="AP32" s="37" t="inlineStr">
        <is>
          <t>New Capacity/New Build</t>
        </is>
      </c>
      <c r="AQ32" s="37" t="inlineStr">
        <is>
          <t>Load Interconnection</t>
        </is>
      </c>
      <c r="AR32" s="37" t="inlineStr">
        <is>
          <t>Generation</t>
        </is>
      </c>
      <c r="AS32" s="38" t="inlineStr">
        <is>
          <t>Natural gas generation - electrical BoP (MV/LV power, tray/control &amp; instrumentation cable, substation)</t>
        </is>
      </c>
      <c r="AT32" s="37" t="inlineStr">
        <is>
          <t>Greenfield</t>
        </is>
      </c>
      <c r="AU32" s="37" t="inlineStr">
        <is>
          <t>Traditional</t>
        </is>
      </c>
      <c r="AV32" s="37" t="inlineStr">
        <is>
          <t>Natural Gas</t>
        </is>
      </c>
      <c r="AW32" s="37" t="inlineStr">
        <is>
          <t>Yes</t>
        </is>
      </c>
      <c r="AX32" s="36" t="inlineStr">
        <is>
          <t>Pecos-Barstow-Toyah ISD area</t>
        </is>
      </c>
      <c r="AY32" s="36" t="inlineStr">
        <is>
          <t>Pecos</t>
        </is>
      </c>
      <c r="AZ32" s="36" t="inlineStr">
        <is>
          <t>TX</t>
        </is>
      </c>
      <c r="BA32" s="39" t="n"/>
      <c r="BB32" s="36" t="inlineStr">
        <is>
          <t>United States</t>
        </is>
      </c>
      <c r="BC32" s="36" t="inlineStr">
        <is>
          <t>Reeves</t>
        </is>
      </c>
      <c r="BD32" s="40" t="n"/>
      <c r="BE32" s="36" t="inlineStr">
        <is>
          <t>VPN 4420 LLC</t>
        </is>
      </c>
      <c r="BF32" s="39" t="n"/>
      <c r="BG32" s="38" t="inlineStr">
        <is>
          <t>VPN 4420 LLC / Maefield Development (link per Chapter 313 filings)</t>
        </is>
      </c>
      <c r="BH32" s="39" t="n"/>
      <c r="BI32" s="39" t="n"/>
      <c r="BJ32" s="39" t="n"/>
      <c r="BK32" s="39" t="n"/>
      <c r="BL32" s="38" t="inlineStr">
        <is>
          <t>None - on-site trigeneration (behind the meter)</t>
        </is>
      </c>
      <c r="BM32" s="36" t="inlineStr">
        <is>
          <t>None - on-site</t>
        </is>
      </c>
      <c r="BN32" s="39" t="n"/>
      <c r="BO32" s="39" t="n"/>
      <c r="BP32" s="37" t="inlineStr">
        <is>
          <t>Yes</t>
        </is>
      </c>
      <c r="BQ32" s="37" t="inlineStr">
        <is>
          <t>Yes</t>
        </is>
      </c>
      <c r="BR32" s="37" t="inlineStr">
        <is>
          <t>Yes</t>
        </is>
      </c>
      <c r="BS32" s="37" t="inlineStr">
        <is>
          <t>No</t>
        </is>
      </c>
      <c r="BT32" s="37" t="inlineStr">
        <is>
          <t>No</t>
        </is>
      </c>
      <c r="BU32" s="37" t="inlineStr">
        <is>
          <t>No</t>
        </is>
      </c>
      <c r="BV32" s="37" t="inlineStr">
        <is>
          <t>No</t>
        </is>
      </c>
      <c r="BW32" s="37" t="inlineStr">
        <is>
          <t>Yes</t>
        </is>
      </c>
      <c r="BX32" s="43" t="n"/>
      <c r="BY32" s="39" t="n"/>
      <c r="BZ32" s="39" t="n"/>
      <c r="CA32" s="39" t="n"/>
      <c r="CB32" s="39" t="n"/>
      <c r="CC32" s="39" t="n"/>
      <c r="CD32" s="39" t="n"/>
      <c r="CE32" s="39" t="n"/>
      <c r="CF32" s="39" t="n"/>
      <c r="CG32" s="38" t="inlineStr">
        <is>
          <t>LOW PROBABILITY: Chapter 313 agreement executed Dec 19, 2022 ($1B, 10 jobs); 2023 report showed no jobs/investment; no TCEQ air permit found. Maefield link established via Chapter 313 filings (2024 compliance report posted 2026 lists Mark Siffin). Tentative award 6/30/2029. Same county has stronger leads: Project Kilby (Chevron/Microsoft), Prometheus Hyperscale + Istmo (1.5-2.5 GW, Aug 2026), LandBridge/NRG (1.1 GW), LandBridge/PowerBridge (2 GW).</t>
        </is>
      </c>
      <c r="CH32" s="38" t="inlineStr">
        <is>
          <t>Downgrade probability; watch for TCEQ air filings under VPN 4420; prioritize Kilby/Prometheus in Reeves County.</t>
        </is>
      </c>
      <c r="CI32" s="38" t="inlineStr">
        <is>
          <t>OVERVIEW: proposed Phase 1 technology campus (~6 million sq ft of data centers and semiconductor manufacturing) in Reeves County powered by up to three on-site natural-gas trigeneration plants (power, heating, cooling) totaling ~1.54 GW with CO2 capture equipment. TECHNOLOGY &amp; EQUIPMENT: on-site gas trigeneration plants with CO2 capture (OEMs not published). SITE: GREENFIELD - Pecos-Barstow-Toyah ISD area, Reeves County (acreage not published). INTERCONNECTION: on-site / behind the meter. OWNERSHIP/STATUS: VPN 4420 LLC / Maefield Development (Mark Siffin); Chapter 313 agreement Dec 2022; no reported investment or permits as of latest filings - likely stalled. INVESTMENT: $1B qualified investment (313). W&amp;C NEEDS (behind-the-meter / on-site generation): MV power cable (5-35 kV) collecting many turbine/engine units to on-site switching and plant substations and feeders to the data-center campus; 600V power &amp; TC-ER tray cable for unit packages, MCCs, gas conditioning/compression, BESS and cooling; shielded instrumentation &amp; control cable (unit controls, microgrid/SCADA); extensive bare copper grounding; switchgear/substation control cable; building wire for control and admin buildings. High unit count = high cable density per MW. Ref: https://comptroller.texas.gov/economy/development/prop-tax/ch313/agreement-docs-details.php?id=1993 | https://assets.comptroller.texas.gov/ch313/1993/1993-pecos-vpn-agmt.pdf</t>
        </is>
      </c>
      <c r="CJ32" s="38" t="inlineStr">
        <is>
          <t>Total project investment: $1B qualified investment (Chapter 313 agreement, Phase 1). Est. W&amp;C value: $12,320,000 ($8/kW).</t>
        </is>
      </c>
    </row>
    <row r="33" ht="23" customHeight="1">
      <c r="A33" s="39" t="n"/>
      <c r="B33" s="39" t="n"/>
      <c r="C33" s="39" t="n"/>
      <c r="D33" s="40" t="n"/>
      <c r="E33" s="40" t="n"/>
      <c r="F33" s="39" t="n"/>
      <c r="G33" s="40" t="n"/>
      <c r="H33" s="39" t="n"/>
      <c r="I33" s="40" t="n"/>
      <c r="J33" s="40" t="n"/>
      <c r="K33" s="39" t="n"/>
      <c r="L33" s="39" t="n"/>
      <c r="M33" s="39" t="n"/>
      <c r="N33" s="39" t="n"/>
      <c r="O33" s="40" t="n"/>
      <c r="P33" s="46" t="n"/>
      <c r="Q33" s="48" t="n"/>
      <c r="R33" s="40" t="n"/>
      <c r="S33" s="40" t="n"/>
      <c r="T33" s="39" t="n"/>
      <c r="U33" s="47" t="n"/>
      <c r="V33" s="39" t="n"/>
      <c r="W33" s="39" t="n"/>
      <c r="X33" s="39" t="n"/>
      <c r="Y33" s="39" t="n"/>
      <c r="Z33" s="40" t="n"/>
      <c r="AA33" s="40" t="n"/>
      <c r="AB33" s="46" t="n"/>
      <c r="AC33" s="39" t="n"/>
      <c r="AD33" s="39" t="n"/>
      <c r="AE33" s="39" t="n"/>
      <c r="AF33" s="39" t="n"/>
      <c r="AG33" s="39" t="n"/>
      <c r="AH33" s="40" t="n"/>
      <c r="AI33" s="42" t="n"/>
      <c r="AJ33" s="50" t="n"/>
      <c r="AK33" s="46" t="n"/>
      <c r="AL33" s="43" t="n"/>
      <c r="AM33" s="43" t="n"/>
      <c r="AN33" s="40" t="n"/>
      <c r="AO33" s="40" t="n"/>
      <c r="AP33" s="40" t="n"/>
      <c r="AQ33" s="40" t="n"/>
      <c r="AR33" s="40" t="n"/>
      <c r="AS33" s="47" t="n"/>
      <c r="AT33" s="40" t="n"/>
      <c r="AU33" s="40" t="n"/>
      <c r="AV33" s="40" t="n"/>
      <c r="AW33" s="40" t="n"/>
      <c r="AX33" s="47" t="n"/>
      <c r="AY33" s="39" t="n"/>
      <c r="AZ33" s="39" t="n"/>
      <c r="BA33" s="39" t="n"/>
      <c r="BB33" s="39" t="n"/>
      <c r="BC33" s="39" t="n"/>
      <c r="BD33" s="40" t="n"/>
      <c r="BE33" s="39" t="n"/>
      <c r="BF33" s="39" t="n"/>
      <c r="BG33" s="39" t="n"/>
      <c r="BH33" s="39" t="n"/>
      <c r="BI33" s="39" t="n"/>
      <c r="BJ33" s="39" t="n"/>
      <c r="BK33" s="39" t="n"/>
      <c r="BL33" s="39" t="n"/>
      <c r="BM33" s="39" t="n"/>
      <c r="BN33" s="39" t="n"/>
      <c r="BO33" s="39" t="n"/>
      <c r="BP33" s="40" t="n"/>
      <c r="BQ33" s="40" t="n"/>
      <c r="BR33" s="40" t="n"/>
      <c r="BS33" s="40" t="n"/>
      <c r="BT33" s="40" t="n"/>
      <c r="BU33" s="40" t="n"/>
      <c r="BV33" s="40" t="n"/>
      <c r="BW33" s="40" t="n"/>
      <c r="BX33" s="43" t="n"/>
      <c r="BY33" s="39" t="n"/>
      <c r="BZ33" s="39" t="n"/>
      <c r="CA33" s="39" t="n"/>
      <c r="CB33" s="39" t="n"/>
      <c r="CC33" s="39" t="n"/>
      <c r="CD33" s="39" t="n"/>
      <c r="CE33" s="39" t="n"/>
      <c r="CF33" s="39" t="n"/>
      <c r="CG33" s="47" t="n"/>
      <c r="CH33" s="47" t="n"/>
      <c r="CI33" s="47" t="n"/>
      <c r="CJ33" s="47" t="n"/>
    </row>
    <row r="34" ht="23" customHeight="1">
      <c r="A34" s="39" t="n"/>
      <c r="B34" s="39" t="n"/>
      <c r="C34" s="39" t="n"/>
      <c r="D34" s="40" t="n"/>
      <c r="E34" s="40" t="n"/>
      <c r="F34" s="39" t="n"/>
      <c r="G34" s="40" t="n"/>
      <c r="H34" s="39" t="n"/>
      <c r="I34" s="40" t="n"/>
      <c r="J34" s="40" t="n"/>
      <c r="K34" s="39" t="n"/>
      <c r="L34" s="39" t="n"/>
      <c r="M34" s="39" t="n"/>
      <c r="N34" s="39" t="n"/>
      <c r="O34" s="40" t="n"/>
      <c r="P34" s="46" t="n"/>
      <c r="Q34" s="48" t="n"/>
      <c r="R34" s="40" t="n"/>
      <c r="S34" s="40" t="n"/>
      <c r="T34" s="39" t="n"/>
      <c r="U34" s="47" t="n"/>
      <c r="V34" s="39" t="n"/>
      <c r="W34" s="39" t="n"/>
      <c r="X34" s="39" t="n"/>
      <c r="Y34" s="39" t="n"/>
      <c r="Z34" s="40" t="n"/>
      <c r="AA34" s="40" t="n"/>
      <c r="AB34" s="46" t="n"/>
      <c r="AC34" s="39" t="n"/>
      <c r="AD34" s="39" t="n"/>
      <c r="AE34" s="39" t="n"/>
      <c r="AF34" s="39" t="n"/>
      <c r="AG34" s="39" t="n"/>
      <c r="AH34" s="40" t="n"/>
      <c r="AI34" s="42" t="n"/>
      <c r="AJ34" s="50" t="n"/>
      <c r="AK34" s="46" t="n"/>
      <c r="AL34" s="43" t="n"/>
      <c r="AM34" s="43" t="n"/>
      <c r="AN34" s="40" t="n"/>
      <c r="AO34" s="40" t="n"/>
      <c r="AP34" s="40" t="n"/>
      <c r="AQ34" s="40" t="n"/>
      <c r="AR34" s="40" t="n"/>
      <c r="AS34" s="47" t="n"/>
      <c r="AT34" s="40" t="n"/>
      <c r="AU34" s="40" t="n"/>
      <c r="AV34" s="40" t="n"/>
      <c r="AW34" s="40" t="n"/>
      <c r="AX34" s="47" t="n"/>
      <c r="AY34" s="39" t="n"/>
      <c r="AZ34" s="39" t="n"/>
      <c r="BA34" s="39" t="n"/>
      <c r="BB34" s="39" t="n"/>
      <c r="BC34" s="39" t="n"/>
      <c r="BD34" s="40" t="n"/>
      <c r="BE34" s="39" t="n"/>
      <c r="BF34" s="39" t="n"/>
      <c r="BG34" s="39" t="n"/>
      <c r="BH34" s="39" t="n"/>
      <c r="BI34" s="39" t="n"/>
      <c r="BJ34" s="39" t="n"/>
      <c r="BK34" s="39" t="n"/>
      <c r="BL34" s="39" t="n"/>
      <c r="BM34" s="39" t="n"/>
      <c r="BN34" s="39" t="n"/>
      <c r="BO34" s="39" t="n"/>
      <c r="BP34" s="40" t="n"/>
      <c r="BQ34" s="40" t="n"/>
      <c r="BR34" s="40" t="n"/>
      <c r="BS34" s="40" t="n"/>
      <c r="BT34" s="40" t="n"/>
      <c r="BU34" s="40" t="n"/>
      <c r="BV34" s="40" t="n"/>
      <c r="BW34" s="40" t="n"/>
      <c r="BX34" s="43" t="n"/>
      <c r="BY34" s="39" t="n"/>
      <c r="BZ34" s="39" t="n"/>
      <c r="CA34" s="39" t="n"/>
      <c r="CB34" s="39" t="n"/>
      <c r="CC34" s="39" t="n"/>
      <c r="CD34" s="39" t="n"/>
      <c r="CE34" s="39" t="n"/>
      <c r="CF34" s="39" t="n"/>
      <c r="CG34" s="47" t="n"/>
      <c r="CH34" s="47" t="n"/>
      <c r="CI34" s="47" t="n"/>
      <c r="CJ34" s="47" t="n"/>
    </row>
    <row r="35" ht="23" customHeight="1">
      <c r="A35" s="39" t="n"/>
      <c r="B35" s="39" t="n"/>
      <c r="C35" s="39" t="n"/>
      <c r="D35" s="40" t="n"/>
      <c r="E35" s="40" t="n"/>
      <c r="F35" s="39" t="n"/>
      <c r="G35" s="40" t="n"/>
      <c r="H35" s="39" t="n"/>
      <c r="I35" s="40" t="n"/>
      <c r="J35" s="40" t="n"/>
      <c r="K35" s="39" t="n"/>
      <c r="L35" s="39" t="n"/>
      <c r="M35" s="39" t="n"/>
      <c r="N35" s="39" t="n"/>
      <c r="O35" s="40" t="n"/>
      <c r="P35" s="46" t="n"/>
      <c r="Q35" s="48" t="n"/>
      <c r="R35" s="40" t="n"/>
      <c r="S35" s="40" t="n"/>
      <c r="T35" s="39" t="n"/>
      <c r="U35" s="47" t="n"/>
      <c r="V35" s="39" t="n"/>
      <c r="W35" s="39" t="n"/>
      <c r="X35" s="39" t="n"/>
      <c r="Y35" s="39" t="n"/>
      <c r="Z35" s="40" t="n"/>
      <c r="AA35" s="40" t="n"/>
      <c r="AB35" s="46" t="n"/>
      <c r="AC35" s="39" t="n"/>
      <c r="AD35" s="39" t="n"/>
      <c r="AE35" s="39" t="n"/>
      <c r="AF35" s="39" t="n"/>
      <c r="AG35" s="39" t="n"/>
      <c r="AH35" s="40" t="n"/>
      <c r="AI35" s="42" t="n"/>
      <c r="AJ35" s="50" t="n"/>
      <c r="AK35" s="46" t="n"/>
      <c r="AL35" s="43" t="n"/>
      <c r="AM35" s="43" t="n"/>
      <c r="AN35" s="40" t="n"/>
      <c r="AO35" s="40" t="n"/>
      <c r="AP35" s="40" t="n"/>
      <c r="AQ35" s="40" t="n"/>
      <c r="AR35" s="40" t="n"/>
      <c r="AS35" s="47" t="n"/>
      <c r="AT35" s="40" t="n"/>
      <c r="AU35" s="40" t="n"/>
      <c r="AV35" s="40" t="n"/>
      <c r="AW35" s="40" t="n"/>
      <c r="AX35" s="47" t="n"/>
      <c r="AY35" s="39" t="n"/>
      <c r="AZ35" s="39" t="n"/>
      <c r="BA35" s="39" t="n"/>
      <c r="BB35" s="39" t="n"/>
      <c r="BC35" s="39" t="n"/>
      <c r="BD35" s="40" t="n"/>
      <c r="BE35" s="39" t="n"/>
      <c r="BF35" s="39" t="n"/>
      <c r="BG35" s="39" t="n"/>
      <c r="BH35" s="39" t="n"/>
      <c r="BI35" s="39" t="n"/>
      <c r="BJ35" s="39" t="n"/>
      <c r="BK35" s="39" t="n"/>
      <c r="BL35" s="39" t="n"/>
      <c r="BM35" s="39" t="n"/>
      <c r="BN35" s="39" t="n"/>
      <c r="BO35" s="39" t="n"/>
      <c r="BP35" s="40" t="n"/>
      <c r="BQ35" s="40" t="n"/>
      <c r="BR35" s="40" t="n"/>
      <c r="BS35" s="40" t="n"/>
      <c r="BT35" s="40" t="n"/>
      <c r="BU35" s="40" t="n"/>
      <c r="BV35" s="40" t="n"/>
      <c r="BW35" s="40" t="n"/>
      <c r="BX35" s="43" t="n"/>
      <c r="BY35" s="39" t="n"/>
      <c r="BZ35" s="39" t="n"/>
      <c r="CA35" s="39" t="n"/>
      <c r="CB35" s="39" t="n"/>
      <c r="CC35" s="39" t="n"/>
      <c r="CD35" s="39" t="n"/>
      <c r="CE35" s="39" t="n"/>
      <c r="CF35" s="39" t="n"/>
      <c r="CG35" s="47" t="n"/>
      <c r="CH35" s="47" t="n"/>
      <c r="CI35" s="47" t="n"/>
      <c r="CJ35" s="47" t="n"/>
    </row>
    <row r="36" ht="23" customHeight="1">
      <c r="A36" s="39" t="n"/>
      <c r="B36" s="39" t="n"/>
      <c r="C36" s="39" t="n"/>
      <c r="D36" s="40" t="n"/>
      <c r="E36" s="40" t="n"/>
      <c r="F36" s="39" t="n"/>
      <c r="G36" s="40" t="n"/>
      <c r="H36" s="39" t="n"/>
      <c r="I36" s="40" t="n"/>
      <c r="J36" s="40" t="n"/>
      <c r="K36" s="39" t="n"/>
      <c r="L36" s="39" t="n"/>
      <c r="M36" s="39" t="n"/>
      <c r="N36" s="39" t="n"/>
      <c r="O36" s="40" t="n"/>
      <c r="P36" s="46" t="n"/>
      <c r="Q36" s="48" t="n"/>
      <c r="R36" s="40" t="n"/>
      <c r="S36" s="40" t="n"/>
      <c r="T36" s="39" t="n"/>
      <c r="U36" s="47" t="n"/>
      <c r="V36" s="39" t="n"/>
      <c r="W36" s="39" t="n"/>
      <c r="X36" s="39" t="n"/>
      <c r="Y36" s="39" t="n"/>
      <c r="Z36" s="40" t="n"/>
      <c r="AA36" s="40" t="n"/>
      <c r="AB36" s="46" t="n"/>
      <c r="AC36" s="39" t="n"/>
      <c r="AD36" s="39" t="n"/>
      <c r="AE36" s="39" t="n"/>
      <c r="AF36" s="39" t="n"/>
      <c r="AG36" s="39" t="n"/>
      <c r="AH36" s="40" t="n"/>
      <c r="AI36" s="42" t="n"/>
      <c r="AJ36" s="50" t="n"/>
      <c r="AK36" s="46" t="n"/>
      <c r="AL36" s="43" t="n"/>
      <c r="AM36" s="43" t="n"/>
      <c r="AN36" s="40" t="n"/>
      <c r="AO36" s="40" t="n"/>
      <c r="AP36" s="40" t="n"/>
      <c r="AQ36" s="40" t="n"/>
      <c r="AR36" s="40" t="n"/>
      <c r="AS36" s="47" t="n"/>
      <c r="AT36" s="40" t="n"/>
      <c r="AU36" s="40" t="n"/>
      <c r="AV36" s="40" t="n"/>
      <c r="AW36" s="40" t="n"/>
      <c r="AX36" s="47" t="n"/>
      <c r="AY36" s="39" t="n"/>
      <c r="AZ36" s="39" t="n"/>
      <c r="BA36" s="39" t="n"/>
      <c r="BB36" s="39" t="n"/>
      <c r="BC36" s="39" t="n"/>
      <c r="BD36" s="40" t="n"/>
      <c r="BE36" s="39" t="n"/>
      <c r="BF36" s="39" t="n"/>
      <c r="BG36" s="39" t="n"/>
      <c r="BH36" s="39" t="n"/>
      <c r="BI36" s="39" t="n"/>
      <c r="BJ36" s="39" t="n"/>
      <c r="BK36" s="39" t="n"/>
      <c r="BL36" s="39" t="n"/>
      <c r="BM36" s="39" t="n"/>
      <c r="BN36" s="39" t="n"/>
      <c r="BO36" s="39" t="n"/>
      <c r="BP36" s="40" t="n"/>
      <c r="BQ36" s="40" t="n"/>
      <c r="BR36" s="40" t="n"/>
      <c r="BS36" s="40" t="n"/>
      <c r="BT36" s="40" t="n"/>
      <c r="BU36" s="40" t="n"/>
      <c r="BV36" s="40" t="n"/>
      <c r="BW36" s="40" t="n"/>
      <c r="BX36" s="43" t="n"/>
      <c r="BY36" s="39" t="n"/>
      <c r="BZ36" s="39" t="n"/>
      <c r="CA36" s="39" t="n"/>
      <c r="CB36" s="39" t="n"/>
      <c r="CC36" s="39" t="n"/>
      <c r="CD36" s="39" t="n"/>
      <c r="CE36" s="39" t="n"/>
      <c r="CF36" s="39" t="n"/>
      <c r="CG36" s="47" t="n"/>
      <c r="CH36" s="47" t="n"/>
      <c r="CI36" s="47" t="n"/>
      <c r="CJ36" s="47" t="n"/>
    </row>
    <row r="37" ht="23" customHeight="1">
      <c r="A37" s="39" t="n"/>
      <c r="B37" s="39" t="n"/>
      <c r="C37" s="39" t="n"/>
      <c r="D37" s="40" t="n"/>
      <c r="E37" s="40" t="n"/>
      <c r="F37" s="39" t="n"/>
      <c r="G37" s="40" t="n"/>
      <c r="H37" s="39" t="n"/>
      <c r="I37" s="40" t="n"/>
      <c r="J37" s="40" t="n"/>
      <c r="K37" s="39" t="n"/>
      <c r="L37" s="39" t="n"/>
      <c r="M37" s="39" t="n"/>
      <c r="N37" s="39" t="n"/>
      <c r="O37" s="40" t="n"/>
      <c r="P37" s="46" t="n"/>
      <c r="Q37" s="48" t="n"/>
      <c r="R37" s="40" t="n"/>
      <c r="S37" s="40" t="n"/>
      <c r="T37" s="39" t="n"/>
      <c r="U37" s="47" t="n"/>
      <c r="V37" s="39" t="n"/>
      <c r="W37" s="39" t="n"/>
      <c r="X37" s="39" t="n"/>
      <c r="Y37" s="39" t="n"/>
      <c r="Z37" s="40" t="n"/>
      <c r="AA37" s="40" t="n"/>
      <c r="AB37" s="46" t="n"/>
      <c r="AC37" s="39" t="n"/>
      <c r="AD37" s="39" t="n"/>
      <c r="AE37" s="39" t="n"/>
      <c r="AF37" s="39" t="n"/>
      <c r="AG37" s="39" t="n"/>
      <c r="AH37" s="40" t="n"/>
      <c r="AI37" s="42" t="n"/>
      <c r="AJ37" s="50" t="n"/>
      <c r="AK37" s="46" t="n"/>
      <c r="AL37" s="43" t="n"/>
      <c r="AM37" s="43" t="n"/>
      <c r="AN37" s="40" t="n"/>
      <c r="AO37" s="40" t="n"/>
      <c r="AP37" s="40" t="n"/>
      <c r="AQ37" s="40" t="n"/>
      <c r="AR37" s="40" t="n"/>
      <c r="AS37" s="47" t="n"/>
      <c r="AT37" s="40" t="n"/>
      <c r="AU37" s="40" t="n"/>
      <c r="AV37" s="40" t="n"/>
      <c r="AW37" s="40" t="n"/>
      <c r="AX37" s="47" t="n"/>
      <c r="AY37" s="39" t="n"/>
      <c r="AZ37" s="39" t="n"/>
      <c r="BA37" s="39" t="n"/>
      <c r="BB37" s="39" t="n"/>
      <c r="BC37" s="39" t="n"/>
      <c r="BD37" s="40" t="n"/>
      <c r="BE37" s="39" t="n"/>
      <c r="BF37" s="39" t="n"/>
      <c r="BG37" s="39" t="n"/>
      <c r="BH37" s="39" t="n"/>
      <c r="BI37" s="39" t="n"/>
      <c r="BJ37" s="39" t="n"/>
      <c r="BK37" s="39" t="n"/>
      <c r="BL37" s="39" t="n"/>
      <c r="BM37" s="39" t="n"/>
      <c r="BN37" s="39" t="n"/>
      <c r="BO37" s="39" t="n"/>
      <c r="BP37" s="40" t="n"/>
      <c r="BQ37" s="40" t="n"/>
      <c r="BR37" s="40" t="n"/>
      <c r="BS37" s="40" t="n"/>
      <c r="BT37" s="40" t="n"/>
      <c r="BU37" s="40" t="n"/>
      <c r="BV37" s="40" t="n"/>
      <c r="BW37" s="40" t="n"/>
      <c r="BX37" s="43" t="n"/>
      <c r="BY37" s="39" t="n"/>
      <c r="BZ37" s="39" t="n"/>
      <c r="CA37" s="39" t="n"/>
      <c r="CB37" s="39" t="n"/>
      <c r="CC37" s="39" t="n"/>
      <c r="CD37" s="39" t="n"/>
      <c r="CE37" s="39" t="n"/>
      <c r="CF37" s="39" t="n"/>
      <c r="CG37" s="47" t="n"/>
      <c r="CH37" s="47" t="n"/>
      <c r="CI37" s="47" t="n"/>
      <c r="CJ37" s="47" t="n"/>
    </row>
    <row r="38" ht="23" customHeight="1">
      <c r="A38" s="39" t="n"/>
      <c r="B38" s="39" t="n"/>
      <c r="C38" s="39" t="n"/>
      <c r="D38" s="40" t="n"/>
      <c r="E38" s="40" t="n"/>
      <c r="F38" s="39" t="n"/>
      <c r="G38" s="40" t="n"/>
      <c r="H38" s="39" t="n"/>
      <c r="I38" s="40" t="n"/>
      <c r="J38" s="40" t="n"/>
      <c r="K38" s="39" t="n"/>
      <c r="L38" s="39" t="n"/>
      <c r="M38" s="39" t="n"/>
      <c r="N38" s="39" t="n"/>
      <c r="O38" s="40" t="n"/>
      <c r="P38" s="46" t="n"/>
      <c r="Q38" s="48" t="n"/>
      <c r="R38" s="40" t="n"/>
      <c r="S38" s="40" t="n"/>
      <c r="T38" s="39" t="n"/>
      <c r="U38" s="47" t="n"/>
      <c r="V38" s="39" t="n"/>
      <c r="W38" s="39" t="n"/>
      <c r="X38" s="39" t="n"/>
      <c r="Y38" s="39" t="n"/>
      <c r="Z38" s="40" t="n"/>
      <c r="AA38" s="40" t="n"/>
      <c r="AB38" s="46" t="n"/>
      <c r="AC38" s="39" t="n"/>
      <c r="AD38" s="39" t="n"/>
      <c r="AE38" s="39" t="n"/>
      <c r="AF38" s="39" t="n"/>
      <c r="AG38" s="39" t="n"/>
      <c r="AH38" s="40" t="n"/>
      <c r="AI38" s="42" t="n"/>
      <c r="AJ38" s="50" t="n"/>
      <c r="AK38" s="46" t="n"/>
      <c r="AL38" s="43" t="n"/>
      <c r="AM38" s="43" t="n"/>
      <c r="AN38" s="40" t="n"/>
      <c r="AO38" s="40" t="n"/>
      <c r="AP38" s="40" t="n"/>
      <c r="AQ38" s="40" t="n"/>
      <c r="AR38" s="40" t="n"/>
      <c r="AS38" s="47" t="n"/>
      <c r="AT38" s="40" t="n"/>
      <c r="AU38" s="40" t="n"/>
      <c r="AV38" s="40" t="n"/>
      <c r="AW38" s="40" t="n"/>
      <c r="AX38" s="47" t="n"/>
      <c r="AY38" s="39" t="n"/>
      <c r="AZ38" s="39" t="n"/>
      <c r="BA38" s="39" t="n"/>
      <c r="BB38" s="39" t="n"/>
      <c r="BC38" s="39" t="n"/>
      <c r="BD38" s="40" t="n"/>
      <c r="BE38" s="39" t="n"/>
      <c r="BF38" s="39" t="n"/>
      <c r="BG38" s="39" t="n"/>
      <c r="BH38" s="39" t="n"/>
      <c r="BI38" s="39" t="n"/>
      <c r="BJ38" s="39" t="n"/>
      <c r="BK38" s="39" t="n"/>
      <c r="BL38" s="39" t="n"/>
      <c r="BM38" s="39" t="n"/>
      <c r="BN38" s="39" t="n"/>
      <c r="BO38" s="39" t="n"/>
      <c r="BP38" s="40" t="n"/>
      <c r="BQ38" s="40" t="n"/>
      <c r="BR38" s="40" t="n"/>
      <c r="BS38" s="40" t="n"/>
      <c r="BT38" s="40" t="n"/>
      <c r="BU38" s="40" t="n"/>
      <c r="BV38" s="40" t="n"/>
      <c r="BW38" s="40" t="n"/>
      <c r="BX38" s="43" t="n"/>
      <c r="BY38" s="39" t="n"/>
      <c r="BZ38" s="39" t="n"/>
      <c r="CA38" s="39" t="n"/>
      <c r="CB38" s="39" t="n"/>
      <c r="CC38" s="39" t="n"/>
      <c r="CD38" s="39" t="n"/>
      <c r="CE38" s="39" t="n"/>
      <c r="CF38" s="39" t="n"/>
      <c r="CG38" s="47" t="n"/>
      <c r="CH38" s="47" t="n"/>
      <c r="CI38" s="47" t="n"/>
      <c r="CJ38" s="47" t="n"/>
    </row>
    <row r="39" ht="23" customHeight="1">
      <c r="A39" s="39" t="n"/>
      <c r="B39" s="39" t="n"/>
      <c r="C39" s="39" t="n"/>
      <c r="D39" s="40" t="n"/>
      <c r="E39" s="40" t="n"/>
      <c r="F39" s="39" t="n"/>
      <c r="G39" s="40" t="n"/>
      <c r="H39" s="39" t="n"/>
      <c r="I39" s="40" t="n"/>
      <c r="J39" s="40" t="n"/>
      <c r="K39" s="39" t="n"/>
      <c r="L39" s="39" t="n"/>
      <c r="M39" s="39" t="n"/>
      <c r="N39" s="39" t="n"/>
      <c r="O39" s="40" t="n"/>
      <c r="P39" s="46" t="n"/>
      <c r="Q39" s="48" t="n"/>
      <c r="R39" s="40" t="n"/>
      <c r="S39" s="40" t="n"/>
      <c r="T39" s="39" t="n"/>
      <c r="U39" s="47" t="n"/>
      <c r="V39" s="39" t="n"/>
      <c r="W39" s="39" t="n"/>
      <c r="X39" s="39" t="n"/>
      <c r="Y39" s="39" t="n"/>
      <c r="Z39" s="40" t="n"/>
      <c r="AA39" s="40" t="n"/>
      <c r="AB39" s="46" t="n"/>
      <c r="AC39" s="39" t="n"/>
      <c r="AD39" s="39" t="n"/>
      <c r="AE39" s="39" t="n"/>
      <c r="AF39" s="39" t="n"/>
      <c r="AG39" s="39" t="n"/>
      <c r="AH39" s="40" t="n"/>
      <c r="AI39" s="42" t="n"/>
      <c r="AJ39" s="50" t="n"/>
      <c r="AK39" s="46" t="n"/>
      <c r="AL39" s="43" t="n"/>
      <c r="AM39" s="43" t="n"/>
      <c r="AN39" s="40" t="n"/>
      <c r="AO39" s="40" t="n"/>
      <c r="AP39" s="40" t="n"/>
      <c r="AQ39" s="40" t="n"/>
      <c r="AR39" s="40" t="n"/>
      <c r="AS39" s="47" t="n"/>
      <c r="AT39" s="40" t="n"/>
      <c r="AU39" s="40" t="n"/>
      <c r="AV39" s="40" t="n"/>
      <c r="AW39" s="40" t="n"/>
      <c r="AX39" s="47" t="n"/>
      <c r="AY39" s="39" t="n"/>
      <c r="AZ39" s="39" t="n"/>
      <c r="BA39" s="39" t="n"/>
      <c r="BB39" s="39" t="n"/>
      <c r="BC39" s="39" t="n"/>
      <c r="BD39" s="40" t="n"/>
      <c r="BE39" s="39" t="n"/>
      <c r="BF39" s="39" t="n"/>
      <c r="BG39" s="39" t="n"/>
      <c r="BH39" s="39" t="n"/>
      <c r="BI39" s="39" t="n"/>
      <c r="BJ39" s="39" t="n"/>
      <c r="BK39" s="39" t="n"/>
      <c r="BL39" s="39" t="n"/>
      <c r="BM39" s="39" t="n"/>
      <c r="BN39" s="39" t="n"/>
      <c r="BO39" s="39" t="n"/>
      <c r="BP39" s="40" t="n"/>
      <c r="BQ39" s="40" t="n"/>
      <c r="BR39" s="40" t="n"/>
      <c r="BS39" s="40" t="n"/>
      <c r="BT39" s="40" t="n"/>
      <c r="BU39" s="40" t="n"/>
      <c r="BV39" s="40" t="n"/>
      <c r="BW39" s="40" t="n"/>
      <c r="BX39" s="43" t="n"/>
      <c r="BY39" s="39" t="n"/>
      <c r="BZ39" s="39" t="n"/>
      <c r="CA39" s="39" t="n"/>
      <c r="CB39" s="39" t="n"/>
      <c r="CC39" s="39" t="n"/>
      <c r="CD39" s="39" t="n"/>
      <c r="CE39" s="39" t="n"/>
      <c r="CF39" s="39" t="n"/>
      <c r="CG39" s="47" t="n"/>
      <c r="CH39" s="47" t="n"/>
      <c r="CI39" s="47" t="n"/>
      <c r="CJ39" s="47" t="n"/>
    </row>
    <row r="40" ht="23" customHeight="1">
      <c r="A40" s="39" t="n"/>
      <c r="B40" s="39" t="n"/>
      <c r="C40" s="39" t="n"/>
      <c r="D40" s="40" t="n"/>
      <c r="E40" s="40" t="n"/>
      <c r="F40" s="39" t="n"/>
      <c r="G40" s="40" t="n"/>
      <c r="H40" s="39" t="n"/>
      <c r="I40" s="40" t="n"/>
      <c r="J40" s="40" t="n"/>
      <c r="K40" s="39" t="n"/>
      <c r="L40" s="39" t="n"/>
      <c r="M40" s="39" t="n"/>
      <c r="N40" s="39" t="n"/>
      <c r="O40" s="40" t="n"/>
      <c r="P40" s="46" t="n"/>
      <c r="Q40" s="48" t="n"/>
      <c r="R40" s="40" t="n"/>
      <c r="S40" s="40" t="n"/>
      <c r="T40" s="39" t="n"/>
      <c r="U40" s="47" t="n"/>
      <c r="V40" s="39" t="n"/>
      <c r="W40" s="39" t="n"/>
      <c r="X40" s="39" t="n"/>
      <c r="Y40" s="39" t="n"/>
      <c r="Z40" s="40" t="n"/>
      <c r="AA40" s="40" t="n"/>
      <c r="AB40" s="46" t="n"/>
      <c r="AC40" s="39" t="n"/>
      <c r="AD40" s="39" t="n"/>
      <c r="AE40" s="39" t="n"/>
      <c r="AF40" s="39" t="n"/>
      <c r="AG40" s="39" t="n"/>
      <c r="AH40" s="40" t="n"/>
      <c r="AI40" s="42" t="n"/>
      <c r="AJ40" s="50" t="n"/>
      <c r="AK40" s="46" t="n"/>
      <c r="AL40" s="43" t="n"/>
      <c r="AM40" s="43" t="n"/>
      <c r="AN40" s="40" t="n"/>
      <c r="AO40" s="40" t="n"/>
      <c r="AP40" s="40" t="n"/>
      <c r="AQ40" s="40" t="n"/>
      <c r="AR40" s="40" t="n"/>
      <c r="AS40" s="47" t="n"/>
      <c r="AT40" s="40" t="n"/>
      <c r="AU40" s="40" t="n"/>
      <c r="AV40" s="40" t="n"/>
      <c r="AW40" s="40" t="n"/>
      <c r="AX40" s="47" t="n"/>
      <c r="AY40" s="39" t="n"/>
      <c r="AZ40" s="39" t="n"/>
      <c r="BA40" s="39" t="n"/>
      <c r="BB40" s="39" t="n"/>
      <c r="BC40" s="39" t="n"/>
      <c r="BD40" s="40" t="n"/>
      <c r="BE40" s="39" t="n"/>
      <c r="BF40" s="39" t="n"/>
      <c r="BG40" s="39" t="n"/>
      <c r="BH40" s="39" t="n"/>
      <c r="BI40" s="39" t="n"/>
      <c r="BJ40" s="39" t="n"/>
      <c r="BK40" s="39" t="n"/>
      <c r="BL40" s="39" t="n"/>
      <c r="BM40" s="39" t="n"/>
      <c r="BN40" s="39" t="n"/>
      <c r="BO40" s="39" t="n"/>
      <c r="BP40" s="40" t="n"/>
      <c r="BQ40" s="40" t="n"/>
      <c r="BR40" s="40" t="n"/>
      <c r="BS40" s="40" t="n"/>
      <c r="BT40" s="40" t="n"/>
      <c r="BU40" s="40" t="n"/>
      <c r="BV40" s="40" t="n"/>
      <c r="BW40" s="40" t="n"/>
      <c r="BX40" s="43" t="n"/>
      <c r="BY40" s="39" t="n"/>
      <c r="BZ40" s="39" t="n"/>
      <c r="CA40" s="39" t="n"/>
      <c r="CB40" s="39" t="n"/>
      <c r="CC40" s="39" t="n"/>
      <c r="CD40" s="39" t="n"/>
      <c r="CE40" s="39" t="n"/>
      <c r="CF40" s="39" t="n"/>
      <c r="CG40" s="47" t="n"/>
      <c r="CH40" s="47" t="n"/>
      <c r="CI40" s="47" t="n"/>
      <c r="CJ40" s="47" t="n"/>
    </row>
    <row r="41" ht="23" customHeight="1">
      <c r="A41" s="39" t="n"/>
      <c r="B41" s="39" t="n"/>
      <c r="C41" s="39" t="n"/>
      <c r="D41" s="40" t="n"/>
      <c r="E41" s="40" t="n"/>
      <c r="F41" s="39" t="n"/>
      <c r="G41" s="40" t="n"/>
      <c r="H41" s="39" t="n"/>
      <c r="I41" s="40" t="n"/>
      <c r="J41" s="40" t="n"/>
      <c r="K41" s="39" t="n"/>
      <c r="L41" s="39" t="n"/>
      <c r="M41" s="39" t="n"/>
      <c r="N41" s="39" t="n"/>
      <c r="O41" s="40" t="n"/>
      <c r="P41" s="46" t="n"/>
      <c r="Q41" s="48" t="n"/>
      <c r="R41" s="40" t="n"/>
      <c r="S41" s="40" t="n"/>
      <c r="T41" s="39" t="n"/>
      <c r="U41" s="47" t="n"/>
      <c r="V41" s="39" t="n"/>
      <c r="W41" s="39" t="n"/>
      <c r="X41" s="39" t="n"/>
      <c r="Y41" s="39" t="n"/>
      <c r="Z41" s="40" t="n"/>
      <c r="AA41" s="40" t="n"/>
      <c r="AB41" s="46" t="n"/>
      <c r="AC41" s="39" t="n"/>
      <c r="AD41" s="39" t="n"/>
      <c r="AE41" s="39" t="n"/>
      <c r="AF41" s="39" t="n"/>
      <c r="AG41" s="39" t="n"/>
      <c r="AH41" s="40" t="n"/>
      <c r="AI41" s="42" t="n"/>
      <c r="AJ41" s="50" t="n"/>
      <c r="AK41" s="46" t="n"/>
      <c r="AL41" s="43" t="n"/>
      <c r="AM41" s="43" t="n"/>
      <c r="AN41" s="40" t="n"/>
      <c r="AO41" s="40" t="n"/>
      <c r="AP41" s="40" t="n"/>
      <c r="AQ41" s="40" t="n"/>
      <c r="AR41" s="40" t="n"/>
      <c r="AS41" s="47" t="n"/>
      <c r="AT41" s="40" t="n"/>
      <c r="AU41" s="40" t="n"/>
      <c r="AV41" s="40" t="n"/>
      <c r="AW41" s="40" t="n"/>
      <c r="AX41" s="47" t="n"/>
      <c r="AY41" s="39" t="n"/>
      <c r="AZ41" s="39" t="n"/>
      <c r="BA41" s="39" t="n"/>
      <c r="BB41" s="39" t="n"/>
      <c r="BC41" s="39" t="n"/>
      <c r="BD41" s="40" t="n"/>
      <c r="BE41" s="39" t="n"/>
      <c r="BF41" s="39" t="n"/>
      <c r="BG41" s="39" t="n"/>
      <c r="BH41" s="39" t="n"/>
      <c r="BI41" s="39" t="n"/>
      <c r="BJ41" s="39" t="n"/>
      <c r="BK41" s="39" t="n"/>
      <c r="BL41" s="39" t="n"/>
      <c r="BM41" s="39" t="n"/>
      <c r="BN41" s="39" t="n"/>
      <c r="BO41" s="39" t="n"/>
      <c r="BP41" s="40" t="n"/>
      <c r="BQ41" s="40" t="n"/>
      <c r="BR41" s="40" t="n"/>
      <c r="BS41" s="40" t="n"/>
      <c r="BT41" s="40" t="n"/>
      <c r="BU41" s="40" t="n"/>
      <c r="BV41" s="40" t="n"/>
      <c r="BW41" s="40" t="n"/>
      <c r="BX41" s="43" t="n"/>
      <c r="BY41" s="39" t="n"/>
      <c r="BZ41" s="39" t="n"/>
      <c r="CA41" s="39" t="n"/>
      <c r="CB41" s="39" t="n"/>
      <c r="CC41" s="39" t="n"/>
      <c r="CD41" s="39" t="n"/>
      <c r="CE41" s="39" t="n"/>
      <c r="CF41" s="39" t="n"/>
      <c r="CG41" s="47" t="n"/>
      <c r="CH41" s="47" t="n"/>
      <c r="CI41" s="47" t="n"/>
      <c r="CJ41" s="47" t="n"/>
    </row>
    <row r="42" ht="23" customHeight="1">
      <c r="A42" s="39" t="n"/>
      <c r="B42" s="39" t="n"/>
      <c r="C42" s="39" t="n"/>
      <c r="D42" s="40" t="n"/>
      <c r="E42" s="40" t="n"/>
      <c r="F42" s="39" t="n"/>
      <c r="G42" s="40" t="n"/>
      <c r="H42" s="39" t="n"/>
      <c r="I42" s="40" t="n"/>
      <c r="J42" s="40" t="n"/>
      <c r="K42" s="39" t="n"/>
      <c r="L42" s="39" t="n"/>
      <c r="M42" s="39" t="n"/>
      <c r="N42" s="39" t="n"/>
      <c r="O42" s="40" t="n"/>
      <c r="P42" s="46" t="n"/>
      <c r="Q42" s="48" t="n"/>
      <c r="R42" s="40" t="n"/>
      <c r="S42" s="40" t="n"/>
      <c r="T42" s="39" t="n"/>
      <c r="U42" s="47" t="n"/>
      <c r="V42" s="39" t="n"/>
      <c r="W42" s="39" t="n"/>
      <c r="X42" s="39" t="n"/>
      <c r="Y42" s="39" t="n"/>
      <c r="Z42" s="40" t="n"/>
      <c r="AA42" s="40" t="n"/>
      <c r="AB42" s="46" t="n"/>
      <c r="AC42" s="39" t="n"/>
      <c r="AD42" s="39" t="n"/>
      <c r="AE42" s="39" t="n"/>
      <c r="AF42" s="39" t="n"/>
      <c r="AG42" s="39" t="n"/>
      <c r="AH42" s="40" t="n"/>
      <c r="AI42" s="42" t="n"/>
      <c r="AJ42" s="50" t="n"/>
      <c r="AK42" s="46" t="n"/>
      <c r="AL42" s="43" t="n"/>
      <c r="AM42" s="43" t="n"/>
      <c r="AN42" s="40" t="n"/>
      <c r="AO42" s="40" t="n"/>
      <c r="AP42" s="40" t="n"/>
      <c r="AQ42" s="40" t="n"/>
      <c r="AR42" s="40" t="n"/>
      <c r="AS42" s="47" t="n"/>
      <c r="AT42" s="40" t="n"/>
      <c r="AU42" s="40" t="n"/>
      <c r="AV42" s="40" t="n"/>
      <c r="AW42" s="40" t="n"/>
      <c r="AX42" s="47" t="n"/>
      <c r="AY42" s="39" t="n"/>
      <c r="AZ42" s="39" t="n"/>
      <c r="BA42" s="39" t="n"/>
      <c r="BB42" s="39" t="n"/>
      <c r="BC42" s="39" t="n"/>
      <c r="BD42" s="40" t="n"/>
      <c r="BE42" s="39" t="n"/>
      <c r="BF42" s="39" t="n"/>
      <c r="BG42" s="39" t="n"/>
      <c r="BH42" s="39" t="n"/>
      <c r="BI42" s="39" t="n"/>
      <c r="BJ42" s="39" t="n"/>
      <c r="BK42" s="39" t="n"/>
      <c r="BL42" s="39" t="n"/>
      <c r="BM42" s="39" t="n"/>
      <c r="BN42" s="39" t="n"/>
      <c r="BO42" s="39" t="n"/>
      <c r="BP42" s="40" t="n"/>
      <c r="BQ42" s="40" t="n"/>
      <c r="BR42" s="40" t="n"/>
      <c r="BS42" s="40" t="n"/>
      <c r="BT42" s="40" t="n"/>
      <c r="BU42" s="40" t="n"/>
      <c r="BV42" s="40" t="n"/>
      <c r="BW42" s="40" t="n"/>
      <c r="BX42" s="43" t="n"/>
      <c r="BY42" s="39" t="n"/>
      <c r="BZ42" s="39" t="n"/>
      <c r="CA42" s="39" t="n"/>
      <c r="CB42" s="39" t="n"/>
      <c r="CC42" s="39" t="n"/>
      <c r="CD42" s="39" t="n"/>
      <c r="CE42" s="39" t="n"/>
      <c r="CF42" s="39" t="n"/>
      <c r="CG42" s="47" t="n"/>
      <c r="CH42" s="47" t="n"/>
      <c r="CI42" s="47" t="n"/>
      <c r="CJ42" s="47" t="n"/>
    </row>
    <row r="43" ht="23" customHeight="1">
      <c r="A43" s="39" t="n"/>
      <c r="B43" s="39" t="n"/>
      <c r="C43" s="39" t="n"/>
      <c r="D43" s="40" t="n"/>
      <c r="E43" s="40" t="n"/>
      <c r="F43" s="39" t="n"/>
      <c r="G43" s="40" t="n"/>
      <c r="H43" s="39" t="n"/>
      <c r="I43" s="40" t="n"/>
      <c r="J43" s="40" t="n"/>
      <c r="K43" s="39" t="n"/>
      <c r="L43" s="39" t="n"/>
      <c r="M43" s="39" t="n"/>
      <c r="N43" s="39" t="n"/>
      <c r="O43" s="40" t="n"/>
      <c r="P43" s="46" t="n"/>
      <c r="Q43" s="48" t="n"/>
      <c r="R43" s="40" t="n"/>
      <c r="S43" s="40" t="n"/>
      <c r="T43" s="39" t="n"/>
      <c r="U43" s="47" t="n"/>
      <c r="V43" s="39" t="n"/>
      <c r="W43" s="39" t="n"/>
      <c r="X43" s="39" t="n"/>
      <c r="Y43" s="39" t="n"/>
      <c r="Z43" s="40" t="n"/>
      <c r="AA43" s="40" t="n"/>
      <c r="AB43" s="46" t="n"/>
      <c r="AC43" s="39" t="n"/>
      <c r="AD43" s="39" t="n"/>
      <c r="AE43" s="39" t="n"/>
      <c r="AF43" s="39" t="n"/>
      <c r="AG43" s="39" t="n"/>
      <c r="AH43" s="40" t="n"/>
      <c r="AI43" s="42" t="n"/>
      <c r="AJ43" s="50" t="n"/>
      <c r="AK43" s="46" t="n"/>
      <c r="AL43" s="43" t="n"/>
      <c r="AM43" s="43" t="n"/>
      <c r="AN43" s="40" t="n"/>
      <c r="AO43" s="40" t="n"/>
      <c r="AP43" s="40" t="n"/>
      <c r="AQ43" s="40" t="n"/>
      <c r="AR43" s="40" t="n"/>
      <c r="AS43" s="47" t="n"/>
      <c r="AT43" s="40" t="n"/>
      <c r="AU43" s="40" t="n"/>
      <c r="AV43" s="40" t="n"/>
      <c r="AW43" s="40" t="n"/>
      <c r="AX43" s="47" t="n"/>
      <c r="AY43" s="39" t="n"/>
      <c r="AZ43" s="39" t="n"/>
      <c r="BA43" s="39" t="n"/>
      <c r="BB43" s="39" t="n"/>
      <c r="BC43" s="39" t="n"/>
      <c r="BD43" s="40" t="n"/>
      <c r="BE43" s="39" t="n"/>
      <c r="BF43" s="39" t="n"/>
      <c r="BG43" s="39" t="n"/>
      <c r="BH43" s="39" t="n"/>
      <c r="BI43" s="39" t="n"/>
      <c r="BJ43" s="39" t="n"/>
      <c r="BK43" s="39" t="n"/>
      <c r="BL43" s="39" t="n"/>
      <c r="BM43" s="39" t="n"/>
      <c r="BN43" s="39" t="n"/>
      <c r="BO43" s="39" t="n"/>
      <c r="BP43" s="40" t="n"/>
      <c r="BQ43" s="40" t="n"/>
      <c r="BR43" s="40" t="n"/>
      <c r="BS43" s="40" t="n"/>
      <c r="BT43" s="40" t="n"/>
      <c r="BU43" s="40" t="n"/>
      <c r="BV43" s="40" t="n"/>
      <c r="BW43" s="40" t="n"/>
      <c r="BX43" s="43" t="n"/>
      <c r="BY43" s="39" t="n"/>
      <c r="BZ43" s="39" t="n"/>
      <c r="CA43" s="39" t="n"/>
      <c r="CB43" s="39" t="n"/>
      <c r="CC43" s="39" t="n"/>
      <c r="CD43" s="39" t="n"/>
      <c r="CE43" s="39" t="n"/>
      <c r="CF43" s="39" t="n"/>
      <c r="CG43" s="47" t="n"/>
      <c r="CH43" s="47" t="n"/>
      <c r="CI43" s="47" t="n"/>
      <c r="CJ43" s="47" t="n"/>
    </row>
    <row r="44" ht="23" customHeight="1">
      <c r="A44" s="39" t="n"/>
      <c r="B44" s="39" t="n"/>
      <c r="C44" s="39" t="n"/>
      <c r="D44" s="40" t="n"/>
      <c r="E44" s="40" t="n"/>
      <c r="F44" s="39" t="n"/>
      <c r="G44" s="40" t="n"/>
      <c r="H44" s="39" t="n"/>
      <c r="I44" s="40" t="n"/>
      <c r="J44" s="40" t="n"/>
      <c r="K44" s="39" t="n"/>
      <c r="L44" s="39" t="n"/>
      <c r="M44" s="39" t="n"/>
      <c r="N44" s="39" t="n"/>
      <c r="O44" s="40" t="n"/>
      <c r="P44" s="46" t="n"/>
      <c r="Q44" s="48" t="n"/>
      <c r="R44" s="40" t="n"/>
      <c r="S44" s="40" t="n"/>
      <c r="T44" s="39" t="n"/>
      <c r="U44" s="47" t="n"/>
      <c r="V44" s="39" t="n"/>
      <c r="W44" s="39" t="n"/>
      <c r="X44" s="39" t="n"/>
      <c r="Y44" s="39" t="n"/>
      <c r="Z44" s="40" t="n"/>
      <c r="AA44" s="40" t="n"/>
      <c r="AB44" s="46" t="n"/>
      <c r="AC44" s="39" t="n"/>
      <c r="AD44" s="39" t="n"/>
      <c r="AE44" s="39" t="n"/>
      <c r="AF44" s="39" t="n"/>
      <c r="AG44" s="39" t="n"/>
      <c r="AH44" s="40" t="n"/>
      <c r="AI44" s="42" t="n"/>
      <c r="AJ44" s="50" t="n"/>
      <c r="AK44" s="46" t="n"/>
      <c r="AL44" s="43" t="n"/>
      <c r="AM44" s="43" t="n"/>
      <c r="AN44" s="40" t="n"/>
      <c r="AO44" s="40" t="n"/>
      <c r="AP44" s="40" t="n"/>
      <c r="AQ44" s="40" t="n"/>
      <c r="AR44" s="40" t="n"/>
      <c r="AS44" s="47" t="n"/>
      <c r="AT44" s="40" t="n"/>
      <c r="AU44" s="40" t="n"/>
      <c r="AV44" s="40" t="n"/>
      <c r="AW44" s="40" t="n"/>
      <c r="AX44" s="47" t="n"/>
      <c r="AY44" s="39" t="n"/>
      <c r="AZ44" s="39" t="n"/>
      <c r="BA44" s="39" t="n"/>
      <c r="BB44" s="39" t="n"/>
      <c r="BC44" s="39" t="n"/>
      <c r="BD44" s="40" t="n"/>
      <c r="BE44" s="39" t="n"/>
      <c r="BF44" s="39" t="n"/>
      <c r="BG44" s="39" t="n"/>
      <c r="BH44" s="39" t="n"/>
      <c r="BI44" s="39" t="n"/>
      <c r="BJ44" s="39" t="n"/>
      <c r="BK44" s="39" t="n"/>
      <c r="BL44" s="39" t="n"/>
      <c r="BM44" s="39" t="n"/>
      <c r="BN44" s="39" t="n"/>
      <c r="BO44" s="39" t="n"/>
      <c r="BP44" s="40" t="n"/>
      <c r="BQ44" s="40" t="n"/>
      <c r="BR44" s="40" t="n"/>
      <c r="BS44" s="40" t="n"/>
      <c r="BT44" s="40" t="n"/>
      <c r="BU44" s="40" t="n"/>
      <c r="BV44" s="40" t="n"/>
      <c r="BW44" s="40" t="n"/>
      <c r="BX44" s="43" t="n"/>
      <c r="BY44" s="39" t="n"/>
      <c r="BZ44" s="39" t="n"/>
      <c r="CA44" s="39" t="n"/>
      <c r="CB44" s="39" t="n"/>
      <c r="CC44" s="39" t="n"/>
      <c r="CD44" s="39" t="n"/>
      <c r="CE44" s="39" t="n"/>
      <c r="CF44" s="39" t="n"/>
      <c r="CG44" s="47" t="n"/>
      <c r="CH44" s="47" t="n"/>
      <c r="CI44" s="47" t="n"/>
      <c r="CJ44" s="47" t="n"/>
    </row>
    <row r="45" ht="23" customHeight="1">
      <c r="A45" s="39" t="n"/>
      <c r="B45" s="39" t="n"/>
      <c r="C45" s="39" t="n"/>
      <c r="D45" s="40" t="n"/>
      <c r="E45" s="40" t="n"/>
      <c r="F45" s="39" t="n"/>
      <c r="G45" s="40" t="n"/>
      <c r="H45" s="39" t="n"/>
      <c r="I45" s="40" t="n"/>
      <c r="J45" s="40" t="n"/>
      <c r="K45" s="39" t="n"/>
      <c r="L45" s="39" t="n"/>
      <c r="M45" s="39" t="n"/>
      <c r="N45" s="39" t="n"/>
      <c r="O45" s="40" t="n"/>
      <c r="P45" s="46" t="n"/>
      <c r="Q45" s="48" t="n"/>
      <c r="R45" s="40" t="n"/>
      <c r="S45" s="40" t="n"/>
      <c r="T45" s="39" t="n"/>
      <c r="U45" s="47" t="n"/>
      <c r="V45" s="39" t="n"/>
      <c r="W45" s="39" t="n"/>
      <c r="X45" s="39" t="n"/>
      <c r="Y45" s="39" t="n"/>
      <c r="Z45" s="40" t="n"/>
      <c r="AA45" s="40" t="n"/>
      <c r="AB45" s="46" t="n"/>
      <c r="AC45" s="39" t="n"/>
      <c r="AD45" s="39" t="n"/>
      <c r="AE45" s="39" t="n"/>
      <c r="AF45" s="39" t="n"/>
      <c r="AG45" s="39" t="n"/>
      <c r="AH45" s="40" t="n"/>
      <c r="AI45" s="42" t="n"/>
      <c r="AJ45" s="50" t="n"/>
      <c r="AK45" s="46" t="n"/>
      <c r="AL45" s="43" t="n"/>
      <c r="AM45" s="43" t="n"/>
      <c r="AN45" s="40" t="n"/>
      <c r="AO45" s="40" t="n"/>
      <c r="AP45" s="40" t="n"/>
      <c r="AQ45" s="40" t="n"/>
      <c r="AR45" s="40" t="n"/>
      <c r="AS45" s="47" t="n"/>
      <c r="AT45" s="40" t="n"/>
      <c r="AU45" s="40" t="n"/>
      <c r="AV45" s="40" t="n"/>
      <c r="AW45" s="40" t="n"/>
      <c r="AX45" s="47" t="n"/>
      <c r="AY45" s="39" t="n"/>
      <c r="AZ45" s="39" t="n"/>
      <c r="BA45" s="39" t="n"/>
      <c r="BB45" s="39" t="n"/>
      <c r="BC45" s="39" t="n"/>
      <c r="BD45" s="40" t="n"/>
      <c r="BE45" s="39" t="n"/>
      <c r="BF45" s="39" t="n"/>
      <c r="BG45" s="39" t="n"/>
      <c r="BH45" s="39" t="n"/>
      <c r="BI45" s="39" t="n"/>
      <c r="BJ45" s="39" t="n"/>
      <c r="BK45" s="39" t="n"/>
      <c r="BL45" s="39" t="n"/>
      <c r="BM45" s="39" t="n"/>
      <c r="BN45" s="39" t="n"/>
      <c r="BO45" s="39" t="n"/>
      <c r="BP45" s="40" t="n"/>
      <c r="BQ45" s="40" t="n"/>
      <c r="BR45" s="40" t="n"/>
      <c r="BS45" s="40" t="n"/>
      <c r="BT45" s="40" t="n"/>
      <c r="BU45" s="40" t="n"/>
      <c r="BV45" s="40" t="n"/>
      <c r="BW45" s="40" t="n"/>
      <c r="BX45" s="43" t="n"/>
      <c r="BY45" s="39" t="n"/>
      <c r="BZ45" s="39" t="n"/>
      <c r="CA45" s="39" t="n"/>
      <c r="CB45" s="39" t="n"/>
      <c r="CC45" s="39" t="n"/>
      <c r="CD45" s="39" t="n"/>
      <c r="CE45" s="39" t="n"/>
      <c r="CF45" s="39" t="n"/>
      <c r="CG45" s="47" t="n"/>
      <c r="CH45" s="47" t="n"/>
      <c r="CI45" s="47" t="n"/>
      <c r="CJ45" s="47" t="n"/>
    </row>
    <row r="46" ht="23" customHeight="1">
      <c r="A46" s="39" t="n"/>
      <c r="B46" s="39" t="n"/>
      <c r="C46" s="39" t="n"/>
      <c r="D46" s="40" t="n"/>
      <c r="E46" s="40" t="n"/>
      <c r="F46" s="39" t="n"/>
      <c r="G46" s="40" t="n"/>
      <c r="H46" s="39" t="n"/>
      <c r="I46" s="40" t="n"/>
      <c r="J46" s="40" t="n"/>
      <c r="K46" s="39" t="n"/>
      <c r="L46" s="39" t="n"/>
      <c r="M46" s="39" t="n"/>
      <c r="N46" s="39" t="n"/>
      <c r="O46" s="40" t="n"/>
      <c r="P46" s="46" t="n"/>
      <c r="Q46" s="48" t="n"/>
      <c r="R46" s="40" t="n"/>
      <c r="S46" s="40" t="n"/>
      <c r="T46" s="39" t="n"/>
      <c r="U46" s="47" t="n"/>
      <c r="V46" s="39" t="n"/>
      <c r="W46" s="39" t="n"/>
      <c r="X46" s="39" t="n"/>
      <c r="Y46" s="39" t="n"/>
      <c r="Z46" s="40" t="n"/>
      <c r="AA46" s="40" t="n"/>
      <c r="AB46" s="46" t="n"/>
      <c r="AC46" s="39" t="n"/>
      <c r="AD46" s="39" t="n"/>
      <c r="AE46" s="39" t="n"/>
      <c r="AF46" s="39" t="n"/>
      <c r="AG46" s="39" t="n"/>
      <c r="AH46" s="40" t="n"/>
      <c r="AI46" s="42" t="n"/>
      <c r="AJ46" s="50" t="n"/>
      <c r="AK46" s="46" t="n"/>
      <c r="AL46" s="43" t="n"/>
      <c r="AM46" s="43" t="n"/>
      <c r="AN46" s="40" t="n"/>
      <c r="AO46" s="40" t="n"/>
      <c r="AP46" s="40" t="n"/>
      <c r="AQ46" s="40" t="n"/>
      <c r="AR46" s="40" t="n"/>
      <c r="AS46" s="47" t="n"/>
      <c r="AT46" s="40" t="n"/>
      <c r="AU46" s="40" t="n"/>
      <c r="AV46" s="40" t="n"/>
      <c r="AW46" s="40" t="n"/>
      <c r="AX46" s="47" t="n"/>
      <c r="AY46" s="39" t="n"/>
      <c r="AZ46" s="39" t="n"/>
      <c r="BA46" s="39" t="n"/>
      <c r="BB46" s="39" t="n"/>
      <c r="BC46" s="39" t="n"/>
      <c r="BD46" s="40" t="n"/>
      <c r="BE46" s="39" t="n"/>
      <c r="BF46" s="39" t="n"/>
      <c r="BG46" s="39" t="n"/>
      <c r="BH46" s="39" t="n"/>
      <c r="BI46" s="39" t="n"/>
      <c r="BJ46" s="39" t="n"/>
      <c r="BK46" s="39" t="n"/>
      <c r="BL46" s="39" t="n"/>
      <c r="BM46" s="39" t="n"/>
      <c r="BN46" s="39" t="n"/>
      <c r="BO46" s="39" t="n"/>
      <c r="BP46" s="40" t="n"/>
      <c r="BQ46" s="40" t="n"/>
      <c r="BR46" s="40" t="n"/>
      <c r="BS46" s="40" t="n"/>
      <c r="BT46" s="40" t="n"/>
      <c r="BU46" s="40" t="n"/>
      <c r="BV46" s="40" t="n"/>
      <c r="BW46" s="40" t="n"/>
      <c r="BX46" s="43" t="n"/>
      <c r="BY46" s="39" t="n"/>
      <c r="BZ46" s="39" t="n"/>
      <c r="CA46" s="39" t="n"/>
      <c r="CB46" s="39" t="n"/>
      <c r="CC46" s="39" t="n"/>
      <c r="CD46" s="39" t="n"/>
      <c r="CE46" s="39" t="n"/>
      <c r="CF46" s="39" t="n"/>
      <c r="CG46" s="47" t="n"/>
      <c r="CH46" s="47" t="n"/>
      <c r="CI46" s="47" t="n"/>
      <c r="CJ46" s="47" t="n"/>
    </row>
    <row r="47" ht="23" customHeight="1">
      <c r="A47" s="39" t="n"/>
      <c r="B47" s="39" t="n"/>
      <c r="C47" s="39" t="n"/>
      <c r="D47" s="40" t="n"/>
      <c r="E47" s="40" t="n"/>
      <c r="F47" s="39" t="n"/>
      <c r="G47" s="40" t="n"/>
      <c r="H47" s="39" t="n"/>
      <c r="I47" s="40" t="n"/>
      <c r="J47" s="40" t="n"/>
      <c r="K47" s="39" t="n"/>
      <c r="L47" s="39" t="n"/>
      <c r="M47" s="39" t="n"/>
      <c r="N47" s="39" t="n"/>
      <c r="O47" s="40" t="n"/>
      <c r="P47" s="46" t="n"/>
      <c r="Q47" s="48" t="n"/>
      <c r="R47" s="40" t="n"/>
      <c r="S47" s="40" t="n"/>
      <c r="T47" s="39" t="n"/>
      <c r="U47" s="47" t="n"/>
      <c r="V47" s="39" t="n"/>
      <c r="W47" s="39" t="n"/>
      <c r="X47" s="39" t="n"/>
      <c r="Y47" s="39" t="n"/>
      <c r="Z47" s="40" t="n"/>
      <c r="AA47" s="40" t="n"/>
      <c r="AB47" s="46" t="n"/>
      <c r="AC47" s="39" t="n"/>
      <c r="AD47" s="39" t="n"/>
      <c r="AE47" s="39" t="n"/>
      <c r="AF47" s="39" t="n"/>
      <c r="AG47" s="39" t="n"/>
      <c r="AH47" s="40" t="n"/>
      <c r="AI47" s="42" t="n"/>
      <c r="AJ47" s="50" t="n"/>
      <c r="AK47" s="46" t="n"/>
      <c r="AL47" s="43" t="n"/>
      <c r="AM47" s="43" t="n"/>
      <c r="AN47" s="40" t="n"/>
      <c r="AO47" s="40" t="n"/>
      <c r="AP47" s="40" t="n"/>
      <c r="AQ47" s="40" t="n"/>
      <c r="AR47" s="40" t="n"/>
      <c r="AS47" s="47" t="n"/>
      <c r="AT47" s="40" t="n"/>
      <c r="AU47" s="40" t="n"/>
      <c r="AV47" s="40" t="n"/>
      <c r="AW47" s="40" t="n"/>
      <c r="AX47" s="47" t="n"/>
      <c r="AY47" s="39" t="n"/>
      <c r="AZ47" s="39" t="n"/>
      <c r="BA47" s="39" t="n"/>
      <c r="BB47" s="39" t="n"/>
      <c r="BC47" s="39" t="n"/>
      <c r="BD47" s="40" t="n"/>
      <c r="BE47" s="39" t="n"/>
      <c r="BF47" s="39" t="n"/>
      <c r="BG47" s="39" t="n"/>
      <c r="BH47" s="39" t="n"/>
      <c r="BI47" s="39" t="n"/>
      <c r="BJ47" s="39" t="n"/>
      <c r="BK47" s="39" t="n"/>
      <c r="BL47" s="39" t="n"/>
      <c r="BM47" s="39" t="n"/>
      <c r="BN47" s="39" t="n"/>
      <c r="BO47" s="39" t="n"/>
      <c r="BP47" s="40" t="n"/>
      <c r="BQ47" s="40" t="n"/>
      <c r="BR47" s="40" t="n"/>
      <c r="BS47" s="40" t="n"/>
      <c r="BT47" s="40" t="n"/>
      <c r="BU47" s="40" t="n"/>
      <c r="BV47" s="40" t="n"/>
      <c r="BW47" s="40" t="n"/>
      <c r="BX47" s="43" t="n"/>
      <c r="BY47" s="39" t="n"/>
      <c r="BZ47" s="39" t="n"/>
      <c r="CA47" s="39" t="n"/>
      <c r="CB47" s="39" t="n"/>
      <c r="CC47" s="39" t="n"/>
      <c r="CD47" s="39" t="n"/>
      <c r="CE47" s="39" t="n"/>
      <c r="CF47" s="39" t="n"/>
      <c r="CG47" s="47" t="n"/>
      <c r="CH47" s="47" t="n"/>
      <c r="CI47" s="47" t="n"/>
      <c r="CJ47" s="47" t="n"/>
    </row>
    <row r="48" ht="23" customHeight="1">
      <c r="A48" s="39" t="n"/>
      <c r="B48" s="39" t="n"/>
      <c r="C48" s="39" t="n"/>
      <c r="D48" s="40" t="n"/>
      <c r="E48" s="40" t="n"/>
      <c r="F48" s="39" t="n"/>
      <c r="G48" s="40" t="n"/>
      <c r="H48" s="39" t="n"/>
      <c r="I48" s="40" t="n"/>
      <c r="J48" s="40" t="n"/>
      <c r="K48" s="39" t="n"/>
      <c r="L48" s="39" t="n"/>
      <c r="M48" s="39" t="n"/>
      <c r="N48" s="39" t="n"/>
      <c r="O48" s="40" t="n"/>
      <c r="P48" s="46" t="n"/>
      <c r="Q48" s="48" t="n"/>
      <c r="R48" s="40" t="n"/>
      <c r="S48" s="40" t="n"/>
      <c r="T48" s="39" t="n"/>
      <c r="U48" s="47" t="n"/>
      <c r="V48" s="39" t="n"/>
      <c r="W48" s="39" t="n"/>
      <c r="X48" s="39" t="n"/>
      <c r="Y48" s="39" t="n"/>
      <c r="Z48" s="40" t="n"/>
      <c r="AA48" s="40" t="n"/>
      <c r="AB48" s="46" t="n"/>
      <c r="AC48" s="39" t="n"/>
      <c r="AD48" s="39" t="n"/>
      <c r="AE48" s="39" t="n"/>
      <c r="AF48" s="39" t="n"/>
      <c r="AG48" s="39" t="n"/>
      <c r="AH48" s="40" t="n"/>
      <c r="AI48" s="42" t="n"/>
      <c r="AJ48" s="50" t="n"/>
      <c r="AK48" s="46" t="n"/>
      <c r="AL48" s="43" t="n"/>
      <c r="AM48" s="43" t="n"/>
      <c r="AN48" s="40" t="n"/>
      <c r="AO48" s="40" t="n"/>
      <c r="AP48" s="40" t="n"/>
      <c r="AQ48" s="40" t="n"/>
      <c r="AR48" s="40" t="n"/>
      <c r="AS48" s="47" t="n"/>
      <c r="AT48" s="40" t="n"/>
      <c r="AU48" s="40" t="n"/>
      <c r="AV48" s="40" t="n"/>
      <c r="AW48" s="40" t="n"/>
      <c r="AX48" s="47" t="n"/>
      <c r="AY48" s="39" t="n"/>
      <c r="AZ48" s="39" t="n"/>
      <c r="BA48" s="39" t="n"/>
      <c r="BB48" s="39" t="n"/>
      <c r="BC48" s="39" t="n"/>
      <c r="BD48" s="40" t="n"/>
      <c r="BE48" s="39" t="n"/>
      <c r="BF48" s="39" t="n"/>
      <c r="BG48" s="39" t="n"/>
      <c r="BH48" s="39" t="n"/>
      <c r="BI48" s="39" t="n"/>
      <c r="BJ48" s="39" t="n"/>
      <c r="BK48" s="39" t="n"/>
      <c r="BL48" s="39" t="n"/>
      <c r="BM48" s="39" t="n"/>
      <c r="BN48" s="39" t="n"/>
      <c r="BO48" s="39" t="n"/>
      <c r="BP48" s="40" t="n"/>
      <c r="BQ48" s="40" t="n"/>
      <c r="BR48" s="40" t="n"/>
      <c r="BS48" s="40" t="n"/>
      <c r="BT48" s="40" t="n"/>
      <c r="BU48" s="40" t="n"/>
      <c r="BV48" s="40" t="n"/>
      <c r="BW48" s="40" t="n"/>
      <c r="BX48" s="43" t="n"/>
      <c r="BY48" s="39" t="n"/>
      <c r="BZ48" s="39" t="n"/>
      <c r="CA48" s="39" t="n"/>
      <c r="CB48" s="39" t="n"/>
      <c r="CC48" s="39" t="n"/>
      <c r="CD48" s="39" t="n"/>
      <c r="CE48" s="39" t="n"/>
      <c r="CF48" s="39" t="n"/>
      <c r="CG48" s="47" t="n"/>
      <c r="CH48" s="47" t="n"/>
      <c r="CI48" s="47" t="n"/>
      <c r="CJ48" s="47" t="n"/>
    </row>
    <row r="49" ht="23" customHeight="1">
      <c r="A49" s="39" t="n"/>
      <c r="B49" s="39" t="n"/>
      <c r="C49" s="39" t="n"/>
      <c r="D49" s="40" t="n"/>
      <c r="E49" s="40" t="n"/>
      <c r="F49" s="39" t="n"/>
      <c r="G49" s="40" t="n"/>
      <c r="H49" s="39" t="n"/>
      <c r="I49" s="40" t="n"/>
      <c r="J49" s="40" t="n"/>
      <c r="K49" s="39" t="n"/>
      <c r="L49" s="39" t="n"/>
      <c r="M49" s="39" t="n"/>
      <c r="N49" s="39" t="n"/>
      <c r="O49" s="40" t="n"/>
      <c r="P49" s="46" t="n"/>
      <c r="Q49" s="48" t="n"/>
      <c r="R49" s="40" t="n"/>
      <c r="S49" s="40" t="n"/>
      <c r="T49" s="39" t="n"/>
      <c r="U49" s="47" t="n"/>
      <c r="V49" s="39" t="n"/>
      <c r="W49" s="39" t="n"/>
      <c r="X49" s="39" t="n"/>
      <c r="Y49" s="39" t="n"/>
      <c r="Z49" s="40" t="n"/>
      <c r="AA49" s="40" t="n"/>
      <c r="AB49" s="46" t="n"/>
      <c r="AC49" s="39" t="n"/>
      <c r="AD49" s="39" t="n"/>
      <c r="AE49" s="39" t="n"/>
      <c r="AF49" s="39" t="n"/>
      <c r="AG49" s="39" t="n"/>
      <c r="AH49" s="40" t="n"/>
      <c r="AI49" s="42" t="n"/>
      <c r="AJ49" s="50" t="n"/>
      <c r="AK49" s="46" t="n"/>
      <c r="AL49" s="43" t="n"/>
      <c r="AM49" s="43" t="n"/>
      <c r="AN49" s="40" t="n"/>
      <c r="AO49" s="40" t="n"/>
      <c r="AP49" s="40" t="n"/>
      <c r="AQ49" s="40" t="n"/>
      <c r="AR49" s="40" t="n"/>
      <c r="AS49" s="47" t="n"/>
      <c r="AT49" s="40" t="n"/>
      <c r="AU49" s="40" t="n"/>
      <c r="AV49" s="40" t="n"/>
      <c r="AW49" s="40" t="n"/>
      <c r="AX49" s="47" t="n"/>
      <c r="AY49" s="39" t="n"/>
      <c r="AZ49" s="39" t="n"/>
      <c r="BA49" s="39" t="n"/>
      <c r="BB49" s="39" t="n"/>
      <c r="BC49" s="39" t="n"/>
      <c r="BD49" s="40" t="n"/>
      <c r="BE49" s="39" t="n"/>
      <c r="BF49" s="39" t="n"/>
      <c r="BG49" s="39" t="n"/>
      <c r="BH49" s="39" t="n"/>
      <c r="BI49" s="39" t="n"/>
      <c r="BJ49" s="39" t="n"/>
      <c r="BK49" s="39" t="n"/>
      <c r="BL49" s="39" t="n"/>
      <c r="BM49" s="39" t="n"/>
      <c r="BN49" s="39" t="n"/>
      <c r="BO49" s="39" t="n"/>
      <c r="BP49" s="40" t="n"/>
      <c r="BQ49" s="40" t="n"/>
      <c r="BR49" s="40" t="n"/>
      <c r="BS49" s="40" t="n"/>
      <c r="BT49" s="40" t="n"/>
      <c r="BU49" s="40" t="n"/>
      <c r="BV49" s="40" t="n"/>
      <c r="BW49" s="40" t="n"/>
      <c r="BX49" s="43" t="n"/>
      <c r="BY49" s="39" t="n"/>
      <c r="BZ49" s="39" t="n"/>
      <c r="CA49" s="39" t="n"/>
      <c r="CB49" s="39" t="n"/>
      <c r="CC49" s="39" t="n"/>
      <c r="CD49" s="39" t="n"/>
      <c r="CE49" s="39" t="n"/>
      <c r="CF49" s="39" t="n"/>
      <c r="CG49" s="47" t="n"/>
      <c r="CH49" s="47" t="n"/>
      <c r="CI49" s="47" t="n"/>
      <c r="CJ49" s="47" t="n"/>
    </row>
    <row r="50" ht="23" customHeight="1">
      <c r="A50" s="39" t="n"/>
      <c r="B50" s="39" t="n"/>
      <c r="C50" s="39" t="n"/>
      <c r="D50" s="40" t="n"/>
      <c r="E50" s="40" t="n"/>
      <c r="F50" s="39" t="n"/>
      <c r="G50" s="40" t="n"/>
      <c r="H50" s="39" t="n"/>
      <c r="I50" s="40" t="n"/>
      <c r="J50" s="40" t="n"/>
      <c r="K50" s="39" t="n"/>
      <c r="L50" s="39" t="n"/>
      <c r="M50" s="39" t="n"/>
      <c r="N50" s="39" t="n"/>
      <c r="O50" s="40" t="n"/>
      <c r="P50" s="46" t="n"/>
      <c r="Q50" s="48" t="n"/>
      <c r="R50" s="40" t="n"/>
      <c r="S50" s="40" t="n"/>
      <c r="T50" s="39" t="n"/>
      <c r="U50" s="47" t="n"/>
      <c r="V50" s="39" t="n"/>
      <c r="W50" s="39" t="n"/>
      <c r="X50" s="39" t="n"/>
      <c r="Y50" s="39" t="n"/>
      <c r="Z50" s="40" t="n"/>
      <c r="AA50" s="40" t="n"/>
      <c r="AB50" s="46" t="n"/>
      <c r="AC50" s="39" t="n"/>
      <c r="AD50" s="39" t="n"/>
      <c r="AE50" s="39" t="n"/>
      <c r="AF50" s="39" t="n"/>
      <c r="AG50" s="39" t="n"/>
      <c r="AH50" s="40" t="n"/>
      <c r="AI50" s="42" t="n"/>
      <c r="AJ50" s="50" t="n"/>
      <c r="AK50" s="46" t="n"/>
      <c r="AL50" s="43" t="n"/>
      <c r="AM50" s="43" t="n"/>
      <c r="AN50" s="40" t="n"/>
      <c r="AO50" s="40" t="n"/>
      <c r="AP50" s="40" t="n"/>
      <c r="AQ50" s="40" t="n"/>
      <c r="AR50" s="40" t="n"/>
      <c r="AS50" s="47" t="n"/>
      <c r="AT50" s="40" t="n"/>
      <c r="AU50" s="40" t="n"/>
      <c r="AV50" s="40" t="n"/>
      <c r="AW50" s="40" t="n"/>
      <c r="AX50" s="47" t="n"/>
      <c r="AY50" s="39" t="n"/>
      <c r="AZ50" s="39" t="n"/>
      <c r="BA50" s="39" t="n"/>
      <c r="BB50" s="39" t="n"/>
      <c r="BC50" s="39" t="n"/>
      <c r="BD50" s="40" t="n"/>
      <c r="BE50" s="39" t="n"/>
      <c r="BF50" s="39" t="n"/>
      <c r="BG50" s="39" t="n"/>
      <c r="BH50" s="39" t="n"/>
      <c r="BI50" s="39" t="n"/>
      <c r="BJ50" s="39" t="n"/>
      <c r="BK50" s="39" t="n"/>
      <c r="BL50" s="39" t="n"/>
      <c r="BM50" s="39" t="n"/>
      <c r="BN50" s="39" t="n"/>
      <c r="BO50" s="39" t="n"/>
      <c r="BP50" s="40" t="n"/>
      <c r="BQ50" s="40" t="n"/>
      <c r="BR50" s="40" t="n"/>
      <c r="BS50" s="40" t="n"/>
      <c r="BT50" s="40" t="n"/>
      <c r="BU50" s="40" t="n"/>
      <c r="BV50" s="40" t="n"/>
      <c r="BW50" s="40" t="n"/>
      <c r="BX50" s="43" t="n"/>
      <c r="BY50" s="39" t="n"/>
      <c r="BZ50" s="39" t="n"/>
      <c r="CA50" s="39" t="n"/>
      <c r="CB50" s="39" t="n"/>
      <c r="CC50" s="39" t="n"/>
      <c r="CD50" s="39" t="n"/>
      <c r="CE50" s="39" t="n"/>
      <c r="CF50" s="39" t="n"/>
      <c r="CG50" s="47" t="n"/>
      <c r="CH50" s="47" t="n"/>
      <c r="CI50" s="47" t="n"/>
      <c r="CJ50" s="47" t="n"/>
    </row>
    <row r="51" ht="23" customHeight="1">
      <c r="A51" s="39" t="n"/>
      <c r="B51" s="39" t="n"/>
      <c r="C51" s="39" t="n"/>
      <c r="D51" s="40" t="n"/>
      <c r="E51" s="40" t="n"/>
      <c r="F51" s="39" t="n"/>
      <c r="G51" s="40" t="n"/>
      <c r="H51" s="39" t="n"/>
      <c r="I51" s="40" t="n"/>
      <c r="J51" s="40" t="n"/>
      <c r="K51" s="39" t="n"/>
      <c r="L51" s="39" t="n"/>
      <c r="M51" s="39" t="n"/>
      <c r="N51" s="39" t="n"/>
      <c r="O51" s="40" t="n"/>
      <c r="P51" s="46" t="n"/>
      <c r="Q51" s="48" t="n"/>
      <c r="R51" s="40" t="n"/>
      <c r="S51" s="40" t="n"/>
      <c r="T51" s="39" t="n"/>
      <c r="U51" s="47" t="n"/>
      <c r="V51" s="39" t="n"/>
      <c r="W51" s="39" t="n"/>
      <c r="X51" s="39" t="n"/>
      <c r="Y51" s="39" t="n"/>
      <c r="Z51" s="40" t="n"/>
      <c r="AA51" s="40" t="n"/>
      <c r="AB51" s="46" t="n"/>
      <c r="AC51" s="39" t="n"/>
      <c r="AD51" s="39" t="n"/>
      <c r="AE51" s="39" t="n"/>
      <c r="AF51" s="39" t="n"/>
      <c r="AG51" s="39" t="n"/>
      <c r="AH51" s="40" t="n"/>
      <c r="AI51" s="42" t="n"/>
      <c r="AJ51" s="50" t="n"/>
      <c r="AK51" s="46" t="n"/>
      <c r="AL51" s="43" t="n"/>
      <c r="AM51" s="43" t="n"/>
      <c r="AN51" s="40" t="n"/>
      <c r="AO51" s="40" t="n"/>
      <c r="AP51" s="40" t="n"/>
      <c r="AQ51" s="40" t="n"/>
      <c r="AR51" s="40" t="n"/>
      <c r="AS51" s="47" t="n"/>
      <c r="AT51" s="40" t="n"/>
      <c r="AU51" s="40" t="n"/>
      <c r="AV51" s="40" t="n"/>
      <c r="AW51" s="40" t="n"/>
      <c r="AX51" s="47" t="n"/>
      <c r="AY51" s="39" t="n"/>
      <c r="AZ51" s="39" t="n"/>
      <c r="BA51" s="39" t="n"/>
      <c r="BB51" s="39" t="n"/>
      <c r="BC51" s="39" t="n"/>
      <c r="BD51" s="40" t="n"/>
      <c r="BE51" s="39" t="n"/>
      <c r="BF51" s="39" t="n"/>
      <c r="BG51" s="39" t="n"/>
      <c r="BH51" s="39" t="n"/>
      <c r="BI51" s="39" t="n"/>
      <c r="BJ51" s="39" t="n"/>
      <c r="BK51" s="39" t="n"/>
      <c r="BL51" s="39" t="n"/>
      <c r="BM51" s="39" t="n"/>
      <c r="BN51" s="39" t="n"/>
      <c r="BO51" s="39" t="n"/>
      <c r="BP51" s="40" t="n"/>
      <c r="BQ51" s="40" t="n"/>
      <c r="BR51" s="40" t="n"/>
      <c r="BS51" s="40" t="n"/>
      <c r="BT51" s="40" t="n"/>
      <c r="BU51" s="40" t="n"/>
      <c r="BV51" s="40" t="n"/>
      <c r="BW51" s="40" t="n"/>
      <c r="BX51" s="43" t="n"/>
      <c r="BY51" s="39" t="n"/>
      <c r="BZ51" s="39" t="n"/>
      <c r="CA51" s="39" t="n"/>
      <c r="CB51" s="39" t="n"/>
      <c r="CC51" s="39" t="n"/>
      <c r="CD51" s="39" t="n"/>
      <c r="CE51" s="39" t="n"/>
      <c r="CF51" s="39" t="n"/>
      <c r="CG51" s="47" t="n"/>
      <c r="CH51" s="47" t="n"/>
      <c r="CI51" s="47" t="n"/>
      <c r="CJ51" s="47" t="n"/>
    </row>
    <row r="52" ht="23" customHeight="1">
      <c r="A52" s="39" t="n"/>
      <c r="B52" s="39" t="n"/>
      <c r="C52" s="39" t="n"/>
      <c r="D52" s="40" t="n"/>
      <c r="E52" s="40" t="n"/>
      <c r="F52" s="39" t="n"/>
      <c r="G52" s="40" t="n"/>
      <c r="H52" s="39" t="n"/>
      <c r="I52" s="40" t="n"/>
      <c r="J52" s="40" t="n"/>
      <c r="K52" s="39" t="n"/>
      <c r="L52" s="39" t="n"/>
      <c r="M52" s="39" t="n"/>
      <c r="N52" s="39" t="n"/>
      <c r="O52" s="40" t="n"/>
      <c r="P52" s="46" t="n"/>
      <c r="Q52" s="48" t="n"/>
      <c r="R52" s="40" t="n"/>
      <c r="S52" s="40" t="n"/>
      <c r="T52" s="39" t="n"/>
      <c r="U52" s="47" t="n"/>
      <c r="V52" s="39" t="n"/>
      <c r="W52" s="39" t="n"/>
      <c r="X52" s="39" t="n"/>
      <c r="Y52" s="39" t="n"/>
      <c r="Z52" s="40" t="n"/>
      <c r="AA52" s="40" t="n"/>
      <c r="AB52" s="46" t="n"/>
      <c r="AC52" s="39" t="n"/>
      <c r="AD52" s="39" t="n"/>
      <c r="AE52" s="39" t="n"/>
      <c r="AF52" s="39" t="n"/>
      <c r="AG52" s="39" t="n"/>
      <c r="AH52" s="40" t="n"/>
      <c r="AI52" s="42" t="n"/>
      <c r="AJ52" s="50" t="n"/>
      <c r="AK52" s="46" t="n"/>
      <c r="AL52" s="43" t="n"/>
      <c r="AM52" s="43" t="n"/>
      <c r="AN52" s="40" t="n"/>
      <c r="AO52" s="40" t="n"/>
      <c r="AP52" s="40" t="n"/>
      <c r="AQ52" s="40" t="n"/>
      <c r="AR52" s="40" t="n"/>
      <c r="AS52" s="47" t="n"/>
      <c r="AT52" s="40" t="n"/>
      <c r="AU52" s="40" t="n"/>
      <c r="AV52" s="40" t="n"/>
      <c r="AW52" s="40" t="n"/>
      <c r="AX52" s="47" t="n"/>
      <c r="AY52" s="39" t="n"/>
      <c r="AZ52" s="39" t="n"/>
      <c r="BA52" s="39" t="n"/>
      <c r="BB52" s="39" t="n"/>
      <c r="BC52" s="39" t="n"/>
      <c r="BD52" s="40" t="n"/>
      <c r="BE52" s="39" t="n"/>
      <c r="BF52" s="39" t="n"/>
      <c r="BG52" s="39" t="n"/>
      <c r="BH52" s="39" t="n"/>
      <c r="BI52" s="39" t="n"/>
      <c r="BJ52" s="39" t="n"/>
      <c r="BK52" s="39" t="n"/>
      <c r="BL52" s="39" t="n"/>
      <c r="BM52" s="39" t="n"/>
      <c r="BN52" s="39" t="n"/>
      <c r="BO52" s="39" t="n"/>
      <c r="BP52" s="40" t="n"/>
      <c r="BQ52" s="40" t="n"/>
      <c r="BR52" s="40" t="n"/>
      <c r="BS52" s="40" t="n"/>
      <c r="BT52" s="40" t="n"/>
      <c r="BU52" s="40" t="n"/>
      <c r="BV52" s="40" t="n"/>
      <c r="BW52" s="40" t="n"/>
      <c r="BX52" s="43" t="n"/>
      <c r="BY52" s="39" t="n"/>
      <c r="BZ52" s="39" t="n"/>
      <c r="CA52" s="39" t="n"/>
      <c r="CB52" s="39" t="n"/>
      <c r="CC52" s="39" t="n"/>
      <c r="CD52" s="39" t="n"/>
      <c r="CE52" s="39" t="n"/>
      <c r="CF52" s="39" t="n"/>
      <c r="CG52" s="47" t="n"/>
      <c r="CH52" s="47" t="n"/>
      <c r="CI52" s="47" t="n"/>
      <c r="CJ52" s="47" t="n"/>
    </row>
    <row r="53" ht="23" customHeight="1">
      <c r="A53" s="39" t="n"/>
      <c r="B53" s="39" t="n"/>
      <c r="C53" s="39" t="n"/>
      <c r="D53" s="40" t="n"/>
      <c r="E53" s="40" t="n"/>
      <c r="F53" s="39" t="n"/>
      <c r="G53" s="40" t="n"/>
      <c r="H53" s="39" t="n"/>
      <c r="I53" s="40" t="n"/>
      <c r="J53" s="40" t="n"/>
      <c r="K53" s="39" t="n"/>
      <c r="L53" s="39" t="n"/>
      <c r="M53" s="39" t="n"/>
      <c r="N53" s="39" t="n"/>
      <c r="O53" s="40" t="n"/>
      <c r="P53" s="46" t="n"/>
      <c r="Q53" s="48" t="n"/>
      <c r="R53" s="40" t="n"/>
      <c r="S53" s="40" t="n"/>
      <c r="T53" s="39" t="n"/>
      <c r="U53" s="47" t="n"/>
      <c r="V53" s="39" t="n"/>
      <c r="W53" s="39" t="n"/>
      <c r="X53" s="39" t="n"/>
      <c r="Y53" s="39" t="n"/>
      <c r="Z53" s="40" t="n"/>
      <c r="AA53" s="40" t="n"/>
      <c r="AB53" s="46" t="n"/>
      <c r="AC53" s="39" t="n"/>
      <c r="AD53" s="39" t="n"/>
      <c r="AE53" s="39" t="n"/>
      <c r="AF53" s="39" t="n"/>
      <c r="AG53" s="39" t="n"/>
      <c r="AH53" s="40" t="n"/>
      <c r="AI53" s="42" t="n"/>
      <c r="AJ53" s="50" t="n"/>
      <c r="AK53" s="46" t="n"/>
      <c r="AL53" s="43" t="n"/>
      <c r="AM53" s="43" t="n"/>
      <c r="AN53" s="40" t="n"/>
      <c r="AO53" s="40" t="n"/>
      <c r="AP53" s="40" t="n"/>
      <c r="AQ53" s="40" t="n"/>
      <c r="AR53" s="40" t="n"/>
      <c r="AS53" s="47" t="n"/>
      <c r="AT53" s="40" t="n"/>
      <c r="AU53" s="40" t="n"/>
      <c r="AV53" s="40" t="n"/>
      <c r="AW53" s="40" t="n"/>
      <c r="AX53" s="47" t="n"/>
      <c r="AY53" s="39" t="n"/>
      <c r="AZ53" s="39" t="n"/>
      <c r="BA53" s="39" t="n"/>
      <c r="BB53" s="39" t="n"/>
      <c r="BC53" s="39" t="n"/>
      <c r="BD53" s="40" t="n"/>
      <c r="BE53" s="39" t="n"/>
      <c r="BF53" s="39" t="n"/>
      <c r="BG53" s="39" t="n"/>
      <c r="BH53" s="39" t="n"/>
      <c r="BI53" s="39" t="n"/>
      <c r="BJ53" s="39" t="n"/>
      <c r="BK53" s="39" t="n"/>
      <c r="BL53" s="39" t="n"/>
      <c r="BM53" s="39" t="n"/>
      <c r="BN53" s="39" t="n"/>
      <c r="BO53" s="39" t="n"/>
      <c r="BP53" s="40" t="n"/>
      <c r="BQ53" s="40" t="n"/>
      <c r="BR53" s="40" t="n"/>
      <c r="BS53" s="40" t="n"/>
      <c r="BT53" s="40" t="n"/>
      <c r="BU53" s="40" t="n"/>
      <c r="BV53" s="40" t="n"/>
      <c r="BW53" s="40" t="n"/>
      <c r="BX53" s="43" t="n"/>
      <c r="BY53" s="39" t="n"/>
      <c r="BZ53" s="39" t="n"/>
      <c r="CA53" s="39" t="n"/>
      <c r="CB53" s="39" t="n"/>
      <c r="CC53" s="39" t="n"/>
      <c r="CD53" s="39" t="n"/>
      <c r="CE53" s="39" t="n"/>
      <c r="CF53" s="39" t="n"/>
      <c r="CG53" s="47" t="n"/>
      <c r="CH53" s="47" t="n"/>
      <c r="CI53" s="47" t="n"/>
      <c r="CJ53" s="47" t="n"/>
    </row>
    <row r="54" ht="23" customHeight="1">
      <c r="A54" s="39" t="n"/>
      <c r="B54" s="39" t="n"/>
      <c r="C54" s="39" t="n"/>
      <c r="D54" s="40" t="n"/>
      <c r="E54" s="40" t="n"/>
      <c r="F54" s="39" t="n"/>
      <c r="G54" s="40" t="n"/>
      <c r="H54" s="39" t="n"/>
      <c r="I54" s="40" t="n"/>
      <c r="J54" s="40" t="n"/>
      <c r="K54" s="39" t="n"/>
      <c r="L54" s="39" t="n"/>
      <c r="M54" s="39" t="n"/>
      <c r="N54" s="39" t="n"/>
      <c r="O54" s="40" t="n"/>
      <c r="P54" s="46" t="n"/>
      <c r="Q54" s="48" t="n"/>
      <c r="R54" s="40" t="n"/>
      <c r="S54" s="40" t="n"/>
      <c r="T54" s="39" t="n"/>
      <c r="U54" s="47" t="n"/>
      <c r="V54" s="39" t="n"/>
      <c r="W54" s="39" t="n"/>
      <c r="X54" s="39" t="n"/>
      <c r="Y54" s="39" t="n"/>
      <c r="Z54" s="40" t="n"/>
      <c r="AA54" s="40" t="n"/>
      <c r="AB54" s="46" t="n"/>
      <c r="AC54" s="39" t="n"/>
      <c r="AD54" s="39" t="n"/>
      <c r="AE54" s="39" t="n"/>
      <c r="AF54" s="39" t="n"/>
      <c r="AG54" s="39" t="n"/>
      <c r="AH54" s="40" t="n"/>
      <c r="AI54" s="42" t="n"/>
      <c r="AJ54" s="50" t="n"/>
      <c r="AK54" s="46" t="n"/>
      <c r="AL54" s="43" t="n"/>
      <c r="AM54" s="43" t="n"/>
      <c r="AN54" s="40" t="n"/>
      <c r="AO54" s="40" t="n"/>
      <c r="AP54" s="40" t="n"/>
      <c r="AQ54" s="40" t="n"/>
      <c r="AR54" s="40" t="n"/>
      <c r="AS54" s="47" t="n"/>
      <c r="AT54" s="40" t="n"/>
      <c r="AU54" s="40" t="n"/>
      <c r="AV54" s="40" t="n"/>
      <c r="AW54" s="40" t="n"/>
      <c r="AX54" s="47" t="n"/>
      <c r="AY54" s="39" t="n"/>
      <c r="AZ54" s="39" t="n"/>
      <c r="BA54" s="39" t="n"/>
      <c r="BB54" s="39" t="n"/>
      <c r="BC54" s="39" t="n"/>
      <c r="BD54" s="40" t="n"/>
      <c r="BE54" s="39" t="n"/>
      <c r="BF54" s="39" t="n"/>
      <c r="BG54" s="39" t="n"/>
      <c r="BH54" s="39" t="n"/>
      <c r="BI54" s="39" t="n"/>
      <c r="BJ54" s="39" t="n"/>
      <c r="BK54" s="39" t="n"/>
      <c r="BL54" s="39" t="n"/>
      <c r="BM54" s="39" t="n"/>
      <c r="BN54" s="39" t="n"/>
      <c r="BO54" s="39" t="n"/>
      <c r="BP54" s="40" t="n"/>
      <c r="BQ54" s="40" t="n"/>
      <c r="BR54" s="40" t="n"/>
      <c r="BS54" s="40" t="n"/>
      <c r="BT54" s="40" t="n"/>
      <c r="BU54" s="40" t="n"/>
      <c r="BV54" s="40" t="n"/>
      <c r="BW54" s="40" t="n"/>
      <c r="BX54" s="43" t="n"/>
      <c r="BY54" s="39" t="n"/>
      <c r="BZ54" s="39" t="n"/>
      <c r="CA54" s="39" t="n"/>
      <c r="CB54" s="39" t="n"/>
      <c r="CC54" s="39" t="n"/>
      <c r="CD54" s="39" t="n"/>
      <c r="CE54" s="39" t="n"/>
      <c r="CF54" s="39" t="n"/>
      <c r="CG54" s="47" t="n"/>
      <c r="CH54" s="47" t="n"/>
      <c r="CI54" s="47" t="n"/>
      <c r="CJ54" s="47" t="n"/>
    </row>
    <row r="55" ht="23" customHeight="1">
      <c r="A55" s="39" t="n"/>
      <c r="B55" s="39" t="n"/>
      <c r="C55" s="39" t="n"/>
      <c r="D55" s="40" t="n"/>
      <c r="E55" s="40" t="n"/>
      <c r="F55" s="39" t="n"/>
      <c r="G55" s="40" t="n"/>
      <c r="H55" s="39" t="n"/>
      <c r="I55" s="40" t="n"/>
      <c r="J55" s="40" t="n"/>
      <c r="K55" s="39" t="n"/>
      <c r="L55" s="39" t="n"/>
      <c r="M55" s="39" t="n"/>
      <c r="N55" s="39" t="n"/>
      <c r="O55" s="40" t="n"/>
      <c r="P55" s="46" t="n"/>
      <c r="Q55" s="48" t="n"/>
      <c r="R55" s="40" t="n"/>
      <c r="S55" s="40" t="n"/>
      <c r="T55" s="39" t="n"/>
      <c r="U55" s="47" t="n"/>
      <c r="V55" s="39" t="n"/>
      <c r="W55" s="39" t="n"/>
      <c r="X55" s="39" t="n"/>
      <c r="Y55" s="39" t="n"/>
      <c r="Z55" s="40" t="n"/>
      <c r="AA55" s="40" t="n"/>
      <c r="AB55" s="46" t="n"/>
      <c r="AC55" s="39" t="n"/>
      <c r="AD55" s="39" t="n"/>
      <c r="AE55" s="39" t="n"/>
      <c r="AF55" s="39" t="n"/>
      <c r="AG55" s="39" t="n"/>
      <c r="AH55" s="40" t="n"/>
      <c r="AI55" s="42" t="n"/>
      <c r="AJ55" s="50" t="n"/>
      <c r="AK55" s="46" t="n"/>
      <c r="AL55" s="43" t="n"/>
      <c r="AM55" s="43" t="n"/>
      <c r="AN55" s="40" t="n"/>
      <c r="AO55" s="40" t="n"/>
      <c r="AP55" s="40" t="n"/>
      <c r="AQ55" s="40" t="n"/>
      <c r="AR55" s="40" t="n"/>
      <c r="AS55" s="47" t="n"/>
      <c r="AT55" s="40" t="n"/>
      <c r="AU55" s="40" t="n"/>
      <c r="AV55" s="40" t="n"/>
      <c r="AW55" s="40" t="n"/>
      <c r="AX55" s="47" t="n"/>
      <c r="AY55" s="39" t="n"/>
      <c r="AZ55" s="39" t="n"/>
      <c r="BA55" s="39" t="n"/>
      <c r="BB55" s="39" t="n"/>
      <c r="BC55" s="39" t="n"/>
      <c r="BD55" s="40" t="n"/>
      <c r="BE55" s="39" t="n"/>
      <c r="BF55" s="39" t="n"/>
      <c r="BG55" s="39" t="n"/>
      <c r="BH55" s="39" t="n"/>
      <c r="BI55" s="39" t="n"/>
      <c r="BJ55" s="39" t="n"/>
      <c r="BK55" s="39" t="n"/>
      <c r="BL55" s="39" t="n"/>
      <c r="BM55" s="39" t="n"/>
      <c r="BN55" s="39" t="n"/>
      <c r="BO55" s="39" t="n"/>
      <c r="BP55" s="40" t="n"/>
      <c r="BQ55" s="40" t="n"/>
      <c r="BR55" s="40" t="n"/>
      <c r="BS55" s="40" t="n"/>
      <c r="BT55" s="40" t="n"/>
      <c r="BU55" s="40" t="n"/>
      <c r="BV55" s="40" t="n"/>
      <c r="BW55" s="40" t="n"/>
      <c r="BX55" s="43" t="n"/>
      <c r="BY55" s="39" t="n"/>
      <c r="BZ55" s="39" t="n"/>
      <c r="CA55" s="39" t="n"/>
      <c r="CB55" s="39" t="n"/>
      <c r="CC55" s="39" t="n"/>
      <c r="CD55" s="39" t="n"/>
      <c r="CE55" s="39" t="n"/>
      <c r="CF55" s="39" t="n"/>
      <c r="CG55" s="47" t="n"/>
      <c r="CH55" s="47" t="n"/>
      <c r="CI55" s="47" t="n"/>
      <c r="CJ55" s="47" t="n"/>
    </row>
    <row r="56" ht="23" customHeight="1">
      <c r="A56" s="39" t="n"/>
      <c r="B56" s="39" t="n"/>
      <c r="C56" s="39" t="n"/>
      <c r="D56" s="40" t="n"/>
      <c r="E56" s="40" t="n"/>
      <c r="F56" s="39" t="n"/>
      <c r="G56" s="40" t="n"/>
      <c r="H56" s="39" t="n"/>
      <c r="I56" s="40" t="n"/>
      <c r="J56" s="40" t="n"/>
      <c r="K56" s="39" t="n"/>
      <c r="L56" s="39" t="n"/>
      <c r="M56" s="39" t="n"/>
      <c r="N56" s="39" t="n"/>
      <c r="O56" s="40" t="n"/>
      <c r="P56" s="46" t="n"/>
      <c r="Q56" s="48" t="n"/>
      <c r="R56" s="40" t="n"/>
      <c r="S56" s="40" t="n"/>
      <c r="T56" s="39" t="n"/>
      <c r="U56" s="47" t="n"/>
      <c r="V56" s="39" t="n"/>
      <c r="W56" s="39" t="n"/>
      <c r="X56" s="39" t="n"/>
      <c r="Y56" s="39" t="n"/>
      <c r="Z56" s="40" t="n"/>
      <c r="AA56" s="40" t="n"/>
      <c r="AB56" s="46" t="n"/>
      <c r="AC56" s="39" t="n"/>
      <c r="AD56" s="39" t="n"/>
      <c r="AE56" s="39" t="n"/>
      <c r="AF56" s="39" t="n"/>
      <c r="AG56" s="39" t="n"/>
      <c r="AH56" s="40" t="n"/>
      <c r="AI56" s="42" t="n"/>
      <c r="AJ56" s="50" t="n"/>
      <c r="AK56" s="46" t="n"/>
      <c r="AL56" s="43" t="n"/>
      <c r="AM56" s="43" t="n"/>
      <c r="AN56" s="40" t="n"/>
      <c r="AO56" s="40" t="n"/>
      <c r="AP56" s="40" t="n"/>
      <c r="AQ56" s="40" t="n"/>
      <c r="AR56" s="40" t="n"/>
      <c r="AS56" s="47" t="n"/>
      <c r="AT56" s="40" t="n"/>
      <c r="AU56" s="40" t="n"/>
      <c r="AV56" s="40" t="n"/>
      <c r="AW56" s="40" t="n"/>
      <c r="AX56" s="47" t="n"/>
      <c r="AY56" s="39" t="n"/>
      <c r="AZ56" s="39" t="n"/>
      <c r="BA56" s="39" t="n"/>
      <c r="BB56" s="39" t="n"/>
      <c r="BC56" s="39" t="n"/>
      <c r="BD56" s="40" t="n"/>
      <c r="BE56" s="39" t="n"/>
      <c r="BF56" s="39" t="n"/>
      <c r="BG56" s="39" t="n"/>
      <c r="BH56" s="39" t="n"/>
      <c r="BI56" s="39" t="n"/>
      <c r="BJ56" s="39" t="n"/>
      <c r="BK56" s="39" t="n"/>
      <c r="BL56" s="39" t="n"/>
      <c r="BM56" s="39" t="n"/>
      <c r="BN56" s="39" t="n"/>
      <c r="BO56" s="39" t="n"/>
      <c r="BP56" s="40" t="n"/>
      <c r="BQ56" s="40" t="n"/>
      <c r="BR56" s="40" t="n"/>
      <c r="BS56" s="40" t="n"/>
      <c r="BT56" s="40" t="n"/>
      <c r="BU56" s="40" t="n"/>
      <c r="BV56" s="40" t="n"/>
      <c r="BW56" s="40" t="n"/>
      <c r="BX56" s="43" t="n"/>
      <c r="BY56" s="39" t="n"/>
      <c r="BZ56" s="39" t="n"/>
      <c r="CA56" s="39" t="n"/>
      <c r="CB56" s="39" t="n"/>
      <c r="CC56" s="39" t="n"/>
      <c r="CD56" s="39" t="n"/>
      <c r="CE56" s="39" t="n"/>
      <c r="CF56" s="39" t="n"/>
      <c r="CG56" s="47" t="n"/>
      <c r="CH56" s="47" t="n"/>
      <c r="CI56" s="47" t="n"/>
      <c r="CJ56" s="47" t="n"/>
    </row>
    <row r="57" ht="23" customHeight="1">
      <c r="A57" s="39" t="n"/>
      <c r="B57" s="39" t="n"/>
      <c r="C57" s="39" t="n"/>
      <c r="D57" s="40" t="n"/>
      <c r="E57" s="40" t="n"/>
      <c r="F57" s="39" t="n"/>
      <c r="G57" s="40" t="n"/>
      <c r="H57" s="39" t="n"/>
      <c r="I57" s="40" t="n"/>
      <c r="J57" s="40" t="n"/>
      <c r="K57" s="39" t="n"/>
      <c r="L57" s="39" t="n"/>
      <c r="M57" s="39" t="n"/>
      <c r="N57" s="39" t="n"/>
      <c r="O57" s="40" t="n"/>
      <c r="P57" s="46" t="n"/>
      <c r="Q57" s="48" t="n"/>
      <c r="R57" s="40" t="n"/>
      <c r="S57" s="40" t="n"/>
      <c r="T57" s="39" t="n"/>
      <c r="U57" s="47" t="n"/>
      <c r="V57" s="39" t="n"/>
      <c r="W57" s="39" t="n"/>
      <c r="X57" s="39" t="n"/>
      <c r="Y57" s="39" t="n"/>
      <c r="Z57" s="40" t="n"/>
      <c r="AA57" s="40" t="n"/>
      <c r="AB57" s="46" t="n"/>
      <c r="AC57" s="39" t="n"/>
      <c r="AD57" s="39" t="n"/>
      <c r="AE57" s="39" t="n"/>
      <c r="AF57" s="39" t="n"/>
      <c r="AG57" s="39" t="n"/>
      <c r="AH57" s="40" t="n"/>
      <c r="AI57" s="42" t="n"/>
      <c r="AJ57" s="50" t="n"/>
      <c r="AK57" s="46" t="n"/>
      <c r="AL57" s="43" t="n"/>
      <c r="AM57" s="43" t="n"/>
      <c r="AN57" s="40" t="n"/>
      <c r="AO57" s="40" t="n"/>
      <c r="AP57" s="40" t="n"/>
      <c r="AQ57" s="40" t="n"/>
      <c r="AR57" s="40" t="n"/>
      <c r="AS57" s="47" t="n"/>
      <c r="AT57" s="40" t="n"/>
      <c r="AU57" s="40" t="n"/>
      <c r="AV57" s="40" t="n"/>
      <c r="AW57" s="40" t="n"/>
      <c r="AX57" s="47" t="n"/>
      <c r="AY57" s="39" t="n"/>
      <c r="AZ57" s="39" t="n"/>
      <c r="BA57" s="39" t="n"/>
      <c r="BB57" s="39" t="n"/>
      <c r="BC57" s="39" t="n"/>
      <c r="BD57" s="40" t="n"/>
      <c r="BE57" s="39" t="n"/>
      <c r="BF57" s="39" t="n"/>
      <c r="BG57" s="39" t="n"/>
      <c r="BH57" s="39" t="n"/>
      <c r="BI57" s="39" t="n"/>
      <c r="BJ57" s="39" t="n"/>
      <c r="BK57" s="39" t="n"/>
      <c r="BL57" s="39" t="n"/>
      <c r="BM57" s="39" t="n"/>
      <c r="BN57" s="39" t="n"/>
      <c r="BO57" s="39" t="n"/>
      <c r="BP57" s="40" t="n"/>
      <c r="BQ57" s="40" t="n"/>
      <c r="BR57" s="40" t="n"/>
      <c r="BS57" s="40" t="n"/>
      <c r="BT57" s="40" t="n"/>
      <c r="BU57" s="40" t="n"/>
      <c r="BV57" s="40" t="n"/>
      <c r="BW57" s="40" t="n"/>
      <c r="BX57" s="43" t="n"/>
      <c r="BY57" s="39" t="n"/>
      <c r="BZ57" s="39" t="n"/>
      <c r="CA57" s="39" t="n"/>
      <c r="CB57" s="39" t="n"/>
      <c r="CC57" s="39" t="n"/>
      <c r="CD57" s="39" t="n"/>
      <c r="CE57" s="39" t="n"/>
      <c r="CF57" s="39" t="n"/>
      <c r="CG57" s="47" t="n"/>
      <c r="CH57" s="47" t="n"/>
      <c r="CI57" s="47" t="n"/>
      <c r="CJ57" s="47" t="n"/>
    </row>
    <row r="58" ht="23" customHeight="1">
      <c r="A58" s="39" t="n"/>
      <c r="B58" s="39" t="n"/>
      <c r="C58" s="39" t="n"/>
      <c r="D58" s="40" t="n"/>
      <c r="E58" s="40" t="n"/>
      <c r="F58" s="39" t="n"/>
      <c r="G58" s="40" t="n"/>
      <c r="H58" s="39" t="n"/>
      <c r="I58" s="40" t="n"/>
      <c r="J58" s="40" t="n"/>
      <c r="K58" s="39" t="n"/>
      <c r="L58" s="39" t="n"/>
      <c r="M58" s="39" t="n"/>
      <c r="N58" s="39" t="n"/>
      <c r="O58" s="40" t="n"/>
      <c r="P58" s="46" t="n"/>
      <c r="Q58" s="48" t="n"/>
      <c r="R58" s="40" t="n"/>
      <c r="S58" s="40" t="n"/>
      <c r="T58" s="39" t="n"/>
      <c r="U58" s="47" t="n"/>
      <c r="V58" s="39" t="n"/>
      <c r="W58" s="39" t="n"/>
      <c r="X58" s="39" t="n"/>
      <c r="Y58" s="39" t="n"/>
      <c r="Z58" s="40" t="n"/>
      <c r="AA58" s="40" t="n"/>
      <c r="AB58" s="46" t="n"/>
      <c r="AC58" s="39" t="n"/>
      <c r="AD58" s="39" t="n"/>
      <c r="AE58" s="39" t="n"/>
      <c r="AF58" s="39" t="n"/>
      <c r="AG58" s="39" t="n"/>
      <c r="AH58" s="40" t="n"/>
      <c r="AI58" s="42" t="n"/>
      <c r="AJ58" s="50" t="n"/>
      <c r="AK58" s="46" t="n"/>
      <c r="AL58" s="43" t="n"/>
      <c r="AM58" s="43" t="n"/>
      <c r="AN58" s="40" t="n"/>
      <c r="AO58" s="40" t="n"/>
      <c r="AP58" s="40" t="n"/>
      <c r="AQ58" s="40" t="n"/>
      <c r="AR58" s="40" t="n"/>
      <c r="AS58" s="47" t="n"/>
      <c r="AT58" s="40" t="n"/>
      <c r="AU58" s="40" t="n"/>
      <c r="AV58" s="40" t="n"/>
      <c r="AW58" s="40" t="n"/>
      <c r="AX58" s="47" t="n"/>
      <c r="AY58" s="39" t="n"/>
      <c r="AZ58" s="39" t="n"/>
      <c r="BA58" s="39" t="n"/>
      <c r="BB58" s="39" t="n"/>
      <c r="BC58" s="39" t="n"/>
      <c r="BD58" s="40" t="n"/>
      <c r="BE58" s="39" t="n"/>
      <c r="BF58" s="39" t="n"/>
      <c r="BG58" s="39" t="n"/>
      <c r="BH58" s="39" t="n"/>
      <c r="BI58" s="39" t="n"/>
      <c r="BJ58" s="39" t="n"/>
      <c r="BK58" s="39" t="n"/>
      <c r="BL58" s="39" t="n"/>
      <c r="BM58" s="39" t="n"/>
      <c r="BN58" s="39" t="n"/>
      <c r="BO58" s="39" t="n"/>
      <c r="BP58" s="40" t="n"/>
      <c r="BQ58" s="40" t="n"/>
      <c r="BR58" s="40" t="n"/>
      <c r="BS58" s="40" t="n"/>
      <c r="BT58" s="40" t="n"/>
      <c r="BU58" s="40" t="n"/>
      <c r="BV58" s="40" t="n"/>
      <c r="BW58" s="40" t="n"/>
      <c r="BX58" s="43" t="n"/>
      <c r="BY58" s="39" t="n"/>
      <c r="BZ58" s="39" t="n"/>
      <c r="CA58" s="39" t="n"/>
      <c r="CB58" s="39" t="n"/>
      <c r="CC58" s="39" t="n"/>
      <c r="CD58" s="39" t="n"/>
      <c r="CE58" s="39" t="n"/>
      <c r="CF58" s="39" t="n"/>
      <c r="CG58" s="47" t="n"/>
      <c r="CH58" s="47" t="n"/>
      <c r="CI58" s="47" t="n"/>
      <c r="CJ58" s="47" t="n"/>
    </row>
    <row r="59" ht="23" customHeight="1">
      <c r="A59" s="39" t="n"/>
      <c r="B59" s="39" t="n"/>
      <c r="C59" s="39" t="n"/>
      <c r="D59" s="40" t="n"/>
      <c r="E59" s="40" t="n"/>
      <c r="F59" s="39" t="n"/>
      <c r="G59" s="40" t="n"/>
      <c r="H59" s="39" t="n"/>
      <c r="I59" s="40" t="n"/>
      <c r="J59" s="40" t="n"/>
      <c r="K59" s="39" t="n"/>
      <c r="L59" s="39" t="n"/>
      <c r="M59" s="39" t="n"/>
      <c r="N59" s="39" t="n"/>
      <c r="O59" s="40" t="n"/>
      <c r="P59" s="46" t="n"/>
      <c r="Q59" s="48" t="n"/>
      <c r="R59" s="40" t="n"/>
      <c r="S59" s="40" t="n"/>
      <c r="T59" s="39" t="n"/>
      <c r="U59" s="47" t="n"/>
      <c r="V59" s="39" t="n"/>
      <c r="W59" s="39" t="n"/>
      <c r="X59" s="39" t="n"/>
      <c r="Y59" s="39" t="n"/>
      <c r="Z59" s="40" t="n"/>
      <c r="AA59" s="40" t="n"/>
      <c r="AB59" s="46" t="n"/>
      <c r="AC59" s="39" t="n"/>
      <c r="AD59" s="39" t="n"/>
      <c r="AE59" s="39" t="n"/>
      <c r="AF59" s="39" t="n"/>
      <c r="AG59" s="39" t="n"/>
      <c r="AH59" s="40" t="n"/>
      <c r="AI59" s="42" t="n"/>
      <c r="AJ59" s="50" t="n"/>
      <c r="AK59" s="46" t="n"/>
      <c r="AL59" s="43" t="n"/>
      <c r="AM59" s="43" t="n"/>
      <c r="AN59" s="40" t="n"/>
      <c r="AO59" s="40" t="n"/>
      <c r="AP59" s="40" t="n"/>
      <c r="AQ59" s="40" t="n"/>
      <c r="AR59" s="40" t="n"/>
      <c r="AS59" s="47" t="n"/>
      <c r="AT59" s="40" t="n"/>
      <c r="AU59" s="40" t="n"/>
      <c r="AV59" s="40" t="n"/>
      <c r="AW59" s="40" t="n"/>
      <c r="AX59" s="47" t="n"/>
      <c r="AY59" s="39" t="n"/>
      <c r="AZ59" s="39" t="n"/>
      <c r="BA59" s="39" t="n"/>
      <c r="BB59" s="39" t="n"/>
      <c r="BC59" s="39" t="n"/>
      <c r="BD59" s="40" t="n"/>
      <c r="BE59" s="39" t="n"/>
      <c r="BF59" s="39" t="n"/>
      <c r="BG59" s="39" t="n"/>
      <c r="BH59" s="39" t="n"/>
      <c r="BI59" s="39" t="n"/>
      <c r="BJ59" s="39" t="n"/>
      <c r="BK59" s="39" t="n"/>
      <c r="BL59" s="39" t="n"/>
      <c r="BM59" s="39" t="n"/>
      <c r="BN59" s="39" t="n"/>
      <c r="BO59" s="39" t="n"/>
      <c r="BP59" s="40" t="n"/>
      <c r="BQ59" s="40" t="n"/>
      <c r="BR59" s="40" t="n"/>
      <c r="BS59" s="40" t="n"/>
      <c r="BT59" s="40" t="n"/>
      <c r="BU59" s="40" t="n"/>
      <c r="BV59" s="40" t="n"/>
      <c r="BW59" s="40" t="n"/>
      <c r="BX59" s="43" t="n"/>
      <c r="BY59" s="39" t="n"/>
      <c r="BZ59" s="39" t="n"/>
      <c r="CA59" s="39" t="n"/>
      <c r="CB59" s="39" t="n"/>
      <c r="CC59" s="39" t="n"/>
      <c r="CD59" s="39" t="n"/>
      <c r="CE59" s="39" t="n"/>
      <c r="CF59" s="39" t="n"/>
      <c r="CG59" s="47" t="n"/>
      <c r="CH59" s="47" t="n"/>
      <c r="CI59" s="47" t="n"/>
      <c r="CJ59" s="47" t="n"/>
    </row>
    <row r="60" ht="23" customHeight="1">
      <c r="A60" s="39" t="n"/>
      <c r="B60" s="39" t="n"/>
      <c r="C60" s="39" t="n"/>
      <c r="D60" s="40" t="n"/>
      <c r="E60" s="40" t="n"/>
      <c r="F60" s="39" t="n"/>
      <c r="G60" s="40" t="n"/>
      <c r="H60" s="39" t="n"/>
      <c r="I60" s="40" t="n"/>
      <c r="J60" s="40" t="n"/>
      <c r="K60" s="39" t="n"/>
      <c r="L60" s="39" t="n"/>
      <c r="M60" s="39" t="n"/>
      <c r="N60" s="39" t="n"/>
      <c r="O60" s="40" t="n"/>
      <c r="P60" s="46" t="n"/>
      <c r="Q60" s="48" t="n"/>
      <c r="R60" s="40" t="n"/>
      <c r="S60" s="40" t="n"/>
      <c r="T60" s="39" t="n"/>
      <c r="U60" s="47" t="n"/>
      <c r="V60" s="39" t="n"/>
      <c r="W60" s="39" t="n"/>
      <c r="X60" s="39" t="n"/>
      <c r="Y60" s="39" t="n"/>
      <c r="Z60" s="40" t="n"/>
      <c r="AA60" s="40" t="n"/>
      <c r="AB60" s="46" t="n"/>
      <c r="AC60" s="39" t="n"/>
      <c r="AD60" s="39" t="n"/>
      <c r="AE60" s="39" t="n"/>
      <c r="AF60" s="39" t="n"/>
      <c r="AG60" s="39" t="n"/>
      <c r="AH60" s="40" t="n"/>
      <c r="AI60" s="42" t="n"/>
      <c r="AJ60" s="50" t="n"/>
      <c r="AK60" s="46" t="n"/>
      <c r="AL60" s="43" t="n"/>
      <c r="AM60" s="43" t="n"/>
      <c r="AN60" s="40" t="n"/>
      <c r="AO60" s="40" t="n"/>
      <c r="AP60" s="40" t="n"/>
      <c r="AQ60" s="40" t="n"/>
      <c r="AR60" s="40" t="n"/>
      <c r="AS60" s="47" t="n"/>
      <c r="AT60" s="40" t="n"/>
      <c r="AU60" s="40" t="n"/>
      <c r="AV60" s="40" t="n"/>
      <c r="AW60" s="40" t="n"/>
      <c r="AX60" s="47" t="n"/>
      <c r="AY60" s="39" t="n"/>
      <c r="AZ60" s="39" t="n"/>
      <c r="BA60" s="39" t="n"/>
      <c r="BB60" s="39" t="n"/>
      <c r="BC60" s="39" t="n"/>
      <c r="BD60" s="40" t="n"/>
      <c r="BE60" s="39" t="n"/>
      <c r="BF60" s="39" t="n"/>
      <c r="BG60" s="39" t="n"/>
      <c r="BH60" s="39" t="n"/>
      <c r="BI60" s="39" t="n"/>
      <c r="BJ60" s="39" t="n"/>
      <c r="BK60" s="39" t="n"/>
      <c r="BL60" s="39" t="n"/>
      <c r="BM60" s="39" t="n"/>
      <c r="BN60" s="39" t="n"/>
      <c r="BO60" s="39" t="n"/>
      <c r="BP60" s="40" t="n"/>
      <c r="BQ60" s="40" t="n"/>
      <c r="BR60" s="40" t="n"/>
      <c r="BS60" s="40" t="n"/>
      <c r="BT60" s="40" t="n"/>
      <c r="BU60" s="40" t="n"/>
      <c r="BV60" s="40" t="n"/>
      <c r="BW60" s="40" t="n"/>
      <c r="BX60" s="43" t="n"/>
      <c r="BY60" s="39" t="n"/>
      <c r="BZ60" s="39" t="n"/>
      <c r="CA60" s="39" t="n"/>
      <c r="CB60" s="39" t="n"/>
      <c r="CC60" s="39" t="n"/>
      <c r="CD60" s="39" t="n"/>
      <c r="CE60" s="39" t="n"/>
      <c r="CF60" s="39" t="n"/>
      <c r="CG60" s="47" t="n"/>
      <c r="CH60" s="47" t="n"/>
      <c r="CI60" s="47" t="n"/>
      <c r="CJ60" s="47" t="n"/>
    </row>
    <row r="61" ht="23" customHeight="1">
      <c r="A61" s="39" t="n"/>
      <c r="B61" s="39" t="n"/>
      <c r="C61" s="39" t="n"/>
      <c r="D61" s="40" t="n"/>
      <c r="E61" s="40" t="n"/>
      <c r="F61" s="39" t="n"/>
      <c r="G61" s="40" t="n"/>
      <c r="H61" s="39" t="n"/>
      <c r="I61" s="40" t="n"/>
      <c r="J61" s="40" t="n"/>
      <c r="K61" s="39" t="n"/>
      <c r="L61" s="39" t="n"/>
      <c r="M61" s="39" t="n"/>
      <c r="N61" s="39" t="n"/>
      <c r="O61" s="40" t="n"/>
      <c r="P61" s="46" t="n"/>
      <c r="Q61" s="48" t="n"/>
      <c r="R61" s="40" t="n"/>
      <c r="S61" s="40" t="n"/>
      <c r="T61" s="39" t="n"/>
      <c r="U61" s="47" t="n"/>
      <c r="V61" s="39" t="n"/>
      <c r="W61" s="39" t="n"/>
      <c r="X61" s="39" t="n"/>
      <c r="Y61" s="39" t="n"/>
      <c r="Z61" s="40" t="n"/>
      <c r="AA61" s="40" t="n"/>
      <c r="AB61" s="46" t="n"/>
      <c r="AC61" s="39" t="n"/>
      <c r="AD61" s="39" t="n"/>
      <c r="AE61" s="39" t="n"/>
      <c r="AF61" s="39" t="n"/>
      <c r="AG61" s="39" t="n"/>
      <c r="AH61" s="40" t="n"/>
      <c r="AI61" s="42" t="n"/>
      <c r="AJ61" s="50" t="n"/>
      <c r="AK61" s="46" t="n"/>
      <c r="AL61" s="43" t="n"/>
      <c r="AM61" s="43" t="n"/>
      <c r="AN61" s="40" t="n"/>
      <c r="AO61" s="40" t="n"/>
      <c r="AP61" s="40" t="n"/>
      <c r="AQ61" s="40" t="n"/>
      <c r="AR61" s="40" t="n"/>
      <c r="AS61" s="47" t="n"/>
      <c r="AT61" s="40" t="n"/>
      <c r="AU61" s="40" t="n"/>
      <c r="AV61" s="40" t="n"/>
      <c r="AW61" s="40" t="n"/>
      <c r="AX61" s="47" t="n"/>
      <c r="AY61" s="39" t="n"/>
      <c r="AZ61" s="39" t="n"/>
      <c r="BA61" s="39" t="n"/>
      <c r="BB61" s="39" t="n"/>
      <c r="BC61" s="39" t="n"/>
      <c r="BD61" s="40" t="n"/>
      <c r="BE61" s="39" t="n"/>
      <c r="BF61" s="39" t="n"/>
      <c r="BG61" s="39" t="n"/>
      <c r="BH61" s="39" t="n"/>
      <c r="BI61" s="39" t="n"/>
      <c r="BJ61" s="39" t="n"/>
      <c r="BK61" s="39" t="n"/>
      <c r="BL61" s="39" t="n"/>
      <c r="BM61" s="39" t="n"/>
      <c r="BN61" s="39" t="n"/>
      <c r="BO61" s="39" t="n"/>
      <c r="BP61" s="40" t="n"/>
      <c r="BQ61" s="40" t="n"/>
      <c r="BR61" s="40" t="n"/>
      <c r="BS61" s="40" t="n"/>
      <c r="BT61" s="40" t="n"/>
      <c r="BU61" s="40" t="n"/>
      <c r="BV61" s="40" t="n"/>
      <c r="BW61" s="40" t="n"/>
      <c r="BX61" s="43" t="n"/>
      <c r="BY61" s="39" t="n"/>
      <c r="BZ61" s="39" t="n"/>
      <c r="CA61" s="39" t="n"/>
      <c r="CB61" s="39" t="n"/>
      <c r="CC61" s="39" t="n"/>
      <c r="CD61" s="39" t="n"/>
      <c r="CE61" s="39" t="n"/>
      <c r="CF61" s="39" t="n"/>
      <c r="CG61" s="47" t="n"/>
      <c r="CH61" s="47" t="n"/>
      <c r="CI61" s="47" t="n"/>
      <c r="CJ61" s="47" t="n"/>
    </row>
    <row r="62" ht="23" customHeight="1">
      <c r="A62" s="39" t="n"/>
      <c r="B62" s="39" t="n"/>
      <c r="C62" s="39" t="n"/>
      <c r="D62" s="40" t="n"/>
      <c r="E62" s="40" t="n"/>
      <c r="F62" s="39" t="n"/>
      <c r="G62" s="40" t="n"/>
      <c r="H62" s="39" t="n"/>
      <c r="I62" s="40" t="n"/>
      <c r="J62" s="40" t="n"/>
      <c r="K62" s="39" t="n"/>
      <c r="L62" s="39" t="n"/>
      <c r="M62" s="39" t="n"/>
      <c r="N62" s="39" t="n"/>
      <c r="O62" s="40" t="n"/>
      <c r="P62" s="46" t="n"/>
      <c r="Q62" s="48" t="n"/>
      <c r="R62" s="40" t="n"/>
      <c r="S62" s="40" t="n"/>
      <c r="T62" s="39" t="n"/>
      <c r="U62" s="47" t="n"/>
      <c r="V62" s="39" t="n"/>
      <c r="W62" s="39" t="n"/>
      <c r="X62" s="39" t="n"/>
      <c r="Y62" s="39" t="n"/>
      <c r="Z62" s="40" t="n"/>
      <c r="AA62" s="40" t="n"/>
      <c r="AB62" s="46" t="n"/>
      <c r="AC62" s="39" t="n"/>
      <c r="AD62" s="39" t="n"/>
      <c r="AE62" s="39" t="n"/>
      <c r="AF62" s="39" t="n"/>
      <c r="AG62" s="39" t="n"/>
      <c r="AH62" s="40" t="n"/>
      <c r="AI62" s="42" t="n"/>
      <c r="AJ62" s="50" t="n"/>
      <c r="AK62" s="46" t="n"/>
      <c r="AL62" s="43" t="n"/>
      <c r="AM62" s="43" t="n"/>
      <c r="AN62" s="40" t="n"/>
      <c r="AO62" s="40" t="n"/>
      <c r="AP62" s="40" t="n"/>
      <c r="AQ62" s="40" t="n"/>
      <c r="AR62" s="40" t="n"/>
      <c r="AS62" s="47" t="n"/>
      <c r="AT62" s="40" t="n"/>
      <c r="AU62" s="40" t="n"/>
      <c r="AV62" s="40" t="n"/>
      <c r="AW62" s="40" t="n"/>
      <c r="AX62" s="47" t="n"/>
      <c r="AY62" s="39" t="n"/>
      <c r="AZ62" s="39" t="n"/>
      <c r="BA62" s="39" t="n"/>
      <c r="BB62" s="39" t="n"/>
      <c r="BC62" s="39" t="n"/>
      <c r="BD62" s="40" t="n"/>
      <c r="BE62" s="39" t="n"/>
      <c r="BF62" s="39" t="n"/>
      <c r="BG62" s="39" t="n"/>
      <c r="BH62" s="39" t="n"/>
      <c r="BI62" s="39" t="n"/>
      <c r="BJ62" s="39" t="n"/>
      <c r="BK62" s="39" t="n"/>
      <c r="BL62" s="39" t="n"/>
      <c r="BM62" s="39" t="n"/>
      <c r="BN62" s="39" t="n"/>
      <c r="BO62" s="39" t="n"/>
      <c r="BP62" s="40" t="n"/>
      <c r="BQ62" s="40" t="n"/>
      <c r="BR62" s="40" t="n"/>
      <c r="BS62" s="40" t="n"/>
      <c r="BT62" s="40" t="n"/>
      <c r="BU62" s="40" t="n"/>
      <c r="BV62" s="40" t="n"/>
      <c r="BW62" s="40" t="n"/>
      <c r="BX62" s="43" t="n"/>
      <c r="BY62" s="39" t="n"/>
      <c r="BZ62" s="39" t="n"/>
      <c r="CA62" s="39" t="n"/>
      <c r="CB62" s="39" t="n"/>
      <c r="CC62" s="39" t="n"/>
      <c r="CD62" s="39" t="n"/>
      <c r="CE62" s="39" t="n"/>
      <c r="CF62" s="39" t="n"/>
      <c r="CG62" s="47" t="n"/>
      <c r="CH62" s="47" t="n"/>
      <c r="CI62" s="47" t="n"/>
      <c r="CJ62" s="47" t="n"/>
    </row>
    <row r="63" ht="23" customHeight="1">
      <c r="A63" s="39" t="n"/>
      <c r="B63" s="39" t="n"/>
      <c r="C63" s="39" t="n"/>
      <c r="D63" s="40" t="n"/>
      <c r="E63" s="40" t="n"/>
      <c r="F63" s="39" t="n"/>
      <c r="G63" s="40" t="n"/>
      <c r="H63" s="39" t="n"/>
      <c r="I63" s="40" t="n"/>
      <c r="J63" s="40" t="n"/>
      <c r="K63" s="39" t="n"/>
      <c r="L63" s="39" t="n"/>
      <c r="M63" s="39" t="n"/>
      <c r="N63" s="39" t="n"/>
      <c r="O63" s="40" t="n"/>
      <c r="P63" s="46" t="n"/>
      <c r="Q63" s="48" t="n"/>
      <c r="R63" s="40" t="n"/>
      <c r="S63" s="40" t="n"/>
      <c r="T63" s="39" t="n"/>
      <c r="U63" s="47" t="n"/>
      <c r="V63" s="39" t="n"/>
      <c r="W63" s="39" t="n"/>
      <c r="X63" s="39" t="n"/>
      <c r="Y63" s="39" t="n"/>
      <c r="Z63" s="40" t="n"/>
      <c r="AA63" s="40" t="n"/>
      <c r="AB63" s="46" t="n"/>
      <c r="AC63" s="39" t="n"/>
      <c r="AD63" s="39" t="n"/>
      <c r="AE63" s="39" t="n"/>
      <c r="AF63" s="39" t="n"/>
      <c r="AG63" s="39" t="n"/>
      <c r="AH63" s="40" t="n"/>
      <c r="AI63" s="42" t="n"/>
      <c r="AJ63" s="50" t="n"/>
      <c r="AK63" s="46" t="n"/>
      <c r="AL63" s="43" t="n"/>
      <c r="AM63" s="43" t="n"/>
      <c r="AN63" s="40" t="n"/>
      <c r="AO63" s="40" t="n"/>
      <c r="AP63" s="40" t="n"/>
      <c r="AQ63" s="40" t="n"/>
      <c r="AR63" s="40" t="n"/>
      <c r="AS63" s="47" t="n"/>
      <c r="AT63" s="40" t="n"/>
      <c r="AU63" s="40" t="n"/>
      <c r="AV63" s="40" t="n"/>
      <c r="AW63" s="40" t="n"/>
      <c r="AX63" s="47" t="n"/>
      <c r="AY63" s="39" t="n"/>
      <c r="AZ63" s="39" t="n"/>
      <c r="BA63" s="39" t="n"/>
      <c r="BB63" s="39" t="n"/>
      <c r="BC63" s="39" t="n"/>
      <c r="BD63" s="40" t="n"/>
      <c r="BE63" s="39" t="n"/>
      <c r="BF63" s="39" t="n"/>
      <c r="BG63" s="39" t="n"/>
      <c r="BH63" s="39" t="n"/>
      <c r="BI63" s="39" t="n"/>
      <c r="BJ63" s="39" t="n"/>
      <c r="BK63" s="39" t="n"/>
      <c r="BL63" s="39" t="n"/>
      <c r="BM63" s="39" t="n"/>
      <c r="BN63" s="39" t="n"/>
      <c r="BO63" s="39" t="n"/>
      <c r="BP63" s="40" t="n"/>
      <c r="BQ63" s="40" t="n"/>
      <c r="BR63" s="40" t="n"/>
      <c r="BS63" s="40" t="n"/>
      <c r="BT63" s="40" t="n"/>
      <c r="BU63" s="40" t="n"/>
      <c r="BV63" s="40" t="n"/>
      <c r="BW63" s="40" t="n"/>
      <c r="BX63" s="43" t="n"/>
      <c r="BY63" s="39" t="n"/>
      <c r="BZ63" s="39" t="n"/>
      <c r="CA63" s="39" t="n"/>
      <c r="CB63" s="39" t="n"/>
      <c r="CC63" s="39" t="n"/>
      <c r="CD63" s="39" t="n"/>
      <c r="CE63" s="39" t="n"/>
      <c r="CF63" s="39" t="n"/>
      <c r="CG63" s="47" t="n"/>
      <c r="CH63" s="47" t="n"/>
      <c r="CI63" s="47" t="n"/>
      <c r="CJ63" s="47" t="n"/>
    </row>
    <row r="64" ht="23" customHeight="1">
      <c r="A64" s="39" t="n"/>
      <c r="B64" s="39" t="n"/>
      <c r="C64" s="39" t="n"/>
      <c r="D64" s="40" t="n"/>
      <c r="E64" s="40" t="n"/>
      <c r="F64" s="39" t="n"/>
      <c r="G64" s="40" t="n"/>
      <c r="H64" s="39" t="n"/>
      <c r="I64" s="40" t="n"/>
      <c r="J64" s="40" t="n"/>
      <c r="K64" s="39" t="n"/>
      <c r="L64" s="39" t="n"/>
      <c r="M64" s="39" t="n"/>
      <c r="N64" s="39" t="n"/>
      <c r="O64" s="40" t="n"/>
      <c r="P64" s="46" t="n"/>
      <c r="Q64" s="48" t="n"/>
      <c r="R64" s="40" t="n"/>
      <c r="S64" s="40" t="n"/>
      <c r="T64" s="39" t="n"/>
      <c r="U64" s="47" t="n"/>
      <c r="V64" s="39" t="n"/>
      <c r="W64" s="39" t="n"/>
      <c r="X64" s="39" t="n"/>
      <c r="Y64" s="39" t="n"/>
      <c r="Z64" s="40" t="n"/>
      <c r="AA64" s="40" t="n"/>
      <c r="AB64" s="46" t="n"/>
      <c r="AC64" s="39" t="n"/>
      <c r="AD64" s="39" t="n"/>
      <c r="AE64" s="39" t="n"/>
      <c r="AF64" s="39" t="n"/>
      <c r="AG64" s="39" t="n"/>
      <c r="AH64" s="40" t="n"/>
      <c r="AI64" s="42" t="n"/>
      <c r="AJ64" s="50" t="n"/>
      <c r="AK64" s="46" t="n"/>
      <c r="AL64" s="43" t="n"/>
      <c r="AM64" s="43" t="n"/>
      <c r="AN64" s="40" t="n"/>
      <c r="AO64" s="40" t="n"/>
      <c r="AP64" s="40" t="n"/>
      <c r="AQ64" s="40" t="n"/>
      <c r="AR64" s="40" t="n"/>
      <c r="AS64" s="47" t="n"/>
      <c r="AT64" s="40" t="n"/>
      <c r="AU64" s="40" t="n"/>
      <c r="AV64" s="40" t="n"/>
      <c r="AW64" s="40" t="n"/>
      <c r="AX64" s="47" t="n"/>
      <c r="AY64" s="39" t="n"/>
      <c r="AZ64" s="39" t="n"/>
      <c r="BA64" s="39" t="n"/>
      <c r="BB64" s="39" t="n"/>
      <c r="BC64" s="39" t="n"/>
      <c r="BD64" s="40" t="n"/>
      <c r="BE64" s="39" t="n"/>
      <c r="BF64" s="39" t="n"/>
      <c r="BG64" s="39" t="n"/>
      <c r="BH64" s="39" t="n"/>
      <c r="BI64" s="39" t="n"/>
      <c r="BJ64" s="39" t="n"/>
      <c r="BK64" s="39" t="n"/>
      <c r="BL64" s="39" t="n"/>
      <c r="BM64" s="39" t="n"/>
      <c r="BN64" s="39" t="n"/>
      <c r="BO64" s="39" t="n"/>
      <c r="BP64" s="40" t="n"/>
      <c r="BQ64" s="40" t="n"/>
      <c r="BR64" s="40" t="n"/>
      <c r="BS64" s="40" t="n"/>
      <c r="BT64" s="40" t="n"/>
      <c r="BU64" s="40" t="n"/>
      <c r="BV64" s="40" t="n"/>
      <c r="BW64" s="40" t="n"/>
      <c r="BX64" s="43" t="n"/>
      <c r="BY64" s="39" t="n"/>
      <c r="BZ64" s="39" t="n"/>
      <c r="CA64" s="39" t="n"/>
      <c r="CB64" s="39" t="n"/>
      <c r="CC64" s="39" t="n"/>
      <c r="CD64" s="39" t="n"/>
      <c r="CE64" s="39" t="n"/>
      <c r="CF64" s="39" t="n"/>
      <c r="CG64" s="47" t="n"/>
      <c r="CH64" s="47" t="n"/>
      <c r="CI64" s="47" t="n"/>
      <c r="CJ64" s="47" t="n"/>
    </row>
    <row r="65" ht="23" customHeight="1">
      <c r="A65" s="39" t="n"/>
      <c r="B65" s="39" t="n"/>
      <c r="C65" s="39" t="n"/>
      <c r="D65" s="40" t="n"/>
      <c r="E65" s="40" t="n"/>
      <c r="F65" s="39" t="n"/>
      <c r="G65" s="40" t="n"/>
      <c r="H65" s="39" t="n"/>
      <c r="I65" s="40" t="n"/>
      <c r="J65" s="40" t="n"/>
      <c r="K65" s="39" t="n"/>
      <c r="L65" s="39" t="n"/>
      <c r="M65" s="39" t="n"/>
      <c r="N65" s="39" t="n"/>
      <c r="O65" s="40" t="n"/>
      <c r="P65" s="46" t="n"/>
      <c r="Q65" s="48" t="n"/>
      <c r="R65" s="40" t="n"/>
      <c r="S65" s="40" t="n"/>
      <c r="T65" s="39" t="n"/>
      <c r="U65" s="47" t="n"/>
      <c r="V65" s="39" t="n"/>
      <c r="W65" s="39" t="n"/>
      <c r="X65" s="39" t="n"/>
      <c r="Y65" s="39" t="n"/>
      <c r="Z65" s="40" t="n"/>
      <c r="AA65" s="40" t="n"/>
      <c r="AB65" s="46" t="n"/>
      <c r="AC65" s="39" t="n"/>
      <c r="AD65" s="39" t="n"/>
      <c r="AE65" s="39" t="n"/>
      <c r="AF65" s="39" t="n"/>
      <c r="AG65" s="39" t="n"/>
      <c r="AH65" s="40" t="n"/>
      <c r="AI65" s="42" t="n"/>
      <c r="AJ65" s="50" t="n"/>
      <c r="AK65" s="46" t="n"/>
      <c r="AL65" s="43" t="n"/>
      <c r="AM65" s="43" t="n"/>
      <c r="AN65" s="40" t="n"/>
      <c r="AO65" s="40" t="n"/>
      <c r="AP65" s="40" t="n"/>
      <c r="AQ65" s="40" t="n"/>
      <c r="AR65" s="40" t="n"/>
      <c r="AS65" s="47" t="n"/>
      <c r="AT65" s="40" t="n"/>
      <c r="AU65" s="40" t="n"/>
      <c r="AV65" s="40" t="n"/>
      <c r="AW65" s="40" t="n"/>
      <c r="AX65" s="47" t="n"/>
      <c r="AY65" s="39" t="n"/>
      <c r="AZ65" s="39" t="n"/>
      <c r="BA65" s="39" t="n"/>
      <c r="BB65" s="39" t="n"/>
      <c r="BC65" s="39" t="n"/>
      <c r="BD65" s="40" t="n"/>
      <c r="BE65" s="39" t="n"/>
      <c r="BF65" s="39" t="n"/>
      <c r="BG65" s="39" t="n"/>
      <c r="BH65" s="39" t="n"/>
      <c r="BI65" s="39" t="n"/>
      <c r="BJ65" s="39" t="n"/>
      <c r="BK65" s="39" t="n"/>
      <c r="BL65" s="39" t="n"/>
      <c r="BM65" s="39" t="n"/>
      <c r="BN65" s="39" t="n"/>
      <c r="BO65" s="39" t="n"/>
      <c r="BP65" s="40" t="n"/>
      <c r="BQ65" s="40" t="n"/>
      <c r="BR65" s="40" t="n"/>
      <c r="BS65" s="40" t="n"/>
      <c r="BT65" s="40" t="n"/>
      <c r="BU65" s="40" t="n"/>
      <c r="BV65" s="40" t="n"/>
      <c r="BW65" s="40" t="n"/>
      <c r="BX65" s="43" t="n"/>
      <c r="BY65" s="39" t="n"/>
      <c r="BZ65" s="39" t="n"/>
      <c r="CA65" s="39" t="n"/>
      <c r="CB65" s="39" t="n"/>
      <c r="CC65" s="39" t="n"/>
      <c r="CD65" s="39" t="n"/>
      <c r="CE65" s="39" t="n"/>
      <c r="CF65" s="39" t="n"/>
      <c r="CG65" s="47" t="n"/>
      <c r="CH65" s="47" t="n"/>
      <c r="CI65" s="47" t="n"/>
      <c r="CJ65" s="47" t="n"/>
    </row>
    <row r="66" ht="23" customHeight="1">
      <c r="A66" s="39" t="n"/>
      <c r="B66" s="39" t="n"/>
      <c r="C66" s="39" t="n"/>
      <c r="D66" s="40" t="n"/>
      <c r="E66" s="40" t="n"/>
      <c r="F66" s="39" t="n"/>
      <c r="G66" s="40" t="n"/>
      <c r="H66" s="39" t="n"/>
      <c r="I66" s="40" t="n"/>
      <c r="J66" s="40" t="n"/>
      <c r="K66" s="39" t="n"/>
      <c r="L66" s="39" t="n"/>
      <c r="M66" s="39" t="n"/>
      <c r="N66" s="39" t="n"/>
      <c r="O66" s="40" t="n"/>
      <c r="P66" s="46" t="n"/>
      <c r="Q66" s="48" t="n"/>
      <c r="R66" s="40" t="n"/>
      <c r="S66" s="40" t="n"/>
      <c r="T66" s="39" t="n"/>
      <c r="U66" s="47" t="n"/>
      <c r="V66" s="39" t="n"/>
      <c r="W66" s="39" t="n"/>
      <c r="X66" s="39" t="n"/>
      <c r="Y66" s="39" t="n"/>
      <c r="Z66" s="40" t="n"/>
      <c r="AA66" s="40" t="n"/>
      <c r="AB66" s="46" t="n"/>
      <c r="AC66" s="39" t="n"/>
      <c r="AD66" s="39" t="n"/>
      <c r="AE66" s="39" t="n"/>
      <c r="AF66" s="39" t="n"/>
      <c r="AG66" s="39" t="n"/>
      <c r="AH66" s="40" t="n"/>
      <c r="AI66" s="42" t="n"/>
      <c r="AJ66" s="50" t="n"/>
      <c r="AK66" s="46" t="n"/>
      <c r="AL66" s="43" t="n"/>
      <c r="AM66" s="43" t="n"/>
      <c r="AN66" s="40" t="n"/>
      <c r="AO66" s="40" t="n"/>
      <c r="AP66" s="40" t="n"/>
      <c r="AQ66" s="40" t="n"/>
      <c r="AR66" s="40" t="n"/>
      <c r="AS66" s="47" t="n"/>
      <c r="AT66" s="40" t="n"/>
      <c r="AU66" s="40" t="n"/>
      <c r="AV66" s="40" t="n"/>
      <c r="AW66" s="40" t="n"/>
      <c r="AX66" s="47" t="n"/>
      <c r="AY66" s="39" t="n"/>
      <c r="AZ66" s="39" t="n"/>
      <c r="BA66" s="39" t="n"/>
      <c r="BB66" s="39" t="n"/>
      <c r="BC66" s="39" t="n"/>
      <c r="BD66" s="40" t="n"/>
      <c r="BE66" s="39" t="n"/>
      <c r="BF66" s="39" t="n"/>
      <c r="BG66" s="39" t="n"/>
      <c r="BH66" s="39" t="n"/>
      <c r="BI66" s="39" t="n"/>
      <c r="BJ66" s="39" t="n"/>
      <c r="BK66" s="39" t="n"/>
      <c r="BL66" s="39" t="n"/>
      <c r="BM66" s="39" t="n"/>
      <c r="BN66" s="39" t="n"/>
      <c r="BO66" s="39" t="n"/>
      <c r="BP66" s="40" t="n"/>
      <c r="BQ66" s="40" t="n"/>
      <c r="BR66" s="40" t="n"/>
      <c r="BS66" s="40" t="n"/>
      <c r="BT66" s="40" t="n"/>
      <c r="BU66" s="40" t="n"/>
      <c r="BV66" s="40" t="n"/>
      <c r="BW66" s="40" t="n"/>
      <c r="BX66" s="43" t="n"/>
      <c r="BY66" s="39" t="n"/>
      <c r="BZ66" s="39" t="n"/>
      <c r="CA66" s="39" t="n"/>
      <c r="CB66" s="39" t="n"/>
      <c r="CC66" s="39" t="n"/>
      <c r="CD66" s="39" t="n"/>
      <c r="CE66" s="39" t="n"/>
      <c r="CF66" s="39" t="n"/>
      <c r="CG66" s="47" t="n"/>
      <c r="CH66" s="47" t="n"/>
      <c r="CI66" s="47" t="n"/>
      <c r="CJ66" s="47" t="n"/>
    </row>
    <row r="67" ht="23" customHeight="1">
      <c r="A67" s="39" t="n"/>
      <c r="B67" s="39" t="n"/>
      <c r="C67" s="39" t="n"/>
      <c r="D67" s="40" t="n"/>
      <c r="E67" s="40" t="n"/>
      <c r="F67" s="39" t="n"/>
      <c r="G67" s="40" t="n"/>
      <c r="H67" s="39" t="n"/>
      <c r="I67" s="40" t="n"/>
      <c r="J67" s="40" t="n"/>
      <c r="K67" s="39" t="n"/>
      <c r="L67" s="39" t="n"/>
      <c r="M67" s="39" t="n"/>
      <c r="N67" s="39" t="n"/>
      <c r="O67" s="40" t="n"/>
      <c r="P67" s="46" t="n"/>
      <c r="Q67" s="48" t="n"/>
      <c r="R67" s="40" t="n"/>
      <c r="S67" s="40" t="n"/>
      <c r="T67" s="39" t="n"/>
      <c r="U67" s="47" t="n"/>
      <c r="V67" s="39" t="n"/>
      <c r="W67" s="39" t="n"/>
      <c r="X67" s="39" t="n"/>
      <c r="Y67" s="39" t="n"/>
      <c r="Z67" s="40" t="n"/>
      <c r="AA67" s="40" t="n"/>
      <c r="AB67" s="46" t="n"/>
      <c r="AC67" s="39" t="n"/>
      <c r="AD67" s="39" t="n"/>
      <c r="AE67" s="39" t="n"/>
      <c r="AF67" s="39" t="n"/>
      <c r="AG67" s="39" t="n"/>
      <c r="AH67" s="40" t="n"/>
      <c r="AI67" s="42" t="n"/>
      <c r="AJ67" s="50" t="n"/>
      <c r="AK67" s="46" t="n"/>
      <c r="AL67" s="43" t="n"/>
      <c r="AM67" s="43" t="n"/>
      <c r="AN67" s="40" t="n"/>
      <c r="AO67" s="40" t="n"/>
      <c r="AP67" s="40" t="n"/>
      <c r="AQ67" s="40" t="n"/>
      <c r="AR67" s="40" t="n"/>
      <c r="AS67" s="47" t="n"/>
      <c r="AT67" s="40" t="n"/>
      <c r="AU67" s="40" t="n"/>
      <c r="AV67" s="40" t="n"/>
      <c r="AW67" s="40" t="n"/>
      <c r="AX67" s="47" t="n"/>
      <c r="AY67" s="39" t="n"/>
      <c r="AZ67" s="39" t="n"/>
      <c r="BA67" s="39" t="n"/>
      <c r="BB67" s="39" t="n"/>
      <c r="BC67" s="39" t="n"/>
      <c r="BD67" s="40" t="n"/>
      <c r="BE67" s="39" t="n"/>
      <c r="BF67" s="39" t="n"/>
      <c r="BG67" s="39" t="n"/>
      <c r="BH67" s="39" t="n"/>
      <c r="BI67" s="39" t="n"/>
      <c r="BJ67" s="39" t="n"/>
      <c r="BK67" s="39" t="n"/>
      <c r="BL67" s="39" t="n"/>
      <c r="BM67" s="39" t="n"/>
      <c r="BN67" s="39" t="n"/>
      <c r="BO67" s="39" t="n"/>
      <c r="BP67" s="40" t="n"/>
      <c r="BQ67" s="40" t="n"/>
      <c r="BR67" s="40" t="n"/>
      <c r="BS67" s="40" t="n"/>
      <c r="BT67" s="40" t="n"/>
      <c r="BU67" s="40" t="n"/>
      <c r="BV67" s="40" t="n"/>
      <c r="BW67" s="40" t="n"/>
      <c r="BX67" s="43" t="n"/>
      <c r="BY67" s="39" t="n"/>
      <c r="BZ67" s="39" t="n"/>
      <c r="CA67" s="39" t="n"/>
      <c r="CB67" s="39" t="n"/>
      <c r="CC67" s="39" t="n"/>
      <c r="CD67" s="39" t="n"/>
      <c r="CE67" s="39" t="n"/>
      <c r="CF67" s="39" t="n"/>
      <c r="CG67" s="47" t="n"/>
      <c r="CH67" s="47" t="n"/>
      <c r="CI67" s="47" t="n"/>
      <c r="CJ67" s="47" t="n"/>
    </row>
    <row r="68" ht="23" customHeight="1">
      <c r="A68" s="39" t="n"/>
      <c r="B68" s="39" t="n"/>
      <c r="C68" s="39" t="n"/>
      <c r="D68" s="40" t="n"/>
      <c r="E68" s="40" t="n"/>
      <c r="F68" s="39" t="n"/>
      <c r="G68" s="40" t="n"/>
      <c r="H68" s="39" t="n"/>
      <c r="I68" s="40" t="n"/>
      <c r="J68" s="40" t="n"/>
      <c r="K68" s="39" t="n"/>
      <c r="L68" s="39" t="n"/>
      <c r="M68" s="39" t="n"/>
      <c r="N68" s="39" t="n"/>
      <c r="O68" s="40" t="n"/>
      <c r="P68" s="46" t="n"/>
      <c r="Q68" s="48" t="n"/>
      <c r="R68" s="40" t="n"/>
      <c r="S68" s="40" t="n"/>
      <c r="T68" s="39" t="n"/>
      <c r="U68" s="47" t="n"/>
      <c r="V68" s="39" t="n"/>
      <c r="W68" s="39" t="n"/>
      <c r="X68" s="39" t="n"/>
      <c r="Y68" s="39" t="n"/>
      <c r="Z68" s="40" t="n"/>
      <c r="AA68" s="40" t="n"/>
      <c r="AB68" s="46" t="n"/>
      <c r="AC68" s="39" t="n"/>
      <c r="AD68" s="39" t="n"/>
      <c r="AE68" s="39" t="n"/>
      <c r="AF68" s="39" t="n"/>
      <c r="AG68" s="39" t="n"/>
      <c r="AH68" s="40" t="n"/>
      <c r="AI68" s="42" t="n"/>
      <c r="AJ68" s="50" t="n"/>
      <c r="AK68" s="46" t="n"/>
      <c r="AL68" s="43" t="n"/>
      <c r="AM68" s="43" t="n"/>
      <c r="AN68" s="40" t="n"/>
      <c r="AO68" s="40" t="n"/>
      <c r="AP68" s="40" t="n"/>
      <c r="AQ68" s="40" t="n"/>
      <c r="AR68" s="40" t="n"/>
      <c r="AS68" s="47" t="n"/>
      <c r="AT68" s="40" t="n"/>
      <c r="AU68" s="40" t="n"/>
      <c r="AV68" s="40" t="n"/>
      <c r="AW68" s="40" t="n"/>
      <c r="AX68" s="47" t="n"/>
      <c r="AY68" s="39" t="n"/>
      <c r="AZ68" s="39" t="n"/>
      <c r="BA68" s="39" t="n"/>
      <c r="BB68" s="39" t="n"/>
      <c r="BC68" s="39" t="n"/>
      <c r="BD68" s="40" t="n"/>
      <c r="BE68" s="39" t="n"/>
      <c r="BF68" s="39" t="n"/>
      <c r="BG68" s="39" t="n"/>
      <c r="BH68" s="39" t="n"/>
      <c r="BI68" s="39" t="n"/>
      <c r="BJ68" s="39" t="n"/>
      <c r="BK68" s="39" t="n"/>
      <c r="BL68" s="39" t="n"/>
      <c r="BM68" s="39" t="n"/>
      <c r="BN68" s="39" t="n"/>
      <c r="BO68" s="39" t="n"/>
      <c r="BP68" s="40" t="n"/>
      <c r="BQ68" s="40" t="n"/>
      <c r="BR68" s="40" t="n"/>
      <c r="BS68" s="40" t="n"/>
      <c r="BT68" s="40" t="n"/>
      <c r="BU68" s="40" t="n"/>
      <c r="BV68" s="40" t="n"/>
      <c r="BW68" s="40" t="n"/>
      <c r="BX68" s="43" t="n"/>
      <c r="BY68" s="39" t="n"/>
      <c r="BZ68" s="39" t="n"/>
      <c r="CA68" s="39" t="n"/>
      <c r="CB68" s="39" t="n"/>
      <c r="CC68" s="39" t="n"/>
      <c r="CD68" s="39" t="n"/>
      <c r="CE68" s="39" t="n"/>
      <c r="CF68" s="39" t="n"/>
      <c r="CG68" s="47" t="n"/>
      <c r="CH68" s="47" t="n"/>
      <c r="CI68" s="47" t="n"/>
      <c r="CJ68" s="47" t="n"/>
    </row>
    <row r="69" ht="23" customHeight="1">
      <c r="A69" s="39" t="n"/>
      <c r="B69" s="39" t="n"/>
      <c r="C69" s="39" t="n"/>
      <c r="D69" s="40" t="n"/>
      <c r="E69" s="40" t="n"/>
      <c r="F69" s="39" t="n"/>
      <c r="G69" s="40" t="n"/>
      <c r="H69" s="39" t="n"/>
      <c r="I69" s="40" t="n"/>
      <c r="J69" s="40" t="n"/>
      <c r="K69" s="39" t="n"/>
      <c r="L69" s="39" t="n"/>
      <c r="M69" s="39" t="n"/>
      <c r="N69" s="39" t="n"/>
      <c r="O69" s="40" t="n"/>
      <c r="P69" s="46" t="n"/>
      <c r="Q69" s="48" t="n"/>
      <c r="R69" s="40" t="n"/>
      <c r="S69" s="40" t="n"/>
      <c r="T69" s="39" t="n"/>
      <c r="U69" s="47" t="n"/>
      <c r="V69" s="39" t="n"/>
      <c r="W69" s="39" t="n"/>
      <c r="X69" s="39" t="n"/>
      <c r="Y69" s="39" t="n"/>
      <c r="Z69" s="40" t="n"/>
      <c r="AA69" s="40" t="n"/>
      <c r="AB69" s="46" t="n"/>
      <c r="AC69" s="39" t="n"/>
      <c r="AD69" s="39" t="n"/>
      <c r="AE69" s="39" t="n"/>
      <c r="AF69" s="39" t="n"/>
      <c r="AG69" s="39" t="n"/>
      <c r="AH69" s="40" t="n"/>
      <c r="AI69" s="42" t="n"/>
      <c r="AJ69" s="50" t="n"/>
      <c r="AK69" s="46" t="n"/>
      <c r="AL69" s="43" t="n"/>
      <c r="AM69" s="43" t="n"/>
      <c r="AN69" s="40" t="n"/>
      <c r="AO69" s="40" t="n"/>
      <c r="AP69" s="40" t="n"/>
      <c r="AQ69" s="40" t="n"/>
      <c r="AR69" s="40" t="n"/>
      <c r="AS69" s="47" t="n"/>
      <c r="AT69" s="40" t="n"/>
      <c r="AU69" s="40" t="n"/>
      <c r="AV69" s="40" t="n"/>
      <c r="AW69" s="40" t="n"/>
      <c r="AX69" s="47" t="n"/>
      <c r="AY69" s="39" t="n"/>
      <c r="AZ69" s="39" t="n"/>
      <c r="BA69" s="39" t="n"/>
      <c r="BB69" s="39" t="n"/>
      <c r="BC69" s="39" t="n"/>
      <c r="BD69" s="40" t="n"/>
      <c r="BE69" s="39" t="n"/>
      <c r="BF69" s="39" t="n"/>
      <c r="BG69" s="39" t="n"/>
      <c r="BH69" s="39" t="n"/>
      <c r="BI69" s="39" t="n"/>
      <c r="BJ69" s="39" t="n"/>
      <c r="BK69" s="39" t="n"/>
      <c r="BL69" s="39" t="n"/>
      <c r="BM69" s="39" t="n"/>
      <c r="BN69" s="39" t="n"/>
      <c r="BO69" s="39" t="n"/>
      <c r="BP69" s="40" t="n"/>
      <c r="BQ69" s="40" t="n"/>
      <c r="BR69" s="40" t="n"/>
      <c r="BS69" s="40" t="n"/>
      <c r="BT69" s="40" t="n"/>
      <c r="BU69" s="40" t="n"/>
      <c r="BV69" s="40" t="n"/>
      <c r="BW69" s="40" t="n"/>
      <c r="BX69" s="43" t="n"/>
      <c r="BY69" s="39" t="n"/>
      <c r="BZ69" s="39" t="n"/>
      <c r="CA69" s="39" t="n"/>
      <c r="CB69" s="39" t="n"/>
      <c r="CC69" s="39" t="n"/>
      <c r="CD69" s="39" t="n"/>
      <c r="CE69" s="39" t="n"/>
      <c r="CF69" s="39" t="n"/>
      <c r="CG69" s="47" t="n"/>
      <c r="CH69" s="47" t="n"/>
      <c r="CI69" s="47" t="n"/>
      <c r="CJ69" s="47" t="n"/>
    </row>
    <row r="70" ht="23" customHeight="1">
      <c r="A70" s="39" t="n"/>
      <c r="B70" s="39" t="n"/>
      <c r="C70" s="39" t="n"/>
      <c r="D70" s="40" t="n"/>
      <c r="E70" s="40" t="n"/>
      <c r="F70" s="39" t="n"/>
      <c r="G70" s="40" t="n"/>
      <c r="H70" s="39" t="n"/>
      <c r="I70" s="40" t="n"/>
      <c r="J70" s="40" t="n"/>
      <c r="K70" s="39" t="n"/>
      <c r="L70" s="39" t="n"/>
      <c r="M70" s="39" t="n"/>
      <c r="N70" s="39" t="n"/>
      <c r="O70" s="40" t="n"/>
      <c r="P70" s="46" t="n"/>
      <c r="Q70" s="48" t="n"/>
      <c r="R70" s="40" t="n"/>
      <c r="S70" s="40" t="n"/>
      <c r="T70" s="39" t="n"/>
      <c r="U70" s="47" t="n"/>
      <c r="V70" s="39" t="n"/>
      <c r="W70" s="39" t="n"/>
      <c r="X70" s="39" t="n"/>
      <c r="Y70" s="39" t="n"/>
      <c r="Z70" s="40" t="n"/>
      <c r="AA70" s="40" t="n"/>
      <c r="AB70" s="46" t="n"/>
      <c r="AC70" s="39" t="n"/>
      <c r="AD70" s="39" t="n"/>
      <c r="AE70" s="39" t="n"/>
      <c r="AF70" s="39" t="n"/>
      <c r="AG70" s="39" t="n"/>
      <c r="AH70" s="40" t="n"/>
      <c r="AI70" s="42" t="n"/>
      <c r="AJ70" s="50" t="n"/>
      <c r="AK70" s="46" t="n"/>
      <c r="AL70" s="43" t="n"/>
      <c r="AM70" s="43" t="n"/>
      <c r="AN70" s="40" t="n"/>
      <c r="AO70" s="40" t="n"/>
      <c r="AP70" s="40" t="n"/>
      <c r="AQ70" s="40" t="n"/>
      <c r="AR70" s="40" t="n"/>
      <c r="AS70" s="47" t="n"/>
      <c r="AT70" s="40" t="n"/>
      <c r="AU70" s="40" t="n"/>
      <c r="AV70" s="40" t="n"/>
      <c r="AW70" s="40" t="n"/>
      <c r="AX70" s="47" t="n"/>
      <c r="AY70" s="39" t="n"/>
      <c r="AZ70" s="39" t="n"/>
      <c r="BA70" s="39" t="n"/>
      <c r="BB70" s="39" t="n"/>
      <c r="BC70" s="39" t="n"/>
      <c r="BD70" s="40" t="n"/>
      <c r="BE70" s="39" t="n"/>
      <c r="BF70" s="39" t="n"/>
      <c r="BG70" s="39" t="n"/>
      <c r="BH70" s="39" t="n"/>
      <c r="BI70" s="39" t="n"/>
      <c r="BJ70" s="39" t="n"/>
      <c r="BK70" s="39" t="n"/>
      <c r="BL70" s="39" t="n"/>
      <c r="BM70" s="39" t="n"/>
      <c r="BN70" s="39" t="n"/>
      <c r="BO70" s="39" t="n"/>
      <c r="BP70" s="40" t="n"/>
      <c r="BQ70" s="40" t="n"/>
      <c r="BR70" s="40" t="n"/>
      <c r="BS70" s="40" t="n"/>
      <c r="BT70" s="40" t="n"/>
      <c r="BU70" s="40" t="n"/>
      <c r="BV70" s="40" t="n"/>
      <c r="BW70" s="40" t="n"/>
      <c r="BX70" s="43" t="n"/>
      <c r="BY70" s="39" t="n"/>
      <c r="BZ70" s="39" t="n"/>
      <c r="CA70" s="39" t="n"/>
      <c r="CB70" s="39" t="n"/>
      <c r="CC70" s="39" t="n"/>
      <c r="CD70" s="39" t="n"/>
      <c r="CE70" s="39" t="n"/>
      <c r="CF70" s="39" t="n"/>
      <c r="CG70" s="47" t="n"/>
      <c r="CH70" s="47" t="n"/>
      <c r="CI70" s="47" t="n"/>
      <c r="CJ70" s="47" t="n"/>
    </row>
    <row r="71" ht="23" customHeight="1">
      <c r="A71" s="39" t="n"/>
      <c r="B71" s="39" t="n"/>
      <c r="C71" s="39" t="n"/>
      <c r="D71" s="40" t="n"/>
      <c r="E71" s="40" t="n"/>
      <c r="F71" s="39" t="n"/>
      <c r="G71" s="40" t="n"/>
      <c r="H71" s="39" t="n"/>
      <c r="I71" s="40" t="n"/>
      <c r="J71" s="40" t="n"/>
      <c r="K71" s="39" t="n"/>
      <c r="L71" s="39" t="n"/>
      <c r="M71" s="39" t="n"/>
      <c r="N71" s="39" t="n"/>
      <c r="O71" s="40" t="n"/>
      <c r="P71" s="46" t="n"/>
      <c r="Q71" s="48" t="n"/>
      <c r="R71" s="40" t="n"/>
      <c r="S71" s="40" t="n"/>
      <c r="T71" s="39" t="n"/>
      <c r="U71" s="47" t="n"/>
      <c r="V71" s="39" t="n"/>
      <c r="W71" s="39" t="n"/>
      <c r="X71" s="39" t="n"/>
      <c r="Y71" s="39" t="n"/>
      <c r="Z71" s="40" t="n"/>
      <c r="AA71" s="40" t="n"/>
      <c r="AB71" s="46" t="n"/>
      <c r="AC71" s="39" t="n"/>
      <c r="AD71" s="39" t="n"/>
      <c r="AE71" s="39" t="n"/>
      <c r="AF71" s="39" t="n"/>
      <c r="AG71" s="39" t="n"/>
      <c r="AH71" s="40" t="n"/>
      <c r="AI71" s="42" t="n"/>
      <c r="AJ71" s="50" t="n"/>
      <c r="AK71" s="46" t="n"/>
      <c r="AL71" s="43" t="n"/>
      <c r="AM71" s="43" t="n"/>
      <c r="AN71" s="40" t="n"/>
      <c r="AO71" s="40" t="n"/>
      <c r="AP71" s="40" t="n"/>
      <c r="AQ71" s="40" t="n"/>
      <c r="AR71" s="40" t="n"/>
      <c r="AS71" s="47" t="n"/>
      <c r="AT71" s="40" t="n"/>
      <c r="AU71" s="40" t="n"/>
      <c r="AV71" s="40" t="n"/>
      <c r="AW71" s="40" t="n"/>
      <c r="AX71" s="47" t="n"/>
      <c r="AY71" s="39" t="n"/>
      <c r="AZ71" s="39" t="n"/>
      <c r="BA71" s="39" t="n"/>
      <c r="BB71" s="39" t="n"/>
      <c r="BC71" s="39" t="n"/>
      <c r="BD71" s="40" t="n"/>
      <c r="BE71" s="39" t="n"/>
      <c r="BF71" s="39" t="n"/>
      <c r="BG71" s="39" t="n"/>
      <c r="BH71" s="39" t="n"/>
      <c r="BI71" s="39" t="n"/>
      <c r="BJ71" s="39" t="n"/>
      <c r="BK71" s="39" t="n"/>
      <c r="BL71" s="39" t="n"/>
      <c r="BM71" s="39" t="n"/>
      <c r="BN71" s="39" t="n"/>
      <c r="BO71" s="39" t="n"/>
      <c r="BP71" s="40" t="n"/>
      <c r="BQ71" s="40" t="n"/>
      <c r="BR71" s="40" t="n"/>
      <c r="BS71" s="40" t="n"/>
      <c r="BT71" s="40" t="n"/>
      <c r="BU71" s="40" t="n"/>
      <c r="BV71" s="40" t="n"/>
      <c r="BW71" s="40" t="n"/>
      <c r="BX71" s="43" t="n"/>
      <c r="BY71" s="39" t="n"/>
      <c r="BZ71" s="39" t="n"/>
      <c r="CA71" s="39" t="n"/>
      <c r="CB71" s="39" t="n"/>
      <c r="CC71" s="39" t="n"/>
      <c r="CD71" s="39" t="n"/>
      <c r="CE71" s="39" t="n"/>
      <c r="CF71" s="39" t="n"/>
      <c r="CG71" s="47" t="n"/>
      <c r="CH71" s="47" t="n"/>
      <c r="CI71" s="47" t="n"/>
      <c r="CJ71" s="47" t="n"/>
    </row>
    <row r="72" ht="23" customHeight="1">
      <c r="A72" s="39" t="n"/>
      <c r="B72" s="39" t="n"/>
      <c r="C72" s="39" t="n"/>
      <c r="D72" s="40" t="n"/>
      <c r="E72" s="40" t="n"/>
      <c r="F72" s="39" t="n"/>
      <c r="G72" s="40" t="n"/>
      <c r="H72" s="39" t="n"/>
      <c r="I72" s="40" t="n"/>
      <c r="J72" s="40" t="n"/>
      <c r="K72" s="39" t="n"/>
      <c r="L72" s="39" t="n"/>
      <c r="M72" s="39" t="n"/>
      <c r="N72" s="39" t="n"/>
      <c r="O72" s="40" t="n"/>
      <c r="P72" s="46" t="n"/>
      <c r="Q72" s="48" t="n"/>
      <c r="R72" s="40" t="n"/>
      <c r="S72" s="40" t="n"/>
      <c r="T72" s="39" t="n"/>
      <c r="U72" s="47" t="n"/>
      <c r="V72" s="39" t="n"/>
      <c r="W72" s="39" t="n"/>
      <c r="X72" s="39" t="n"/>
      <c r="Y72" s="39" t="n"/>
      <c r="Z72" s="40" t="n"/>
      <c r="AA72" s="40" t="n"/>
      <c r="AB72" s="46" t="n"/>
      <c r="AC72" s="39" t="n"/>
      <c r="AD72" s="39" t="n"/>
      <c r="AE72" s="39" t="n"/>
      <c r="AF72" s="39" t="n"/>
      <c r="AG72" s="39" t="n"/>
      <c r="AH72" s="40" t="n"/>
      <c r="AI72" s="42" t="n"/>
      <c r="AJ72" s="50" t="n"/>
      <c r="AK72" s="46" t="n"/>
      <c r="AL72" s="43" t="n"/>
      <c r="AM72" s="43" t="n"/>
      <c r="AN72" s="40" t="n"/>
      <c r="AO72" s="40" t="n"/>
      <c r="AP72" s="40" t="n"/>
      <c r="AQ72" s="40" t="n"/>
      <c r="AR72" s="40" t="n"/>
      <c r="AS72" s="47" t="n"/>
      <c r="AT72" s="40" t="n"/>
      <c r="AU72" s="40" t="n"/>
      <c r="AV72" s="40" t="n"/>
      <c r="AW72" s="40" t="n"/>
      <c r="AX72" s="47" t="n"/>
      <c r="AY72" s="39" t="n"/>
      <c r="AZ72" s="39" t="n"/>
      <c r="BA72" s="39" t="n"/>
      <c r="BB72" s="39" t="n"/>
      <c r="BC72" s="39" t="n"/>
      <c r="BD72" s="40" t="n"/>
      <c r="BE72" s="39" t="n"/>
      <c r="BF72" s="39" t="n"/>
      <c r="BG72" s="39" t="n"/>
      <c r="BH72" s="39" t="n"/>
      <c r="BI72" s="39" t="n"/>
      <c r="BJ72" s="39" t="n"/>
      <c r="BK72" s="39" t="n"/>
      <c r="BL72" s="39" t="n"/>
      <c r="BM72" s="39" t="n"/>
      <c r="BN72" s="39" t="n"/>
      <c r="BO72" s="39" t="n"/>
      <c r="BP72" s="40" t="n"/>
      <c r="BQ72" s="40" t="n"/>
      <c r="BR72" s="40" t="n"/>
      <c r="BS72" s="40" t="n"/>
      <c r="BT72" s="40" t="n"/>
      <c r="BU72" s="40" t="n"/>
      <c r="BV72" s="40" t="n"/>
      <c r="BW72" s="40" t="n"/>
      <c r="BX72" s="43" t="n"/>
      <c r="BY72" s="39" t="n"/>
      <c r="BZ72" s="39" t="n"/>
      <c r="CA72" s="39" t="n"/>
      <c r="CB72" s="39" t="n"/>
      <c r="CC72" s="39" t="n"/>
      <c r="CD72" s="39" t="n"/>
      <c r="CE72" s="39" t="n"/>
      <c r="CF72" s="39" t="n"/>
      <c r="CG72" s="47" t="n"/>
      <c r="CH72" s="47" t="n"/>
      <c r="CI72" s="47" t="n"/>
      <c r="CJ72" s="47" t="n"/>
    </row>
    <row r="73" ht="23" customHeight="1">
      <c r="A73" s="39" t="n"/>
      <c r="B73" s="39" t="n"/>
      <c r="C73" s="39" t="n"/>
      <c r="D73" s="40" t="n"/>
      <c r="E73" s="40" t="n"/>
      <c r="F73" s="39" t="n"/>
      <c r="G73" s="40" t="n"/>
      <c r="H73" s="39" t="n"/>
      <c r="I73" s="40" t="n"/>
      <c r="J73" s="40" t="n"/>
      <c r="K73" s="39" t="n"/>
      <c r="L73" s="39" t="n"/>
      <c r="M73" s="39" t="n"/>
      <c r="N73" s="39" t="n"/>
      <c r="O73" s="40" t="n"/>
      <c r="P73" s="46" t="n"/>
      <c r="Q73" s="48" t="n"/>
      <c r="R73" s="40" t="n"/>
      <c r="S73" s="40" t="n"/>
      <c r="T73" s="39" t="n"/>
      <c r="U73" s="47" t="n"/>
      <c r="V73" s="39" t="n"/>
      <c r="W73" s="39" t="n"/>
      <c r="X73" s="39" t="n"/>
      <c r="Y73" s="39" t="n"/>
      <c r="Z73" s="40" t="n"/>
      <c r="AA73" s="40" t="n"/>
      <c r="AB73" s="46" t="n"/>
      <c r="AC73" s="39" t="n"/>
      <c r="AD73" s="39" t="n"/>
      <c r="AE73" s="39" t="n"/>
      <c r="AF73" s="39" t="n"/>
      <c r="AG73" s="39" t="n"/>
      <c r="AH73" s="40" t="n"/>
      <c r="AI73" s="42" t="n"/>
      <c r="AJ73" s="50" t="n"/>
      <c r="AK73" s="46" t="n"/>
      <c r="AL73" s="43" t="n"/>
      <c r="AM73" s="43" t="n"/>
      <c r="AN73" s="40" t="n"/>
      <c r="AO73" s="40" t="n"/>
      <c r="AP73" s="40" t="n"/>
      <c r="AQ73" s="40" t="n"/>
      <c r="AR73" s="40" t="n"/>
      <c r="AS73" s="47" t="n"/>
      <c r="AT73" s="40" t="n"/>
      <c r="AU73" s="40" t="n"/>
      <c r="AV73" s="40" t="n"/>
      <c r="AW73" s="40" t="n"/>
      <c r="AX73" s="47" t="n"/>
      <c r="AY73" s="39" t="n"/>
      <c r="AZ73" s="39" t="n"/>
      <c r="BA73" s="39" t="n"/>
      <c r="BB73" s="39" t="n"/>
      <c r="BC73" s="39" t="n"/>
      <c r="BD73" s="40" t="n"/>
      <c r="BE73" s="39" t="n"/>
      <c r="BF73" s="39" t="n"/>
      <c r="BG73" s="39" t="n"/>
      <c r="BH73" s="39" t="n"/>
      <c r="BI73" s="39" t="n"/>
      <c r="BJ73" s="39" t="n"/>
      <c r="BK73" s="39" t="n"/>
      <c r="BL73" s="39" t="n"/>
      <c r="BM73" s="39" t="n"/>
      <c r="BN73" s="39" t="n"/>
      <c r="BO73" s="39" t="n"/>
      <c r="BP73" s="40" t="n"/>
      <c r="BQ73" s="40" t="n"/>
      <c r="BR73" s="40" t="n"/>
      <c r="BS73" s="40" t="n"/>
      <c r="BT73" s="40" t="n"/>
      <c r="BU73" s="40" t="n"/>
      <c r="BV73" s="40" t="n"/>
      <c r="BW73" s="40" t="n"/>
      <c r="BX73" s="43" t="n"/>
      <c r="BY73" s="39" t="n"/>
      <c r="BZ73" s="39" t="n"/>
      <c r="CA73" s="39" t="n"/>
      <c r="CB73" s="39" t="n"/>
      <c r="CC73" s="39" t="n"/>
      <c r="CD73" s="39" t="n"/>
      <c r="CE73" s="39" t="n"/>
      <c r="CF73" s="39" t="n"/>
      <c r="CG73" s="47" t="n"/>
      <c r="CH73" s="47" t="n"/>
      <c r="CI73" s="47" t="n"/>
      <c r="CJ73" s="47" t="n"/>
    </row>
    <row r="74" ht="23" customHeight="1">
      <c r="A74" s="39" t="n"/>
      <c r="B74" s="39" t="n"/>
      <c r="C74" s="39" t="n"/>
      <c r="D74" s="40" t="n"/>
      <c r="E74" s="40" t="n"/>
      <c r="F74" s="39" t="n"/>
      <c r="G74" s="40" t="n"/>
      <c r="H74" s="39" t="n"/>
      <c r="I74" s="40" t="n"/>
      <c r="J74" s="40" t="n"/>
      <c r="K74" s="39" t="n"/>
      <c r="L74" s="39" t="n"/>
      <c r="M74" s="39" t="n"/>
      <c r="N74" s="39" t="n"/>
      <c r="O74" s="40" t="n"/>
      <c r="P74" s="46" t="n"/>
      <c r="Q74" s="48" t="n"/>
      <c r="R74" s="40" t="n"/>
      <c r="S74" s="40" t="n"/>
      <c r="T74" s="39" t="n"/>
      <c r="U74" s="47" t="n"/>
      <c r="V74" s="39" t="n"/>
      <c r="W74" s="39" t="n"/>
      <c r="X74" s="39" t="n"/>
      <c r="Y74" s="39" t="n"/>
      <c r="Z74" s="40" t="n"/>
      <c r="AA74" s="40" t="n"/>
      <c r="AB74" s="46" t="n"/>
      <c r="AC74" s="39" t="n"/>
      <c r="AD74" s="39" t="n"/>
      <c r="AE74" s="39" t="n"/>
      <c r="AF74" s="39" t="n"/>
      <c r="AG74" s="39" t="n"/>
      <c r="AH74" s="40" t="n"/>
      <c r="AI74" s="42" t="n"/>
      <c r="AJ74" s="50" t="n"/>
      <c r="AK74" s="46" t="n"/>
      <c r="AL74" s="43" t="n"/>
      <c r="AM74" s="43" t="n"/>
      <c r="AN74" s="40" t="n"/>
      <c r="AO74" s="40" t="n"/>
      <c r="AP74" s="40" t="n"/>
      <c r="AQ74" s="40" t="n"/>
      <c r="AR74" s="40" t="n"/>
      <c r="AS74" s="47" t="n"/>
      <c r="AT74" s="40" t="n"/>
      <c r="AU74" s="40" t="n"/>
      <c r="AV74" s="40" t="n"/>
      <c r="AW74" s="40" t="n"/>
      <c r="AX74" s="47" t="n"/>
      <c r="AY74" s="39" t="n"/>
      <c r="AZ74" s="39" t="n"/>
      <c r="BA74" s="39" t="n"/>
      <c r="BB74" s="39" t="n"/>
      <c r="BC74" s="39" t="n"/>
      <c r="BD74" s="40" t="n"/>
      <c r="BE74" s="39" t="n"/>
      <c r="BF74" s="39" t="n"/>
      <c r="BG74" s="39" t="n"/>
      <c r="BH74" s="39" t="n"/>
      <c r="BI74" s="39" t="n"/>
      <c r="BJ74" s="39" t="n"/>
      <c r="BK74" s="39" t="n"/>
      <c r="BL74" s="39" t="n"/>
      <c r="BM74" s="39" t="n"/>
      <c r="BN74" s="39" t="n"/>
      <c r="BO74" s="39" t="n"/>
      <c r="BP74" s="40" t="n"/>
      <c r="BQ74" s="40" t="n"/>
      <c r="BR74" s="40" t="n"/>
      <c r="BS74" s="40" t="n"/>
      <c r="BT74" s="40" t="n"/>
      <c r="BU74" s="40" t="n"/>
      <c r="BV74" s="40" t="n"/>
      <c r="BW74" s="40" t="n"/>
      <c r="BX74" s="43" t="n"/>
      <c r="BY74" s="39" t="n"/>
      <c r="BZ74" s="39" t="n"/>
      <c r="CA74" s="39" t="n"/>
      <c r="CB74" s="39" t="n"/>
      <c r="CC74" s="39" t="n"/>
      <c r="CD74" s="39" t="n"/>
      <c r="CE74" s="39" t="n"/>
      <c r="CF74" s="39" t="n"/>
      <c r="CG74" s="47" t="n"/>
      <c r="CH74" s="47" t="n"/>
      <c r="CI74" s="47" t="n"/>
      <c r="CJ74" s="47" t="n"/>
    </row>
    <row r="75" ht="23" customHeight="1">
      <c r="A75" s="39" t="n"/>
      <c r="B75" s="39" t="n"/>
      <c r="C75" s="39" t="n"/>
      <c r="D75" s="40" t="n"/>
      <c r="E75" s="40" t="n"/>
      <c r="F75" s="39" t="n"/>
      <c r="G75" s="40" t="n"/>
      <c r="H75" s="39" t="n"/>
      <c r="I75" s="40" t="n"/>
      <c r="J75" s="40" t="n"/>
      <c r="K75" s="39" t="n"/>
      <c r="L75" s="39" t="n"/>
      <c r="M75" s="39" t="n"/>
      <c r="N75" s="39" t="n"/>
      <c r="O75" s="40" t="n"/>
      <c r="P75" s="46" t="n"/>
      <c r="Q75" s="48" t="n"/>
      <c r="R75" s="40" t="n"/>
      <c r="S75" s="40" t="n"/>
      <c r="T75" s="39" t="n"/>
      <c r="U75" s="47" t="n"/>
      <c r="V75" s="39" t="n"/>
      <c r="W75" s="39" t="n"/>
      <c r="X75" s="39" t="n"/>
      <c r="Y75" s="39" t="n"/>
      <c r="Z75" s="40" t="n"/>
      <c r="AA75" s="40" t="n"/>
      <c r="AB75" s="46" t="n"/>
      <c r="AC75" s="39" t="n"/>
      <c r="AD75" s="39" t="n"/>
      <c r="AE75" s="39" t="n"/>
      <c r="AF75" s="39" t="n"/>
      <c r="AG75" s="39" t="n"/>
      <c r="AH75" s="40" t="n"/>
      <c r="AI75" s="42" t="n"/>
      <c r="AJ75" s="50" t="n"/>
      <c r="AK75" s="46" t="n"/>
      <c r="AL75" s="43" t="n"/>
      <c r="AM75" s="43" t="n"/>
      <c r="AN75" s="40" t="n"/>
      <c r="AO75" s="40" t="n"/>
      <c r="AP75" s="40" t="n"/>
      <c r="AQ75" s="40" t="n"/>
      <c r="AR75" s="40" t="n"/>
      <c r="AS75" s="47" t="n"/>
      <c r="AT75" s="40" t="n"/>
      <c r="AU75" s="40" t="n"/>
      <c r="AV75" s="40" t="n"/>
      <c r="AW75" s="40" t="n"/>
      <c r="AX75" s="47" t="n"/>
      <c r="AY75" s="39" t="n"/>
      <c r="AZ75" s="39" t="n"/>
      <c r="BA75" s="39" t="n"/>
      <c r="BB75" s="39" t="n"/>
      <c r="BC75" s="39" t="n"/>
      <c r="BD75" s="40" t="n"/>
      <c r="BE75" s="39" t="n"/>
      <c r="BF75" s="39" t="n"/>
      <c r="BG75" s="39" t="n"/>
      <c r="BH75" s="39" t="n"/>
      <c r="BI75" s="39" t="n"/>
      <c r="BJ75" s="39" t="n"/>
      <c r="BK75" s="39" t="n"/>
      <c r="BL75" s="39" t="n"/>
      <c r="BM75" s="39" t="n"/>
      <c r="BN75" s="39" t="n"/>
      <c r="BO75" s="39" t="n"/>
      <c r="BP75" s="40" t="n"/>
      <c r="BQ75" s="40" t="n"/>
      <c r="BR75" s="40" t="n"/>
      <c r="BS75" s="40" t="n"/>
      <c r="BT75" s="40" t="n"/>
      <c r="BU75" s="40" t="n"/>
      <c r="BV75" s="40" t="n"/>
      <c r="BW75" s="40" t="n"/>
      <c r="BX75" s="43" t="n"/>
      <c r="BY75" s="39" t="n"/>
      <c r="BZ75" s="39" t="n"/>
      <c r="CA75" s="39" t="n"/>
      <c r="CB75" s="39" t="n"/>
      <c r="CC75" s="39" t="n"/>
      <c r="CD75" s="39" t="n"/>
      <c r="CE75" s="39" t="n"/>
      <c r="CF75" s="39" t="n"/>
      <c r="CG75" s="47" t="n"/>
      <c r="CH75" s="47" t="n"/>
      <c r="CI75" s="47" t="n"/>
      <c r="CJ75" s="47" t="n"/>
    </row>
    <row r="76" ht="23" customHeight="1">
      <c r="A76" s="39" t="n"/>
      <c r="B76" s="39" t="n"/>
      <c r="C76" s="39" t="n"/>
      <c r="D76" s="40" t="n"/>
      <c r="E76" s="40" t="n"/>
      <c r="F76" s="39" t="n"/>
      <c r="G76" s="40" t="n"/>
      <c r="H76" s="39" t="n"/>
      <c r="I76" s="40" t="n"/>
      <c r="J76" s="40" t="n"/>
      <c r="K76" s="39" t="n"/>
      <c r="L76" s="39" t="n"/>
      <c r="M76" s="39" t="n"/>
      <c r="N76" s="39" t="n"/>
      <c r="O76" s="40" t="n"/>
      <c r="P76" s="46" t="n"/>
      <c r="Q76" s="48" t="n"/>
      <c r="R76" s="40" t="n"/>
      <c r="S76" s="40" t="n"/>
      <c r="T76" s="39" t="n"/>
      <c r="U76" s="47" t="n"/>
      <c r="V76" s="39" t="n"/>
      <c r="W76" s="39" t="n"/>
      <c r="X76" s="39" t="n"/>
      <c r="Y76" s="39" t="n"/>
      <c r="Z76" s="40" t="n"/>
      <c r="AA76" s="40" t="n"/>
      <c r="AB76" s="46" t="n"/>
      <c r="AC76" s="39" t="n"/>
      <c r="AD76" s="39" t="n"/>
      <c r="AE76" s="39" t="n"/>
      <c r="AF76" s="39" t="n"/>
      <c r="AG76" s="39" t="n"/>
      <c r="AH76" s="40" t="n"/>
      <c r="AI76" s="42" t="n"/>
      <c r="AJ76" s="50" t="n"/>
      <c r="AK76" s="46" t="n"/>
      <c r="AL76" s="43" t="n"/>
      <c r="AM76" s="43" t="n"/>
      <c r="AN76" s="40" t="n"/>
      <c r="AO76" s="40" t="n"/>
      <c r="AP76" s="40" t="n"/>
      <c r="AQ76" s="40" t="n"/>
      <c r="AR76" s="40" t="n"/>
      <c r="AS76" s="47" t="n"/>
      <c r="AT76" s="40" t="n"/>
      <c r="AU76" s="40" t="n"/>
      <c r="AV76" s="40" t="n"/>
      <c r="AW76" s="40" t="n"/>
      <c r="AX76" s="47" t="n"/>
      <c r="AY76" s="39" t="n"/>
      <c r="AZ76" s="39" t="n"/>
      <c r="BA76" s="39" t="n"/>
      <c r="BB76" s="39" t="n"/>
      <c r="BC76" s="39" t="n"/>
      <c r="BD76" s="40" t="n"/>
      <c r="BE76" s="39" t="n"/>
      <c r="BF76" s="39" t="n"/>
      <c r="BG76" s="39" t="n"/>
      <c r="BH76" s="39" t="n"/>
      <c r="BI76" s="39" t="n"/>
      <c r="BJ76" s="39" t="n"/>
      <c r="BK76" s="39" t="n"/>
      <c r="BL76" s="39" t="n"/>
      <c r="BM76" s="39" t="n"/>
      <c r="BN76" s="39" t="n"/>
      <c r="BO76" s="39" t="n"/>
      <c r="BP76" s="40" t="n"/>
      <c r="BQ76" s="40" t="n"/>
      <c r="BR76" s="40" t="n"/>
      <c r="BS76" s="40" t="n"/>
      <c r="BT76" s="40" t="n"/>
      <c r="BU76" s="40" t="n"/>
      <c r="BV76" s="40" t="n"/>
      <c r="BW76" s="40" t="n"/>
      <c r="BX76" s="43" t="n"/>
      <c r="BY76" s="39" t="n"/>
      <c r="BZ76" s="39" t="n"/>
      <c r="CA76" s="39" t="n"/>
      <c r="CB76" s="39" t="n"/>
      <c r="CC76" s="39" t="n"/>
      <c r="CD76" s="39" t="n"/>
      <c r="CE76" s="39" t="n"/>
      <c r="CF76" s="39" t="n"/>
      <c r="CG76" s="47" t="n"/>
      <c r="CH76" s="47" t="n"/>
      <c r="CI76" s="47" t="n"/>
      <c r="CJ76" s="47" t="n"/>
    </row>
    <row r="77" ht="23" customHeight="1">
      <c r="A77" s="39" t="n"/>
      <c r="B77" s="39" t="n"/>
      <c r="C77" s="39" t="n"/>
      <c r="D77" s="40" t="n"/>
      <c r="E77" s="40" t="n"/>
      <c r="F77" s="39" t="n"/>
      <c r="G77" s="40" t="n"/>
      <c r="H77" s="39" t="n"/>
      <c r="I77" s="40" t="n"/>
      <c r="J77" s="40" t="n"/>
      <c r="K77" s="39" t="n"/>
      <c r="L77" s="39" t="n"/>
      <c r="M77" s="39" t="n"/>
      <c r="N77" s="39" t="n"/>
      <c r="O77" s="40" t="n"/>
      <c r="P77" s="46" t="n"/>
      <c r="Q77" s="48" t="n"/>
      <c r="R77" s="40" t="n"/>
      <c r="S77" s="40" t="n"/>
      <c r="T77" s="39" t="n"/>
      <c r="U77" s="47" t="n"/>
      <c r="V77" s="39" t="n"/>
      <c r="W77" s="39" t="n"/>
      <c r="X77" s="39" t="n"/>
      <c r="Y77" s="39" t="n"/>
      <c r="Z77" s="40" t="n"/>
      <c r="AA77" s="40" t="n"/>
      <c r="AB77" s="46" t="n"/>
      <c r="AC77" s="39" t="n"/>
      <c r="AD77" s="39" t="n"/>
      <c r="AE77" s="39" t="n"/>
      <c r="AF77" s="39" t="n"/>
      <c r="AG77" s="39" t="n"/>
      <c r="AH77" s="40" t="n"/>
      <c r="AI77" s="42" t="n"/>
      <c r="AJ77" s="50" t="n"/>
      <c r="AK77" s="46" t="n"/>
      <c r="AL77" s="43" t="n"/>
      <c r="AM77" s="43" t="n"/>
      <c r="AN77" s="40" t="n"/>
      <c r="AO77" s="40" t="n"/>
      <c r="AP77" s="40" t="n"/>
      <c r="AQ77" s="40" t="n"/>
      <c r="AR77" s="40" t="n"/>
      <c r="AS77" s="47" t="n"/>
      <c r="AT77" s="40" t="n"/>
      <c r="AU77" s="40" t="n"/>
      <c r="AV77" s="40" t="n"/>
      <c r="AW77" s="40" t="n"/>
      <c r="AX77" s="47" t="n"/>
      <c r="AY77" s="39" t="n"/>
      <c r="AZ77" s="39" t="n"/>
      <c r="BA77" s="39" t="n"/>
      <c r="BB77" s="39" t="n"/>
      <c r="BC77" s="39" t="n"/>
      <c r="BD77" s="40" t="n"/>
      <c r="BE77" s="39" t="n"/>
      <c r="BF77" s="39" t="n"/>
      <c r="BG77" s="39" t="n"/>
      <c r="BH77" s="39" t="n"/>
      <c r="BI77" s="39" t="n"/>
      <c r="BJ77" s="39" t="n"/>
      <c r="BK77" s="39" t="n"/>
      <c r="BL77" s="39" t="n"/>
      <c r="BM77" s="39" t="n"/>
      <c r="BN77" s="39" t="n"/>
      <c r="BO77" s="39" t="n"/>
      <c r="BP77" s="40" t="n"/>
      <c r="BQ77" s="40" t="n"/>
      <c r="BR77" s="40" t="n"/>
      <c r="BS77" s="40" t="n"/>
      <c r="BT77" s="40" t="n"/>
      <c r="BU77" s="40" t="n"/>
      <c r="BV77" s="40" t="n"/>
      <c r="BW77" s="40" t="n"/>
      <c r="BX77" s="43" t="n"/>
      <c r="BY77" s="39" t="n"/>
      <c r="BZ77" s="39" t="n"/>
      <c r="CA77" s="39" t="n"/>
      <c r="CB77" s="39" t="n"/>
      <c r="CC77" s="39" t="n"/>
      <c r="CD77" s="39" t="n"/>
      <c r="CE77" s="39" t="n"/>
      <c r="CF77" s="39" t="n"/>
      <c r="CG77" s="47" t="n"/>
      <c r="CH77" s="47" t="n"/>
      <c r="CI77" s="47" t="n"/>
      <c r="CJ77" s="47" t="n"/>
    </row>
    <row r="78" ht="23" customHeight="1">
      <c r="A78" s="39" t="n"/>
      <c r="B78" s="39" t="n"/>
      <c r="C78" s="39" t="n"/>
      <c r="D78" s="40" t="n"/>
      <c r="E78" s="40" t="n"/>
      <c r="F78" s="39" t="n"/>
      <c r="G78" s="40" t="n"/>
      <c r="H78" s="39" t="n"/>
      <c r="I78" s="40" t="n"/>
      <c r="J78" s="40" t="n"/>
      <c r="K78" s="39" t="n"/>
      <c r="L78" s="39" t="n"/>
      <c r="M78" s="39" t="n"/>
      <c r="N78" s="39" t="n"/>
      <c r="O78" s="40" t="n"/>
      <c r="P78" s="46" t="n"/>
      <c r="Q78" s="48" t="n"/>
      <c r="R78" s="40" t="n"/>
      <c r="S78" s="40" t="n"/>
      <c r="T78" s="39" t="n"/>
      <c r="U78" s="47" t="n"/>
      <c r="V78" s="39" t="n"/>
      <c r="W78" s="39" t="n"/>
      <c r="X78" s="39" t="n"/>
      <c r="Y78" s="39" t="n"/>
      <c r="Z78" s="40" t="n"/>
      <c r="AA78" s="40" t="n"/>
      <c r="AB78" s="46" t="n"/>
      <c r="AC78" s="39" t="n"/>
      <c r="AD78" s="39" t="n"/>
      <c r="AE78" s="39" t="n"/>
      <c r="AF78" s="39" t="n"/>
      <c r="AG78" s="39" t="n"/>
      <c r="AH78" s="40" t="n"/>
      <c r="AI78" s="42" t="n"/>
      <c r="AJ78" s="50" t="n"/>
      <c r="AK78" s="46" t="n"/>
      <c r="AL78" s="43" t="n"/>
      <c r="AM78" s="43" t="n"/>
      <c r="AN78" s="40" t="n"/>
      <c r="AO78" s="40" t="n"/>
      <c r="AP78" s="40" t="n"/>
      <c r="AQ78" s="40" t="n"/>
      <c r="AR78" s="40" t="n"/>
      <c r="AS78" s="47" t="n"/>
      <c r="AT78" s="40" t="n"/>
      <c r="AU78" s="40" t="n"/>
      <c r="AV78" s="40" t="n"/>
      <c r="AW78" s="40" t="n"/>
      <c r="AX78" s="47" t="n"/>
      <c r="AY78" s="39" t="n"/>
      <c r="AZ78" s="39" t="n"/>
      <c r="BA78" s="39" t="n"/>
      <c r="BB78" s="39" t="n"/>
      <c r="BC78" s="39" t="n"/>
      <c r="BD78" s="40" t="n"/>
      <c r="BE78" s="39" t="n"/>
      <c r="BF78" s="39" t="n"/>
      <c r="BG78" s="39" t="n"/>
      <c r="BH78" s="39" t="n"/>
      <c r="BI78" s="39" t="n"/>
      <c r="BJ78" s="39" t="n"/>
      <c r="BK78" s="39" t="n"/>
      <c r="BL78" s="39" t="n"/>
      <c r="BM78" s="39" t="n"/>
      <c r="BN78" s="39" t="n"/>
      <c r="BO78" s="39" t="n"/>
      <c r="BP78" s="40" t="n"/>
      <c r="BQ78" s="40" t="n"/>
      <c r="BR78" s="40" t="n"/>
      <c r="BS78" s="40" t="n"/>
      <c r="BT78" s="40" t="n"/>
      <c r="BU78" s="40" t="n"/>
      <c r="BV78" s="40" t="n"/>
      <c r="BW78" s="40" t="n"/>
      <c r="BX78" s="43" t="n"/>
      <c r="BY78" s="39" t="n"/>
      <c r="BZ78" s="39" t="n"/>
      <c r="CA78" s="39" t="n"/>
      <c r="CB78" s="39" t="n"/>
      <c r="CC78" s="39" t="n"/>
      <c r="CD78" s="39" t="n"/>
      <c r="CE78" s="39" t="n"/>
      <c r="CF78" s="39" t="n"/>
      <c r="CG78" s="47" t="n"/>
      <c r="CH78" s="47" t="n"/>
      <c r="CI78" s="47" t="n"/>
      <c r="CJ78" s="47" t="n"/>
    </row>
    <row r="79" ht="23" customHeight="1">
      <c r="A79" s="39" t="n"/>
      <c r="B79" s="39" t="n"/>
      <c r="C79" s="39" t="n"/>
      <c r="D79" s="40" t="n"/>
      <c r="E79" s="40" t="n"/>
      <c r="F79" s="39" t="n"/>
      <c r="G79" s="40" t="n"/>
      <c r="H79" s="39" t="n"/>
      <c r="I79" s="40" t="n"/>
      <c r="J79" s="40" t="n"/>
      <c r="K79" s="39" t="n"/>
      <c r="L79" s="39" t="n"/>
      <c r="M79" s="39" t="n"/>
      <c r="N79" s="39" t="n"/>
      <c r="O79" s="40" t="n"/>
      <c r="P79" s="46" t="n"/>
      <c r="Q79" s="48" t="n"/>
      <c r="R79" s="40" t="n"/>
      <c r="S79" s="40" t="n"/>
      <c r="T79" s="39" t="n"/>
      <c r="U79" s="47" t="n"/>
      <c r="V79" s="39" t="n"/>
      <c r="W79" s="39" t="n"/>
      <c r="X79" s="39" t="n"/>
      <c r="Y79" s="39" t="n"/>
      <c r="Z79" s="40" t="n"/>
      <c r="AA79" s="40" t="n"/>
      <c r="AB79" s="46" t="n"/>
      <c r="AC79" s="39" t="n"/>
      <c r="AD79" s="39" t="n"/>
      <c r="AE79" s="39" t="n"/>
      <c r="AF79" s="39" t="n"/>
      <c r="AG79" s="39" t="n"/>
      <c r="AH79" s="40" t="n"/>
      <c r="AI79" s="42" t="n"/>
      <c r="AJ79" s="50" t="n"/>
      <c r="AK79" s="46" t="n"/>
      <c r="AL79" s="43" t="n"/>
      <c r="AM79" s="43" t="n"/>
      <c r="AN79" s="40" t="n"/>
      <c r="AO79" s="40" t="n"/>
      <c r="AP79" s="40" t="n"/>
      <c r="AQ79" s="40" t="n"/>
      <c r="AR79" s="40" t="n"/>
      <c r="AS79" s="47" t="n"/>
      <c r="AT79" s="40" t="n"/>
      <c r="AU79" s="40" t="n"/>
      <c r="AV79" s="40" t="n"/>
      <c r="AW79" s="40" t="n"/>
      <c r="AX79" s="47" t="n"/>
      <c r="AY79" s="39" t="n"/>
      <c r="AZ79" s="39" t="n"/>
      <c r="BA79" s="39" t="n"/>
      <c r="BB79" s="39" t="n"/>
      <c r="BC79" s="39" t="n"/>
      <c r="BD79" s="40" t="n"/>
      <c r="BE79" s="39" t="n"/>
      <c r="BF79" s="39" t="n"/>
      <c r="BG79" s="39" t="n"/>
      <c r="BH79" s="39" t="n"/>
      <c r="BI79" s="39" t="n"/>
      <c r="BJ79" s="39" t="n"/>
      <c r="BK79" s="39" t="n"/>
      <c r="BL79" s="39" t="n"/>
      <c r="BM79" s="39" t="n"/>
      <c r="BN79" s="39" t="n"/>
      <c r="BO79" s="39" t="n"/>
      <c r="BP79" s="40" t="n"/>
      <c r="BQ79" s="40" t="n"/>
      <c r="BR79" s="40" t="n"/>
      <c r="BS79" s="40" t="n"/>
      <c r="BT79" s="40" t="n"/>
      <c r="BU79" s="40" t="n"/>
      <c r="BV79" s="40" t="n"/>
      <c r="BW79" s="40" t="n"/>
      <c r="BX79" s="43" t="n"/>
      <c r="BY79" s="39" t="n"/>
      <c r="BZ79" s="39" t="n"/>
      <c r="CA79" s="39" t="n"/>
      <c r="CB79" s="39" t="n"/>
      <c r="CC79" s="39" t="n"/>
      <c r="CD79" s="39" t="n"/>
      <c r="CE79" s="39" t="n"/>
      <c r="CF79" s="39" t="n"/>
      <c r="CG79" s="47" t="n"/>
      <c r="CH79" s="47" t="n"/>
      <c r="CI79" s="47" t="n"/>
      <c r="CJ79" s="47" t="n"/>
    </row>
    <row r="80" ht="23" customHeight="1">
      <c r="A80" s="39" t="n"/>
      <c r="B80" s="39" t="n"/>
      <c r="C80" s="39" t="n"/>
      <c r="D80" s="40" t="n"/>
      <c r="E80" s="40" t="n"/>
      <c r="F80" s="39" t="n"/>
      <c r="G80" s="40" t="n"/>
      <c r="H80" s="39" t="n"/>
      <c r="I80" s="40" t="n"/>
      <c r="J80" s="40" t="n"/>
      <c r="K80" s="39" t="n"/>
      <c r="L80" s="39" t="n"/>
      <c r="M80" s="39" t="n"/>
      <c r="N80" s="39" t="n"/>
      <c r="O80" s="40" t="n"/>
      <c r="P80" s="46" t="n"/>
      <c r="Q80" s="48" t="n"/>
      <c r="R80" s="40" t="n"/>
      <c r="S80" s="40" t="n"/>
      <c r="T80" s="39" t="n"/>
      <c r="U80" s="47" t="n"/>
      <c r="V80" s="39" t="n"/>
      <c r="W80" s="39" t="n"/>
      <c r="X80" s="39" t="n"/>
      <c r="Y80" s="39" t="n"/>
      <c r="Z80" s="40" t="n"/>
      <c r="AA80" s="40" t="n"/>
      <c r="AB80" s="46" t="n"/>
      <c r="AC80" s="39" t="n"/>
      <c r="AD80" s="39" t="n"/>
      <c r="AE80" s="39" t="n"/>
      <c r="AF80" s="39" t="n"/>
      <c r="AG80" s="39" t="n"/>
      <c r="AH80" s="40" t="n"/>
      <c r="AI80" s="42" t="n"/>
      <c r="AJ80" s="50" t="n"/>
      <c r="AK80" s="46" t="n"/>
      <c r="AL80" s="43" t="n"/>
      <c r="AM80" s="43" t="n"/>
      <c r="AN80" s="40" t="n"/>
      <c r="AO80" s="40" t="n"/>
      <c r="AP80" s="40" t="n"/>
      <c r="AQ80" s="40" t="n"/>
      <c r="AR80" s="40" t="n"/>
      <c r="AS80" s="47" t="n"/>
      <c r="AT80" s="40" t="n"/>
      <c r="AU80" s="40" t="n"/>
      <c r="AV80" s="40" t="n"/>
      <c r="AW80" s="40" t="n"/>
      <c r="AX80" s="47" t="n"/>
      <c r="AY80" s="39" t="n"/>
      <c r="AZ80" s="39" t="n"/>
      <c r="BA80" s="39" t="n"/>
      <c r="BB80" s="39" t="n"/>
      <c r="BC80" s="39" t="n"/>
      <c r="BD80" s="40" t="n"/>
      <c r="BE80" s="39" t="n"/>
      <c r="BF80" s="39" t="n"/>
      <c r="BG80" s="39" t="n"/>
      <c r="BH80" s="39" t="n"/>
      <c r="BI80" s="39" t="n"/>
      <c r="BJ80" s="39" t="n"/>
      <c r="BK80" s="39" t="n"/>
      <c r="BL80" s="39" t="n"/>
      <c r="BM80" s="39" t="n"/>
      <c r="BN80" s="39" t="n"/>
      <c r="BO80" s="39" t="n"/>
      <c r="BP80" s="40" t="n"/>
      <c r="BQ80" s="40" t="n"/>
      <c r="BR80" s="40" t="n"/>
      <c r="BS80" s="40" t="n"/>
      <c r="BT80" s="40" t="n"/>
      <c r="BU80" s="40" t="n"/>
      <c r="BV80" s="40" t="n"/>
      <c r="BW80" s="40" t="n"/>
      <c r="BX80" s="43" t="n"/>
      <c r="BY80" s="39" t="n"/>
      <c r="BZ80" s="39" t="n"/>
      <c r="CA80" s="39" t="n"/>
      <c r="CB80" s="39" t="n"/>
      <c r="CC80" s="39" t="n"/>
      <c r="CD80" s="39" t="n"/>
      <c r="CE80" s="39" t="n"/>
      <c r="CF80" s="39" t="n"/>
      <c r="CG80" s="47" t="n"/>
      <c r="CH80" s="47" t="n"/>
      <c r="CI80" s="47" t="n"/>
      <c r="CJ80" s="47" t="n"/>
    </row>
    <row r="81" ht="23" customHeight="1">
      <c r="A81" s="39" t="n"/>
      <c r="B81" s="39" t="n"/>
      <c r="C81" s="39" t="n"/>
      <c r="D81" s="40" t="n"/>
      <c r="E81" s="40" t="n"/>
      <c r="F81" s="39" t="n"/>
      <c r="G81" s="40" t="n"/>
      <c r="H81" s="39" t="n"/>
      <c r="I81" s="40" t="n"/>
      <c r="J81" s="40" t="n"/>
      <c r="K81" s="39" t="n"/>
      <c r="L81" s="39" t="n"/>
      <c r="M81" s="39" t="n"/>
      <c r="N81" s="39" t="n"/>
      <c r="O81" s="40" t="n"/>
      <c r="P81" s="46" t="n"/>
      <c r="Q81" s="48" t="n"/>
      <c r="R81" s="40" t="n"/>
      <c r="S81" s="40" t="n"/>
      <c r="T81" s="39" t="n"/>
      <c r="U81" s="47" t="n"/>
      <c r="V81" s="39" t="n"/>
      <c r="W81" s="39" t="n"/>
      <c r="X81" s="39" t="n"/>
      <c r="Y81" s="39" t="n"/>
      <c r="Z81" s="40" t="n"/>
      <c r="AA81" s="40" t="n"/>
      <c r="AB81" s="46" t="n"/>
      <c r="AC81" s="39" t="n"/>
      <c r="AD81" s="39" t="n"/>
      <c r="AE81" s="39" t="n"/>
      <c r="AF81" s="39" t="n"/>
      <c r="AG81" s="39" t="n"/>
      <c r="AH81" s="40" t="n"/>
      <c r="AI81" s="42" t="n"/>
      <c r="AJ81" s="50" t="n"/>
      <c r="AK81" s="46" t="n"/>
      <c r="AL81" s="43" t="n"/>
      <c r="AM81" s="43" t="n"/>
      <c r="AN81" s="40" t="n"/>
      <c r="AO81" s="40" t="n"/>
      <c r="AP81" s="40" t="n"/>
      <c r="AQ81" s="40" t="n"/>
      <c r="AR81" s="40" t="n"/>
      <c r="AS81" s="47" t="n"/>
      <c r="AT81" s="40" t="n"/>
      <c r="AU81" s="40" t="n"/>
      <c r="AV81" s="40" t="n"/>
      <c r="AW81" s="40" t="n"/>
      <c r="AX81" s="47" t="n"/>
      <c r="AY81" s="39" t="n"/>
      <c r="AZ81" s="39" t="n"/>
      <c r="BA81" s="39" t="n"/>
      <c r="BB81" s="39" t="n"/>
      <c r="BC81" s="39" t="n"/>
      <c r="BD81" s="40" t="n"/>
      <c r="BE81" s="39" t="n"/>
      <c r="BF81" s="39" t="n"/>
      <c r="BG81" s="39" t="n"/>
      <c r="BH81" s="39" t="n"/>
      <c r="BI81" s="39" t="n"/>
      <c r="BJ81" s="39" t="n"/>
      <c r="BK81" s="39" t="n"/>
      <c r="BL81" s="39" t="n"/>
      <c r="BM81" s="39" t="n"/>
      <c r="BN81" s="39" t="n"/>
      <c r="BO81" s="39" t="n"/>
      <c r="BP81" s="40" t="n"/>
      <c r="BQ81" s="40" t="n"/>
      <c r="BR81" s="40" t="n"/>
      <c r="BS81" s="40" t="n"/>
      <c r="BT81" s="40" t="n"/>
      <c r="BU81" s="40" t="n"/>
      <c r="BV81" s="40" t="n"/>
      <c r="BW81" s="40" t="n"/>
      <c r="BX81" s="43" t="n"/>
      <c r="BY81" s="39" t="n"/>
      <c r="BZ81" s="39" t="n"/>
      <c r="CA81" s="39" t="n"/>
      <c r="CB81" s="39" t="n"/>
      <c r="CC81" s="39" t="n"/>
      <c r="CD81" s="39" t="n"/>
      <c r="CE81" s="39" t="n"/>
      <c r="CF81" s="39" t="n"/>
      <c r="CG81" s="47" t="n"/>
      <c r="CH81" s="47" t="n"/>
      <c r="CI81" s="47" t="n"/>
      <c r="CJ81" s="47" t="n"/>
    </row>
    <row r="82" ht="23" customHeight="1">
      <c r="A82" s="39" t="n"/>
      <c r="B82" s="39" t="n"/>
      <c r="C82" s="39" t="n"/>
      <c r="D82" s="40" t="n"/>
      <c r="E82" s="40" t="n"/>
      <c r="F82" s="39" t="n"/>
      <c r="G82" s="40" t="n"/>
      <c r="H82" s="39" t="n"/>
      <c r="I82" s="40" t="n"/>
      <c r="J82" s="40" t="n"/>
      <c r="K82" s="39" t="n"/>
      <c r="L82" s="39" t="n"/>
      <c r="M82" s="39" t="n"/>
      <c r="N82" s="39" t="n"/>
      <c r="O82" s="40" t="n"/>
      <c r="P82" s="46" t="n"/>
      <c r="Q82" s="48" t="n"/>
      <c r="R82" s="40" t="n"/>
      <c r="S82" s="40" t="n"/>
      <c r="T82" s="39" t="n"/>
      <c r="U82" s="47" t="n"/>
      <c r="V82" s="39" t="n"/>
      <c r="W82" s="39" t="n"/>
      <c r="X82" s="39" t="n"/>
      <c r="Y82" s="39" t="n"/>
      <c r="Z82" s="40" t="n"/>
      <c r="AA82" s="40" t="n"/>
      <c r="AB82" s="46" t="n"/>
      <c r="AC82" s="39" t="n"/>
      <c r="AD82" s="39" t="n"/>
      <c r="AE82" s="39" t="n"/>
      <c r="AF82" s="39" t="n"/>
      <c r="AG82" s="39" t="n"/>
      <c r="AH82" s="40" t="n"/>
      <c r="AI82" s="42" t="n"/>
      <c r="AJ82" s="50" t="n"/>
      <c r="AK82" s="46" t="n"/>
      <c r="AL82" s="43" t="n"/>
      <c r="AM82" s="43" t="n"/>
      <c r="AN82" s="40" t="n"/>
      <c r="AO82" s="40" t="n"/>
      <c r="AP82" s="40" t="n"/>
      <c r="AQ82" s="40" t="n"/>
      <c r="AR82" s="40" t="n"/>
      <c r="AS82" s="47" t="n"/>
      <c r="AT82" s="40" t="n"/>
      <c r="AU82" s="40" t="n"/>
      <c r="AV82" s="40" t="n"/>
      <c r="AW82" s="40" t="n"/>
      <c r="AX82" s="47" t="n"/>
      <c r="AY82" s="39" t="n"/>
      <c r="AZ82" s="39" t="n"/>
      <c r="BA82" s="39" t="n"/>
      <c r="BB82" s="39" t="n"/>
      <c r="BC82" s="39" t="n"/>
      <c r="BD82" s="40" t="n"/>
      <c r="BE82" s="39" t="n"/>
      <c r="BF82" s="39" t="n"/>
      <c r="BG82" s="39" t="n"/>
      <c r="BH82" s="39" t="n"/>
      <c r="BI82" s="39" t="n"/>
      <c r="BJ82" s="39" t="n"/>
      <c r="BK82" s="39" t="n"/>
      <c r="BL82" s="39" t="n"/>
      <c r="BM82" s="39" t="n"/>
      <c r="BN82" s="39" t="n"/>
      <c r="BO82" s="39" t="n"/>
      <c r="BP82" s="40" t="n"/>
      <c r="BQ82" s="40" t="n"/>
      <c r="BR82" s="40" t="n"/>
      <c r="BS82" s="40" t="n"/>
      <c r="BT82" s="40" t="n"/>
      <c r="BU82" s="40" t="n"/>
      <c r="BV82" s="40" t="n"/>
      <c r="BW82" s="40" t="n"/>
      <c r="BX82" s="43" t="n"/>
      <c r="BY82" s="39" t="n"/>
      <c r="BZ82" s="39" t="n"/>
      <c r="CA82" s="39" t="n"/>
      <c r="CB82" s="39" t="n"/>
      <c r="CC82" s="39" t="n"/>
      <c r="CD82" s="39" t="n"/>
      <c r="CE82" s="39" t="n"/>
      <c r="CF82" s="39" t="n"/>
      <c r="CG82" s="47" t="n"/>
      <c r="CH82" s="47" t="n"/>
      <c r="CI82" s="47" t="n"/>
      <c r="CJ82" s="47" t="n"/>
    </row>
    <row r="83" ht="23" customHeight="1">
      <c r="A83" s="39" t="n"/>
      <c r="B83" s="39" t="n"/>
      <c r="C83" s="39" t="n"/>
      <c r="D83" s="40" t="n"/>
      <c r="E83" s="40" t="n"/>
      <c r="F83" s="39" t="n"/>
      <c r="G83" s="40" t="n"/>
      <c r="H83" s="39" t="n"/>
      <c r="I83" s="40" t="n"/>
      <c r="J83" s="40" t="n"/>
      <c r="K83" s="39" t="n"/>
      <c r="L83" s="39" t="n"/>
      <c r="M83" s="39" t="n"/>
      <c r="N83" s="39" t="n"/>
      <c r="O83" s="40" t="n"/>
      <c r="P83" s="46" t="n"/>
      <c r="Q83" s="48" t="n"/>
      <c r="R83" s="40" t="n"/>
      <c r="S83" s="40" t="n"/>
      <c r="T83" s="39" t="n"/>
      <c r="U83" s="47" t="n"/>
      <c r="V83" s="39" t="n"/>
      <c r="W83" s="39" t="n"/>
      <c r="X83" s="39" t="n"/>
      <c r="Y83" s="39" t="n"/>
      <c r="Z83" s="40" t="n"/>
      <c r="AA83" s="40" t="n"/>
      <c r="AB83" s="46" t="n"/>
      <c r="AC83" s="39" t="n"/>
      <c r="AD83" s="39" t="n"/>
      <c r="AE83" s="39" t="n"/>
      <c r="AF83" s="39" t="n"/>
      <c r="AG83" s="39" t="n"/>
      <c r="AH83" s="40" t="n"/>
      <c r="AI83" s="42" t="n"/>
      <c r="AJ83" s="50" t="n"/>
      <c r="AK83" s="46" t="n"/>
      <c r="AL83" s="43" t="n"/>
      <c r="AM83" s="43" t="n"/>
      <c r="AN83" s="40" t="n"/>
      <c r="AO83" s="40" t="n"/>
      <c r="AP83" s="40" t="n"/>
      <c r="AQ83" s="40" t="n"/>
      <c r="AR83" s="40" t="n"/>
      <c r="AS83" s="47" t="n"/>
      <c r="AT83" s="40" t="n"/>
      <c r="AU83" s="40" t="n"/>
      <c r="AV83" s="40" t="n"/>
      <c r="AW83" s="40" t="n"/>
      <c r="AX83" s="47" t="n"/>
      <c r="AY83" s="39" t="n"/>
      <c r="AZ83" s="39" t="n"/>
      <c r="BA83" s="39" t="n"/>
      <c r="BB83" s="39" t="n"/>
      <c r="BC83" s="39" t="n"/>
      <c r="BD83" s="40" t="n"/>
      <c r="BE83" s="39" t="n"/>
      <c r="BF83" s="39" t="n"/>
      <c r="BG83" s="39" t="n"/>
      <c r="BH83" s="39" t="n"/>
      <c r="BI83" s="39" t="n"/>
      <c r="BJ83" s="39" t="n"/>
      <c r="BK83" s="39" t="n"/>
      <c r="BL83" s="39" t="n"/>
      <c r="BM83" s="39" t="n"/>
      <c r="BN83" s="39" t="n"/>
      <c r="BO83" s="39" t="n"/>
      <c r="BP83" s="40" t="n"/>
      <c r="BQ83" s="40" t="n"/>
      <c r="BR83" s="40" t="n"/>
      <c r="BS83" s="40" t="n"/>
      <c r="BT83" s="40" t="n"/>
      <c r="BU83" s="40" t="n"/>
      <c r="BV83" s="40" t="n"/>
      <c r="BW83" s="40" t="n"/>
      <c r="BX83" s="43" t="n"/>
      <c r="BY83" s="39" t="n"/>
      <c r="BZ83" s="39" t="n"/>
      <c r="CA83" s="39" t="n"/>
      <c r="CB83" s="39" t="n"/>
      <c r="CC83" s="39" t="n"/>
      <c r="CD83" s="39" t="n"/>
      <c r="CE83" s="39" t="n"/>
      <c r="CF83" s="39" t="n"/>
      <c r="CG83" s="47" t="n"/>
      <c r="CH83" s="47" t="n"/>
      <c r="CI83" s="47" t="n"/>
      <c r="CJ83" s="47" t="n"/>
    </row>
    <row r="84" ht="23" customHeight="1">
      <c r="A84" s="39" t="n"/>
      <c r="B84" s="39" t="n"/>
      <c r="C84" s="39" t="n"/>
      <c r="D84" s="40" t="n"/>
      <c r="E84" s="40" t="n"/>
      <c r="F84" s="39" t="n"/>
      <c r="G84" s="40" t="n"/>
      <c r="H84" s="39" t="n"/>
      <c r="I84" s="40" t="n"/>
      <c r="J84" s="40" t="n"/>
      <c r="K84" s="39" t="n"/>
      <c r="L84" s="39" t="n"/>
      <c r="M84" s="39" t="n"/>
      <c r="N84" s="39" t="n"/>
      <c r="O84" s="40" t="n"/>
      <c r="P84" s="46" t="n"/>
      <c r="Q84" s="48" t="n"/>
      <c r="R84" s="40" t="n"/>
      <c r="S84" s="40" t="n"/>
      <c r="T84" s="39" t="n"/>
      <c r="U84" s="47" t="n"/>
      <c r="V84" s="39" t="n"/>
      <c r="W84" s="39" t="n"/>
      <c r="X84" s="39" t="n"/>
      <c r="Y84" s="39" t="n"/>
      <c r="Z84" s="40" t="n"/>
      <c r="AA84" s="40" t="n"/>
      <c r="AB84" s="46" t="n"/>
      <c r="AC84" s="39" t="n"/>
      <c r="AD84" s="39" t="n"/>
      <c r="AE84" s="39" t="n"/>
      <c r="AF84" s="39" t="n"/>
      <c r="AG84" s="39" t="n"/>
      <c r="AH84" s="40" t="n"/>
      <c r="AI84" s="42" t="n"/>
      <c r="AJ84" s="50" t="n"/>
      <c r="AK84" s="46" t="n"/>
      <c r="AL84" s="43" t="n"/>
      <c r="AM84" s="43" t="n"/>
      <c r="AN84" s="40" t="n"/>
      <c r="AO84" s="40" t="n"/>
      <c r="AP84" s="40" t="n"/>
      <c r="AQ84" s="40" t="n"/>
      <c r="AR84" s="40" t="n"/>
      <c r="AS84" s="47" t="n"/>
      <c r="AT84" s="40" t="n"/>
      <c r="AU84" s="40" t="n"/>
      <c r="AV84" s="40" t="n"/>
      <c r="AW84" s="40" t="n"/>
      <c r="AX84" s="47" t="n"/>
      <c r="AY84" s="39" t="n"/>
      <c r="AZ84" s="39" t="n"/>
      <c r="BA84" s="39" t="n"/>
      <c r="BB84" s="39" t="n"/>
      <c r="BC84" s="39" t="n"/>
      <c r="BD84" s="40" t="n"/>
      <c r="BE84" s="39" t="n"/>
      <c r="BF84" s="39" t="n"/>
      <c r="BG84" s="39" t="n"/>
      <c r="BH84" s="39" t="n"/>
      <c r="BI84" s="39" t="n"/>
      <c r="BJ84" s="39" t="n"/>
      <c r="BK84" s="39" t="n"/>
      <c r="BL84" s="39" t="n"/>
      <c r="BM84" s="39" t="n"/>
      <c r="BN84" s="39" t="n"/>
      <c r="BO84" s="39" t="n"/>
      <c r="BP84" s="40" t="n"/>
      <c r="BQ84" s="40" t="n"/>
      <c r="BR84" s="40" t="n"/>
      <c r="BS84" s="40" t="n"/>
      <c r="BT84" s="40" t="n"/>
      <c r="BU84" s="40" t="n"/>
      <c r="BV84" s="40" t="n"/>
      <c r="BW84" s="40" t="n"/>
      <c r="BX84" s="43" t="n"/>
      <c r="BY84" s="39" t="n"/>
      <c r="BZ84" s="39" t="n"/>
      <c r="CA84" s="39" t="n"/>
      <c r="CB84" s="39" t="n"/>
      <c r="CC84" s="39" t="n"/>
      <c r="CD84" s="39" t="n"/>
      <c r="CE84" s="39" t="n"/>
      <c r="CF84" s="39" t="n"/>
      <c r="CG84" s="47" t="n"/>
      <c r="CH84" s="47" t="n"/>
      <c r="CI84" s="47" t="n"/>
      <c r="CJ84" s="47" t="n"/>
    </row>
    <row r="85" ht="23" customHeight="1">
      <c r="A85" s="39" t="n"/>
      <c r="B85" s="39" t="n"/>
      <c r="C85" s="39" t="n"/>
      <c r="D85" s="40" t="n"/>
      <c r="E85" s="40" t="n"/>
      <c r="F85" s="39" t="n"/>
      <c r="G85" s="40" t="n"/>
      <c r="H85" s="39" t="n"/>
      <c r="I85" s="40" t="n"/>
      <c r="J85" s="40" t="n"/>
      <c r="K85" s="39" t="n"/>
      <c r="L85" s="39" t="n"/>
      <c r="M85" s="39" t="n"/>
      <c r="N85" s="39" t="n"/>
      <c r="O85" s="40" t="n"/>
      <c r="P85" s="46" t="n"/>
      <c r="Q85" s="48" t="n"/>
      <c r="R85" s="40" t="n"/>
      <c r="S85" s="40" t="n"/>
      <c r="T85" s="39" t="n"/>
      <c r="U85" s="47" t="n"/>
      <c r="V85" s="39" t="n"/>
      <c r="W85" s="39" t="n"/>
      <c r="X85" s="39" t="n"/>
      <c r="Y85" s="39" t="n"/>
      <c r="Z85" s="40" t="n"/>
      <c r="AA85" s="40" t="n"/>
      <c r="AB85" s="46" t="n"/>
      <c r="AC85" s="39" t="n"/>
      <c r="AD85" s="39" t="n"/>
      <c r="AE85" s="39" t="n"/>
      <c r="AF85" s="39" t="n"/>
      <c r="AG85" s="39" t="n"/>
      <c r="AH85" s="40" t="n"/>
      <c r="AI85" s="42" t="n"/>
      <c r="AJ85" s="50" t="n"/>
      <c r="AK85" s="46" t="n"/>
      <c r="AL85" s="43" t="n"/>
      <c r="AM85" s="43" t="n"/>
      <c r="AN85" s="40" t="n"/>
      <c r="AO85" s="40" t="n"/>
      <c r="AP85" s="40" t="n"/>
      <c r="AQ85" s="40" t="n"/>
      <c r="AR85" s="40" t="n"/>
      <c r="AS85" s="47" t="n"/>
      <c r="AT85" s="40" t="n"/>
      <c r="AU85" s="40" t="n"/>
      <c r="AV85" s="40" t="n"/>
      <c r="AW85" s="40" t="n"/>
      <c r="AX85" s="47" t="n"/>
      <c r="AY85" s="39" t="n"/>
      <c r="AZ85" s="39" t="n"/>
      <c r="BA85" s="39" t="n"/>
      <c r="BB85" s="39" t="n"/>
      <c r="BC85" s="39" t="n"/>
      <c r="BD85" s="40" t="n"/>
      <c r="BE85" s="39" t="n"/>
      <c r="BF85" s="39" t="n"/>
      <c r="BG85" s="39" t="n"/>
      <c r="BH85" s="39" t="n"/>
      <c r="BI85" s="39" t="n"/>
      <c r="BJ85" s="39" t="n"/>
      <c r="BK85" s="39" t="n"/>
      <c r="BL85" s="39" t="n"/>
      <c r="BM85" s="39" t="n"/>
      <c r="BN85" s="39" t="n"/>
      <c r="BO85" s="39" t="n"/>
      <c r="BP85" s="40" t="n"/>
      <c r="BQ85" s="40" t="n"/>
      <c r="BR85" s="40" t="n"/>
      <c r="BS85" s="40" t="n"/>
      <c r="BT85" s="40" t="n"/>
      <c r="BU85" s="40" t="n"/>
      <c r="BV85" s="40" t="n"/>
      <c r="BW85" s="40" t="n"/>
      <c r="BX85" s="43" t="n"/>
      <c r="BY85" s="39" t="n"/>
      <c r="BZ85" s="39" t="n"/>
      <c r="CA85" s="39" t="n"/>
      <c r="CB85" s="39" t="n"/>
      <c r="CC85" s="39" t="n"/>
      <c r="CD85" s="39" t="n"/>
      <c r="CE85" s="39" t="n"/>
      <c r="CF85" s="39" t="n"/>
      <c r="CG85" s="47" t="n"/>
      <c r="CH85" s="47" t="n"/>
      <c r="CI85" s="47" t="n"/>
      <c r="CJ85" s="47" t="n"/>
    </row>
    <row r="86" ht="23" customHeight="1">
      <c r="A86" s="39" t="n"/>
      <c r="B86" s="39" t="n"/>
      <c r="C86" s="39" t="n"/>
      <c r="D86" s="40" t="n"/>
      <c r="E86" s="40" t="n"/>
      <c r="F86" s="39" t="n"/>
      <c r="G86" s="40" t="n"/>
      <c r="H86" s="39" t="n"/>
      <c r="I86" s="40" t="n"/>
      <c r="J86" s="40" t="n"/>
      <c r="K86" s="39" t="n"/>
      <c r="L86" s="39" t="n"/>
      <c r="M86" s="39" t="n"/>
      <c r="N86" s="39" t="n"/>
      <c r="O86" s="40" t="n"/>
      <c r="P86" s="46" t="n"/>
      <c r="Q86" s="48" t="n"/>
      <c r="R86" s="40" t="n"/>
      <c r="S86" s="40" t="n"/>
      <c r="T86" s="39" t="n"/>
      <c r="U86" s="47" t="n"/>
      <c r="V86" s="39" t="n"/>
      <c r="W86" s="39" t="n"/>
      <c r="X86" s="39" t="n"/>
      <c r="Y86" s="39" t="n"/>
      <c r="Z86" s="40" t="n"/>
      <c r="AA86" s="40" t="n"/>
      <c r="AB86" s="46" t="n"/>
      <c r="AC86" s="39" t="n"/>
      <c r="AD86" s="39" t="n"/>
      <c r="AE86" s="39" t="n"/>
      <c r="AF86" s="39" t="n"/>
      <c r="AG86" s="39" t="n"/>
      <c r="AH86" s="40" t="n"/>
      <c r="AI86" s="42" t="n"/>
      <c r="AJ86" s="50" t="n"/>
      <c r="AK86" s="46" t="n"/>
      <c r="AL86" s="43" t="n"/>
      <c r="AM86" s="43" t="n"/>
      <c r="AN86" s="40" t="n"/>
      <c r="AO86" s="40" t="n"/>
      <c r="AP86" s="40" t="n"/>
      <c r="AQ86" s="40" t="n"/>
      <c r="AR86" s="40" t="n"/>
      <c r="AS86" s="47" t="n"/>
      <c r="AT86" s="40" t="n"/>
      <c r="AU86" s="40" t="n"/>
      <c r="AV86" s="40" t="n"/>
      <c r="AW86" s="40" t="n"/>
      <c r="AX86" s="47" t="n"/>
      <c r="AY86" s="39" t="n"/>
      <c r="AZ86" s="39" t="n"/>
      <c r="BA86" s="39" t="n"/>
      <c r="BB86" s="39" t="n"/>
      <c r="BC86" s="39" t="n"/>
      <c r="BD86" s="40" t="n"/>
      <c r="BE86" s="39" t="n"/>
      <c r="BF86" s="39" t="n"/>
      <c r="BG86" s="39" t="n"/>
      <c r="BH86" s="39" t="n"/>
      <c r="BI86" s="39" t="n"/>
      <c r="BJ86" s="39" t="n"/>
      <c r="BK86" s="39" t="n"/>
      <c r="BL86" s="39" t="n"/>
      <c r="BM86" s="39" t="n"/>
      <c r="BN86" s="39" t="n"/>
      <c r="BO86" s="39" t="n"/>
      <c r="BP86" s="40" t="n"/>
      <c r="BQ86" s="40" t="n"/>
      <c r="BR86" s="40" t="n"/>
      <c r="BS86" s="40" t="n"/>
      <c r="BT86" s="40" t="n"/>
      <c r="BU86" s="40" t="n"/>
      <c r="BV86" s="40" t="n"/>
      <c r="BW86" s="40" t="n"/>
      <c r="BX86" s="43" t="n"/>
      <c r="BY86" s="39" t="n"/>
      <c r="BZ86" s="39" t="n"/>
      <c r="CA86" s="39" t="n"/>
      <c r="CB86" s="39" t="n"/>
      <c r="CC86" s="39" t="n"/>
      <c r="CD86" s="39" t="n"/>
      <c r="CE86" s="39" t="n"/>
      <c r="CF86" s="39" t="n"/>
      <c r="CG86" s="47" t="n"/>
      <c r="CH86" s="47" t="n"/>
      <c r="CI86" s="47" t="n"/>
      <c r="CJ86" s="47" t="n"/>
    </row>
    <row r="87" ht="23" customHeight="1">
      <c r="A87" s="39" t="n"/>
      <c r="B87" s="39" t="n"/>
      <c r="C87" s="39" t="n"/>
      <c r="D87" s="40" t="n"/>
      <c r="E87" s="40" t="n"/>
      <c r="F87" s="39" t="n"/>
      <c r="G87" s="40" t="n"/>
      <c r="H87" s="39" t="n"/>
      <c r="I87" s="40" t="n"/>
      <c r="J87" s="40" t="n"/>
      <c r="K87" s="39" t="n"/>
      <c r="L87" s="39" t="n"/>
      <c r="M87" s="39" t="n"/>
      <c r="N87" s="39" t="n"/>
      <c r="O87" s="40" t="n"/>
      <c r="P87" s="46" t="n"/>
      <c r="Q87" s="48" t="n"/>
      <c r="R87" s="40" t="n"/>
      <c r="S87" s="40" t="n"/>
      <c r="T87" s="39" t="n"/>
      <c r="U87" s="47" t="n"/>
      <c r="V87" s="39" t="n"/>
      <c r="W87" s="39" t="n"/>
      <c r="X87" s="39" t="n"/>
      <c r="Y87" s="39" t="n"/>
      <c r="Z87" s="40" t="n"/>
      <c r="AA87" s="40" t="n"/>
      <c r="AB87" s="46" t="n"/>
      <c r="AC87" s="39" t="n"/>
      <c r="AD87" s="39" t="n"/>
      <c r="AE87" s="39" t="n"/>
      <c r="AF87" s="39" t="n"/>
      <c r="AG87" s="39" t="n"/>
      <c r="AH87" s="40" t="n"/>
      <c r="AI87" s="42" t="n"/>
      <c r="AJ87" s="50" t="n"/>
      <c r="AK87" s="46" t="n"/>
      <c r="AL87" s="43" t="n"/>
      <c r="AM87" s="43" t="n"/>
      <c r="AN87" s="40" t="n"/>
      <c r="AO87" s="40" t="n"/>
      <c r="AP87" s="40" t="n"/>
      <c r="AQ87" s="40" t="n"/>
      <c r="AR87" s="40" t="n"/>
      <c r="AS87" s="47" t="n"/>
      <c r="AT87" s="40" t="n"/>
      <c r="AU87" s="40" t="n"/>
      <c r="AV87" s="40" t="n"/>
      <c r="AW87" s="40" t="n"/>
      <c r="AX87" s="47" t="n"/>
      <c r="AY87" s="39" t="n"/>
      <c r="AZ87" s="39" t="n"/>
      <c r="BA87" s="39" t="n"/>
      <c r="BB87" s="39" t="n"/>
      <c r="BC87" s="39" t="n"/>
      <c r="BD87" s="40" t="n"/>
      <c r="BE87" s="39" t="n"/>
      <c r="BF87" s="39" t="n"/>
      <c r="BG87" s="39" t="n"/>
      <c r="BH87" s="39" t="n"/>
      <c r="BI87" s="39" t="n"/>
      <c r="BJ87" s="39" t="n"/>
      <c r="BK87" s="39" t="n"/>
      <c r="BL87" s="39" t="n"/>
      <c r="BM87" s="39" t="n"/>
      <c r="BN87" s="39" t="n"/>
      <c r="BO87" s="39" t="n"/>
      <c r="BP87" s="40" t="n"/>
      <c r="BQ87" s="40" t="n"/>
      <c r="BR87" s="40" t="n"/>
      <c r="BS87" s="40" t="n"/>
      <c r="BT87" s="40" t="n"/>
      <c r="BU87" s="40" t="n"/>
      <c r="BV87" s="40" t="n"/>
      <c r="BW87" s="40" t="n"/>
      <c r="BX87" s="43" t="n"/>
      <c r="BY87" s="39" t="n"/>
      <c r="BZ87" s="39" t="n"/>
      <c r="CA87" s="39" t="n"/>
      <c r="CB87" s="39" t="n"/>
      <c r="CC87" s="39" t="n"/>
      <c r="CD87" s="39" t="n"/>
      <c r="CE87" s="39" t="n"/>
      <c r="CF87" s="39" t="n"/>
      <c r="CG87" s="47" t="n"/>
      <c r="CH87" s="47" t="n"/>
      <c r="CI87" s="47" t="n"/>
      <c r="CJ87" s="47" t="n"/>
    </row>
    <row r="88" ht="23" customHeight="1">
      <c r="A88" s="39" t="n"/>
      <c r="B88" s="39" t="n"/>
      <c r="C88" s="39" t="n"/>
      <c r="D88" s="40" t="n"/>
      <c r="E88" s="40" t="n"/>
      <c r="F88" s="39" t="n"/>
      <c r="G88" s="40" t="n"/>
      <c r="H88" s="39" t="n"/>
      <c r="I88" s="40" t="n"/>
      <c r="J88" s="40" t="n"/>
      <c r="K88" s="39" t="n"/>
      <c r="L88" s="39" t="n"/>
      <c r="M88" s="39" t="n"/>
      <c r="N88" s="39" t="n"/>
      <c r="O88" s="40" t="n"/>
      <c r="P88" s="46" t="n"/>
      <c r="Q88" s="48" t="n"/>
      <c r="R88" s="40" t="n"/>
      <c r="S88" s="40" t="n"/>
      <c r="T88" s="39" t="n"/>
      <c r="U88" s="47" t="n"/>
      <c r="V88" s="39" t="n"/>
      <c r="W88" s="39" t="n"/>
      <c r="X88" s="39" t="n"/>
      <c r="Y88" s="39" t="n"/>
      <c r="Z88" s="40" t="n"/>
      <c r="AA88" s="40" t="n"/>
      <c r="AB88" s="46" t="n"/>
      <c r="AC88" s="39" t="n"/>
      <c r="AD88" s="39" t="n"/>
      <c r="AE88" s="39" t="n"/>
      <c r="AF88" s="39" t="n"/>
      <c r="AG88" s="39" t="n"/>
      <c r="AH88" s="40" t="n"/>
      <c r="AI88" s="42" t="n"/>
      <c r="AJ88" s="50" t="n"/>
      <c r="AK88" s="46" t="n"/>
      <c r="AL88" s="43" t="n"/>
      <c r="AM88" s="43" t="n"/>
      <c r="AN88" s="40" t="n"/>
      <c r="AO88" s="40" t="n"/>
      <c r="AP88" s="40" t="n"/>
      <c r="AQ88" s="40" t="n"/>
      <c r="AR88" s="40" t="n"/>
      <c r="AS88" s="47" t="n"/>
      <c r="AT88" s="40" t="n"/>
      <c r="AU88" s="40" t="n"/>
      <c r="AV88" s="40" t="n"/>
      <c r="AW88" s="40" t="n"/>
      <c r="AX88" s="47" t="n"/>
      <c r="AY88" s="39" t="n"/>
      <c r="AZ88" s="39" t="n"/>
      <c r="BA88" s="39" t="n"/>
      <c r="BB88" s="39" t="n"/>
      <c r="BC88" s="39" t="n"/>
      <c r="BD88" s="40" t="n"/>
      <c r="BE88" s="39" t="n"/>
      <c r="BF88" s="39" t="n"/>
      <c r="BG88" s="39" t="n"/>
      <c r="BH88" s="39" t="n"/>
      <c r="BI88" s="39" t="n"/>
      <c r="BJ88" s="39" t="n"/>
      <c r="BK88" s="39" t="n"/>
      <c r="BL88" s="39" t="n"/>
      <c r="BM88" s="39" t="n"/>
      <c r="BN88" s="39" t="n"/>
      <c r="BO88" s="39" t="n"/>
      <c r="BP88" s="40" t="n"/>
      <c r="BQ88" s="40" t="n"/>
      <c r="BR88" s="40" t="n"/>
      <c r="BS88" s="40" t="n"/>
      <c r="BT88" s="40" t="n"/>
      <c r="BU88" s="40" t="n"/>
      <c r="BV88" s="40" t="n"/>
      <c r="BW88" s="40" t="n"/>
      <c r="BX88" s="43" t="n"/>
      <c r="BY88" s="39" t="n"/>
      <c r="BZ88" s="39" t="n"/>
      <c r="CA88" s="39" t="n"/>
      <c r="CB88" s="39" t="n"/>
      <c r="CC88" s="39" t="n"/>
      <c r="CD88" s="39" t="n"/>
      <c r="CE88" s="39" t="n"/>
      <c r="CF88" s="39" t="n"/>
      <c r="CG88" s="47" t="n"/>
      <c r="CH88" s="47" t="n"/>
      <c r="CI88" s="47" t="n"/>
      <c r="CJ88" s="47" t="n"/>
    </row>
    <row r="89" ht="23" customHeight="1">
      <c r="A89" s="39" t="n"/>
      <c r="B89" s="39" t="n"/>
      <c r="C89" s="39" t="n"/>
      <c r="D89" s="40" t="n"/>
      <c r="E89" s="40" t="n"/>
      <c r="F89" s="39" t="n"/>
      <c r="G89" s="40" t="n"/>
      <c r="H89" s="39" t="n"/>
      <c r="I89" s="40" t="n"/>
      <c r="J89" s="40" t="n"/>
      <c r="K89" s="39" t="n"/>
      <c r="L89" s="39" t="n"/>
      <c r="M89" s="39" t="n"/>
      <c r="N89" s="39" t="n"/>
      <c r="O89" s="40" t="n"/>
      <c r="P89" s="46" t="n"/>
      <c r="Q89" s="48" t="n"/>
      <c r="R89" s="40" t="n"/>
      <c r="S89" s="40" t="n"/>
      <c r="T89" s="39" t="n"/>
      <c r="U89" s="47" t="n"/>
      <c r="V89" s="39" t="n"/>
      <c r="W89" s="39" t="n"/>
      <c r="X89" s="39" t="n"/>
      <c r="Y89" s="39" t="n"/>
      <c r="Z89" s="40" t="n"/>
      <c r="AA89" s="40" t="n"/>
      <c r="AB89" s="46" t="n"/>
      <c r="AC89" s="39" t="n"/>
      <c r="AD89" s="39" t="n"/>
      <c r="AE89" s="39" t="n"/>
      <c r="AF89" s="39" t="n"/>
      <c r="AG89" s="39" t="n"/>
      <c r="AH89" s="40" t="n"/>
      <c r="AI89" s="42" t="n"/>
      <c r="AJ89" s="50" t="n"/>
      <c r="AK89" s="46" t="n"/>
      <c r="AL89" s="43" t="n"/>
      <c r="AM89" s="43" t="n"/>
      <c r="AN89" s="40" t="n"/>
      <c r="AO89" s="40" t="n"/>
      <c r="AP89" s="40" t="n"/>
      <c r="AQ89" s="40" t="n"/>
      <c r="AR89" s="40" t="n"/>
      <c r="AS89" s="47" t="n"/>
      <c r="AT89" s="40" t="n"/>
      <c r="AU89" s="40" t="n"/>
      <c r="AV89" s="40" t="n"/>
      <c r="AW89" s="40" t="n"/>
      <c r="AX89" s="47" t="n"/>
      <c r="AY89" s="39" t="n"/>
      <c r="AZ89" s="39" t="n"/>
      <c r="BA89" s="39" t="n"/>
      <c r="BB89" s="39" t="n"/>
      <c r="BC89" s="39" t="n"/>
      <c r="BD89" s="40" t="n"/>
      <c r="BE89" s="39" t="n"/>
      <c r="BF89" s="39" t="n"/>
      <c r="BG89" s="39" t="n"/>
      <c r="BH89" s="39" t="n"/>
      <c r="BI89" s="39" t="n"/>
      <c r="BJ89" s="39" t="n"/>
      <c r="BK89" s="39" t="n"/>
      <c r="BL89" s="39" t="n"/>
      <c r="BM89" s="39" t="n"/>
      <c r="BN89" s="39" t="n"/>
      <c r="BO89" s="39" t="n"/>
      <c r="BP89" s="40" t="n"/>
      <c r="BQ89" s="40" t="n"/>
      <c r="BR89" s="40" t="n"/>
      <c r="BS89" s="40" t="n"/>
      <c r="BT89" s="40" t="n"/>
      <c r="BU89" s="40" t="n"/>
      <c r="BV89" s="40" t="n"/>
      <c r="BW89" s="40" t="n"/>
      <c r="BX89" s="43" t="n"/>
      <c r="BY89" s="39" t="n"/>
      <c r="BZ89" s="39" t="n"/>
      <c r="CA89" s="39" t="n"/>
      <c r="CB89" s="39" t="n"/>
      <c r="CC89" s="39" t="n"/>
      <c r="CD89" s="39" t="n"/>
      <c r="CE89" s="39" t="n"/>
      <c r="CF89" s="39" t="n"/>
      <c r="CG89" s="47" t="n"/>
      <c r="CH89" s="47" t="n"/>
      <c r="CI89" s="47" t="n"/>
      <c r="CJ89" s="47" t="n"/>
    </row>
    <row r="90" ht="23" customHeight="1">
      <c r="A90" s="39" t="n"/>
      <c r="B90" s="39" t="n"/>
      <c r="C90" s="39" t="n"/>
      <c r="D90" s="40" t="n"/>
      <c r="E90" s="40" t="n"/>
      <c r="F90" s="39" t="n"/>
      <c r="G90" s="40" t="n"/>
      <c r="H90" s="39" t="n"/>
      <c r="I90" s="40" t="n"/>
      <c r="J90" s="40" t="n"/>
      <c r="K90" s="39" t="n"/>
      <c r="L90" s="39" t="n"/>
      <c r="M90" s="39" t="n"/>
      <c r="N90" s="39" t="n"/>
      <c r="O90" s="40" t="n"/>
      <c r="P90" s="46" t="n"/>
      <c r="Q90" s="48" t="n"/>
      <c r="R90" s="40" t="n"/>
      <c r="S90" s="40" t="n"/>
      <c r="T90" s="39" t="n"/>
      <c r="U90" s="47" t="n"/>
      <c r="V90" s="39" t="n"/>
      <c r="W90" s="39" t="n"/>
      <c r="X90" s="39" t="n"/>
      <c r="Y90" s="39" t="n"/>
      <c r="Z90" s="40" t="n"/>
      <c r="AA90" s="40" t="n"/>
      <c r="AB90" s="46" t="n"/>
      <c r="AC90" s="39" t="n"/>
      <c r="AD90" s="39" t="n"/>
      <c r="AE90" s="39" t="n"/>
      <c r="AF90" s="39" t="n"/>
      <c r="AG90" s="39" t="n"/>
      <c r="AH90" s="40" t="n"/>
      <c r="AI90" s="42" t="n"/>
      <c r="AJ90" s="50" t="n"/>
      <c r="AK90" s="46" t="n"/>
      <c r="AL90" s="43" t="n"/>
      <c r="AM90" s="43" t="n"/>
      <c r="AN90" s="40" t="n"/>
      <c r="AO90" s="40" t="n"/>
      <c r="AP90" s="40" t="n"/>
      <c r="AQ90" s="40" t="n"/>
      <c r="AR90" s="40" t="n"/>
      <c r="AS90" s="47" t="n"/>
      <c r="AT90" s="40" t="n"/>
      <c r="AU90" s="40" t="n"/>
      <c r="AV90" s="40" t="n"/>
      <c r="AW90" s="40" t="n"/>
      <c r="AX90" s="47" t="n"/>
      <c r="AY90" s="39" t="n"/>
      <c r="AZ90" s="39" t="n"/>
      <c r="BA90" s="39" t="n"/>
      <c r="BB90" s="39" t="n"/>
      <c r="BC90" s="39" t="n"/>
      <c r="BD90" s="40" t="n"/>
      <c r="BE90" s="39" t="n"/>
      <c r="BF90" s="39" t="n"/>
      <c r="BG90" s="39" t="n"/>
      <c r="BH90" s="39" t="n"/>
      <c r="BI90" s="39" t="n"/>
      <c r="BJ90" s="39" t="n"/>
      <c r="BK90" s="39" t="n"/>
      <c r="BL90" s="39" t="n"/>
      <c r="BM90" s="39" t="n"/>
      <c r="BN90" s="39" t="n"/>
      <c r="BO90" s="39" t="n"/>
      <c r="BP90" s="40" t="n"/>
      <c r="BQ90" s="40" t="n"/>
      <c r="BR90" s="40" t="n"/>
      <c r="BS90" s="40" t="n"/>
      <c r="BT90" s="40" t="n"/>
      <c r="BU90" s="40" t="n"/>
      <c r="BV90" s="40" t="n"/>
      <c r="BW90" s="40" t="n"/>
      <c r="BX90" s="43" t="n"/>
      <c r="BY90" s="39" t="n"/>
      <c r="BZ90" s="39" t="n"/>
      <c r="CA90" s="39" t="n"/>
      <c r="CB90" s="39" t="n"/>
      <c r="CC90" s="39" t="n"/>
      <c r="CD90" s="39" t="n"/>
      <c r="CE90" s="39" t="n"/>
      <c r="CF90" s="39" t="n"/>
      <c r="CG90" s="47" t="n"/>
      <c r="CH90" s="47" t="n"/>
      <c r="CI90" s="47" t="n"/>
      <c r="CJ90" s="47" t="n"/>
    </row>
    <row r="91" ht="23" customHeight="1">
      <c r="A91" s="39" t="n"/>
      <c r="B91" s="39" t="n"/>
      <c r="C91" s="39" t="n"/>
      <c r="D91" s="40" t="n"/>
      <c r="E91" s="40" t="n"/>
      <c r="F91" s="39" t="n"/>
      <c r="G91" s="40" t="n"/>
      <c r="H91" s="39" t="n"/>
      <c r="I91" s="40" t="n"/>
      <c r="J91" s="40" t="n"/>
      <c r="K91" s="39" t="n"/>
      <c r="L91" s="39" t="n"/>
      <c r="M91" s="39" t="n"/>
      <c r="N91" s="39" t="n"/>
      <c r="O91" s="40" t="n"/>
      <c r="P91" s="46" t="n"/>
      <c r="Q91" s="48" t="n"/>
      <c r="R91" s="40" t="n"/>
      <c r="S91" s="40" t="n"/>
      <c r="T91" s="39" t="n"/>
      <c r="U91" s="47" t="n"/>
      <c r="V91" s="39" t="n"/>
      <c r="W91" s="39" t="n"/>
      <c r="X91" s="39" t="n"/>
      <c r="Y91" s="39" t="n"/>
      <c r="Z91" s="40" t="n"/>
      <c r="AA91" s="40" t="n"/>
      <c r="AB91" s="46" t="n"/>
      <c r="AC91" s="39" t="n"/>
      <c r="AD91" s="39" t="n"/>
      <c r="AE91" s="39" t="n"/>
      <c r="AF91" s="39" t="n"/>
      <c r="AG91" s="39" t="n"/>
      <c r="AH91" s="40" t="n"/>
      <c r="AI91" s="42" t="n"/>
      <c r="AJ91" s="50" t="n"/>
      <c r="AK91" s="46" t="n"/>
      <c r="AL91" s="43" t="n"/>
      <c r="AM91" s="43" t="n"/>
      <c r="AN91" s="40" t="n"/>
      <c r="AO91" s="40" t="n"/>
      <c r="AP91" s="40" t="n"/>
      <c r="AQ91" s="40" t="n"/>
      <c r="AR91" s="40" t="n"/>
      <c r="AS91" s="47" t="n"/>
      <c r="AT91" s="40" t="n"/>
      <c r="AU91" s="40" t="n"/>
      <c r="AV91" s="40" t="n"/>
      <c r="AW91" s="40" t="n"/>
      <c r="AX91" s="47" t="n"/>
      <c r="AY91" s="39" t="n"/>
      <c r="AZ91" s="39" t="n"/>
      <c r="BA91" s="39" t="n"/>
      <c r="BB91" s="39" t="n"/>
      <c r="BC91" s="39" t="n"/>
      <c r="BD91" s="40" t="n"/>
      <c r="BE91" s="39" t="n"/>
      <c r="BF91" s="39" t="n"/>
      <c r="BG91" s="39" t="n"/>
      <c r="BH91" s="39" t="n"/>
      <c r="BI91" s="39" t="n"/>
      <c r="BJ91" s="39" t="n"/>
      <c r="BK91" s="39" t="n"/>
      <c r="BL91" s="39" t="n"/>
      <c r="BM91" s="39" t="n"/>
      <c r="BN91" s="39" t="n"/>
      <c r="BO91" s="39" t="n"/>
      <c r="BP91" s="40" t="n"/>
      <c r="BQ91" s="40" t="n"/>
      <c r="BR91" s="40" t="n"/>
      <c r="BS91" s="40" t="n"/>
      <c r="BT91" s="40" t="n"/>
      <c r="BU91" s="40" t="n"/>
      <c r="BV91" s="40" t="n"/>
      <c r="BW91" s="40" t="n"/>
      <c r="BX91" s="43" t="n"/>
      <c r="BY91" s="39" t="n"/>
      <c r="BZ91" s="39" t="n"/>
      <c r="CA91" s="39" t="n"/>
      <c r="CB91" s="39" t="n"/>
      <c r="CC91" s="39" t="n"/>
      <c r="CD91" s="39" t="n"/>
      <c r="CE91" s="39" t="n"/>
      <c r="CF91" s="39" t="n"/>
      <c r="CG91" s="47" t="n"/>
      <c r="CH91" s="47" t="n"/>
      <c r="CI91" s="47" t="n"/>
      <c r="CJ91" s="47" t="n"/>
    </row>
    <row r="92" ht="23" customHeight="1">
      <c r="A92" s="39" t="n"/>
      <c r="B92" s="39" t="n"/>
      <c r="C92" s="39" t="n"/>
      <c r="D92" s="40" t="n"/>
      <c r="E92" s="40" t="n"/>
      <c r="F92" s="39" t="n"/>
      <c r="G92" s="40" t="n"/>
      <c r="H92" s="39" t="n"/>
      <c r="I92" s="40" t="n"/>
      <c r="J92" s="40" t="n"/>
      <c r="K92" s="39" t="n"/>
      <c r="L92" s="39" t="n"/>
      <c r="M92" s="39" t="n"/>
      <c r="N92" s="39" t="n"/>
      <c r="O92" s="40" t="n"/>
      <c r="P92" s="46" t="n"/>
      <c r="Q92" s="48" t="n"/>
      <c r="R92" s="40" t="n"/>
      <c r="S92" s="40" t="n"/>
      <c r="T92" s="39" t="n"/>
      <c r="U92" s="47" t="n"/>
      <c r="V92" s="39" t="n"/>
      <c r="W92" s="39" t="n"/>
      <c r="X92" s="39" t="n"/>
      <c r="Y92" s="39" t="n"/>
      <c r="Z92" s="40" t="n"/>
      <c r="AA92" s="40" t="n"/>
      <c r="AB92" s="46" t="n"/>
      <c r="AC92" s="39" t="n"/>
      <c r="AD92" s="39" t="n"/>
      <c r="AE92" s="39" t="n"/>
      <c r="AF92" s="39" t="n"/>
      <c r="AG92" s="39" t="n"/>
      <c r="AH92" s="40" t="n"/>
      <c r="AI92" s="42" t="n"/>
      <c r="AJ92" s="50" t="n"/>
      <c r="AK92" s="46" t="n"/>
      <c r="AL92" s="43" t="n"/>
      <c r="AM92" s="43" t="n"/>
      <c r="AN92" s="40" t="n"/>
      <c r="AO92" s="40" t="n"/>
      <c r="AP92" s="40" t="n"/>
      <c r="AQ92" s="40" t="n"/>
      <c r="AR92" s="40" t="n"/>
      <c r="AS92" s="47" t="n"/>
      <c r="AT92" s="40" t="n"/>
      <c r="AU92" s="40" t="n"/>
      <c r="AV92" s="40" t="n"/>
      <c r="AW92" s="40" t="n"/>
      <c r="AX92" s="47" t="n"/>
      <c r="AY92" s="39" t="n"/>
      <c r="AZ92" s="39" t="n"/>
      <c r="BA92" s="39" t="n"/>
      <c r="BB92" s="39" t="n"/>
      <c r="BC92" s="39" t="n"/>
      <c r="BD92" s="40" t="n"/>
      <c r="BE92" s="39" t="n"/>
      <c r="BF92" s="39" t="n"/>
      <c r="BG92" s="39" t="n"/>
      <c r="BH92" s="39" t="n"/>
      <c r="BI92" s="39" t="n"/>
      <c r="BJ92" s="39" t="n"/>
      <c r="BK92" s="39" t="n"/>
      <c r="BL92" s="39" t="n"/>
      <c r="BM92" s="39" t="n"/>
      <c r="BN92" s="39" t="n"/>
      <c r="BO92" s="39" t="n"/>
      <c r="BP92" s="40" t="n"/>
      <c r="BQ92" s="40" t="n"/>
      <c r="BR92" s="40" t="n"/>
      <c r="BS92" s="40" t="n"/>
      <c r="BT92" s="40" t="n"/>
      <c r="BU92" s="40" t="n"/>
      <c r="BV92" s="40" t="n"/>
      <c r="BW92" s="40" t="n"/>
      <c r="BX92" s="43" t="n"/>
      <c r="BY92" s="39" t="n"/>
      <c r="BZ92" s="39" t="n"/>
      <c r="CA92" s="39" t="n"/>
      <c r="CB92" s="39" t="n"/>
      <c r="CC92" s="39" t="n"/>
      <c r="CD92" s="39" t="n"/>
      <c r="CE92" s="39" t="n"/>
      <c r="CF92" s="39" t="n"/>
      <c r="CG92" s="47" t="n"/>
      <c r="CH92" s="47" t="n"/>
      <c r="CI92" s="47" t="n"/>
      <c r="CJ92" s="47" t="n"/>
    </row>
    <row r="93" ht="23" customHeight="1">
      <c r="A93" s="39" t="n"/>
      <c r="B93" s="39" t="n"/>
      <c r="C93" s="39" t="n"/>
      <c r="D93" s="40" t="n"/>
      <c r="E93" s="40" t="n"/>
      <c r="F93" s="39" t="n"/>
      <c r="G93" s="40" t="n"/>
      <c r="H93" s="39" t="n"/>
      <c r="I93" s="40" t="n"/>
      <c r="J93" s="40" t="n"/>
      <c r="K93" s="39" t="n"/>
      <c r="L93" s="39" t="n"/>
      <c r="M93" s="39" t="n"/>
      <c r="N93" s="39" t="n"/>
      <c r="O93" s="40" t="n"/>
      <c r="P93" s="46" t="n"/>
      <c r="Q93" s="48" t="n"/>
      <c r="R93" s="40" t="n"/>
      <c r="S93" s="40" t="n"/>
      <c r="T93" s="39" t="n"/>
      <c r="U93" s="47" t="n"/>
      <c r="V93" s="39" t="n"/>
      <c r="W93" s="39" t="n"/>
      <c r="X93" s="39" t="n"/>
      <c r="Y93" s="39" t="n"/>
      <c r="Z93" s="40" t="n"/>
      <c r="AA93" s="40" t="n"/>
      <c r="AB93" s="46" t="n"/>
      <c r="AC93" s="39" t="n"/>
      <c r="AD93" s="39" t="n"/>
      <c r="AE93" s="39" t="n"/>
      <c r="AF93" s="39" t="n"/>
      <c r="AG93" s="39" t="n"/>
      <c r="AH93" s="40" t="n"/>
      <c r="AI93" s="42" t="n"/>
      <c r="AJ93" s="50" t="n"/>
      <c r="AK93" s="46" t="n"/>
      <c r="AL93" s="43" t="n"/>
      <c r="AM93" s="43" t="n"/>
      <c r="AN93" s="40" t="n"/>
      <c r="AO93" s="40" t="n"/>
      <c r="AP93" s="40" t="n"/>
      <c r="AQ93" s="40" t="n"/>
      <c r="AR93" s="40" t="n"/>
      <c r="AS93" s="47" t="n"/>
      <c r="AT93" s="40" t="n"/>
      <c r="AU93" s="40" t="n"/>
      <c r="AV93" s="40" t="n"/>
      <c r="AW93" s="40" t="n"/>
      <c r="AX93" s="47" t="n"/>
      <c r="AY93" s="39" t="n"/>
      <c r="AZ93" s="39" t="n"/>
      <c r="BA93" s="39" t="n"/>
      <c r="BB93" s="39" t="n"/>
      <c r="BC93" s="39" t="n"/>
      <c r="BD93" s="40" t="n"/>
      <c r="BE93" s="39" t="n"/>
      <c r="BF93" s="39" t="n"/>
      <c r="BG93" s="39" t="n"/>
      <c r="BH93" s="39" t="n"/>
      <c r="BI93" s="39" t="n"/>
      <c r="BJ93" s="39" t="n"/>
      <c r="BK93" s="39" t="n"/>
      <c r="BL93" s="39" t="n"/>
      <c r="BM93" s="39" t="n"/>
      <c r="BN93" s="39" t="n"/>
      <c r="BO93" s="39" t="n"/>
      <c r="BP93" s="40" t="n"/>
      <c r="BQ93" s="40" t="n"/>
      <c r="BR93" s="40" t="n"/>
      <c r="BS93" s="40" t="n"/>
      <c r="BT93" s="40" t="n"/>
      <c r="BU93" s="40" t="n"/>
      <c r="BV93" s="40" t="n"/>
      <c r="BW93" s="40" t="n"/>
      <c r="BX93" s="43" t="n"/>
      <c r="BY93" s="39" t="n"/>
      <c r="BZ93" s="39" t="n"/>
      <c r="CA93" s="39" t="n"/>
      <c r="CB93" s="39" t="n"/>
      <c r="CC93" s="39" t="n"/>
      <c r="CD93" s="39" t="n"/>
      <c r="CE93" s="39" t="n"/>
      <c r="CF93" s="39" t="n"/>
      <c r="CG93" s="47" t="n"/>
      <c r="CH93" s="47" t="n"/>
      <c r="CI93" s="47" t="n"/>
      <c r="CJ93" s="47" t="n"/>
    </row>
    <row r="94" ht="23" customHeight="1">
      <c r="A94" s="39" t="n"/>
      <c r="B94" s="39" t="n"/>
      <c r="C94" s="39" t="n"/>
      <c r="D94" s="40" t="n"/>
      <c r="E94" s="40" t="n"/>
      <c r="F94" s="39" t="n"/>
      <c r="G94" s="40" t="n"/>
      <c r="H94" s="39" t="n"/>
      <c r="I94" s="40" t="n"/>
      <c r="J94" s="40" t="n"/>
      <c r="K94" s="39" t="n"/>
      <c r="L94" s="39" t="n"/>
      <c r="M94" s="39" t="n"/>
      <c r="N94" s="39" t="n"/>
      <c r="O94" s="40" t="n"/>
      <c r="P94" s="46" t="n"/>
      <c r="Q94" s="48" t="n"/>
      <c r="R94" s="40" t="n"/>
      <c r="S94" s="40" t="n"/>
      <c r="T94" s="39" t="n"/>
      <c r="U94" s="47" t="n"/>
      <c r="V94" s="39" t="n"/>
      <c r="W94" s="39" t="n"/>
      <c r="X94" s="39" t="n"/>
      <c r="Y94" s="39" t="n"/>
      <c r="Z94" s="40" t="n"/>
      <c r="AA94" s="40" t="n"/>
      <c r="AB94" s="46" t="n"/>
      <c r="AC94" s="39" t="n"/>
      <c r="AD94" s="39" t="n"/>
      <c r="AE94" s="39" t="n"/>
      <c r="AF94" s="39" t="n"/>
      <c r="AG94" s="39" t="n"/>
      <c r="AH94" s="40" t="n"/>
      <c r="AI94" s="42" t="n"/>
      <c r="AJ94" s="50" t="n"/>
      <c r="AK94" s="46" t="n"/>
      <c r="AL94" s="43" t="n"/>
      <c r="AM94" s="43" t="n"/>
      <c r="AN94" s="40" t="n"/>
      <c r="AO94" s="40" t="n"/>
      <c r="AP94" s="40" t="n"/>
      <c r="AQ94" s="40" t="n"/>
      <c r="AR94" s="40" t="n"/>
      <c r="AS94" s="47" t="n"/>
      <c r="AT94" s="40" t="n"/>
      <c r="AU94" s="40" t="n"/>
      <c r="AV94" s="40" t="n"/>
      <c r="AW94" s="40" t="n"/>
      <c r="AX94" s="47" t="n"/>
      <c r="AY94" s="39" t="n"/>
      <c r="AZ94" s="39" t="n"/>
      <c r="BA94" s="39" t="n"/>
      <c r="BB94" s="39" t="n"/>
      <c r="BC94" s="39" t="n"/>
      <c r="BD94" s="40" t="n"/>
      <c r="BE94" s="39" t="n"/>
      <c r="BF94" s="39" t="n"/>
      <c r="BG94" s="39" t="n"/>
      <c r="BH94" s="39" t="n"/>
      <c r="BI94" s="39" t="n"/>
      <c r="BJ94" s="39" t="n"/>
      <c r="BK94" s="39" t="n"/>
      <c r="BL94" s="39" t="n"/>
      <c r="BM94" s="39" t="n"/>
      <c r="BN94" s="39" t="n"/>
      <c r="BO94" s="39" t="n"/>
      <c r="BP94" s="40" t="n"/>
      <c r="BQ94" s="40" t="n"/>
      <c r="BR94" s="40" t="n"/>
      <c r="BS94" s="40" t="n"/>
      <c r="BT94" s="40" t="n"/>
      <c r="BU94" s="40" t="n"/>
      <c r="BV94" s="40" t="n"/>
      <c r="BW94" s="40" t="n"/>
      <c r="BX94" s="43" t="n"/>
      <c r="BY94" s="39" t="n"/>
      <c r="BZ94" s="39" t="n"/>
      <c r="CA94" s="39" t="n"/>
      <c r="CB94" s="39" t="n"/>
      <c r="CC94" s="39" t="n"/>
      <c r="CD94" s="39" t="n"/>
      <c r="CE94" s="39" t="n"/>
      <c r="CF94" s="39" t="n"/>
      <c r="CG94" s="47" t="n"/>
      <c r="CH94" s="47" t="n"/>
      <c r="CI94" s="47" t="n"/>
      <c r="CJ94" s="47" t="n"/>
    </row>
    <row r="95" ht="23" customHeight="1">
      <c r="A95" s="39" t="n"/>
      <c r="B95" s="39" t="n"/>
      <c r="C95" s="39" t="n"/>
      <c r="D95" s="40" t="n"/>
      <c r="E95" s="40" t="n"/>
      <c r="F95" s="39" t="n"/>
      <c r="G95" s="40" t="n"/>
      <c r="H95" s="39" t="n"/>
      <c r="I95" s="40" t="n"/>
      <c r="J95" s="40" t="n"/>
      <c r="K95" s="39" t="n"/>
      <c r="L95" s="39" t="n"/>
      <c r="M95" s="39" t="n"/>
      <c r="N95" s="39" t="n"/>
      <c r="O95" s="40" t="n"/>
      <c r="P95" s="46" t="n"/>
      <c r="Q95" s="48" t="n"/>
      <c r="R95" s="40" t="n"/>
      <c r="S95" s="40" t="n"/>
      <c r="T95" s="39" t="n"/>
      <c r="U95" s="47" t="n"/>
      <c r="V95" s="39" t="n"/>
      <c r="W95" s="39" t="n"/>
      <c r="X95" s="39" t="n"/>
      <c r="Y95" s="39" t="n"/>
      <c r="Z95" s="40" t="n"/>
      <c r="AA95" s="40" t="n"/>
      <c r="AB95" s="46" t="n"/>
      <c r="AC95" s="39" t="n"/>
      <c r="AD95" s="39" t="n"/>
      <c r="AE95" s="39" t="n"/>
      <c r="AF95" s="39" t="n"/>
      <c r="AG95" s="39" t="n"/>
      <c r="AH95" s="40" t="n"/>
      <c r="AI95" s="42" t="n"/>
      <c r="AJ95" s="50" t="n"/>
      <c r="AK95" s="46" t="n"/>
      <c r="AL95" s="43" t="n"/>
      <c r="AM95" s="43" t="n"/>
      <c r="AN95" s="40" t="n"/>
      <c r="AO95" s="40" t="n"/>
      <c r="AP95" s="40" t="n"/>
      <c r="AQ95" s="40" t="n"/>
      <c r="AR95" s="40" t="n"/>
      <c r="AS95" s="47" t="n"/>
      <c r="AT95" s="40" t="n"/>
      <c r="AU95" s="40" t="n"/>
      <c r="AV95" s="40" t="n"/>
      <c r="AW95" s="40" t="n"/>
      <c r="AX95" s="47" t="n"/>
      <c r="AY95" s="39" t="n"/>
      <c r="AZ95" s="39" t="n"/>
      <c r="BA95" s="39" t="n"/>
      <c r="BB95" s="39" t="n"/>
      <c r="BC95" s="39" t="n"/>
      <c r="BD95" s="40" t="n"/>
      <c r="BE95" s="39" t="n"/>
      <c r="BF95" s="39" t="n"/>
      <c r="BG95" s="39" t="n"/>
      <c r="BH95" s="39" t="n"/>
      <c r="BI95" s="39" t="n"/>
      <c r="BJ95" s="39" t="n"/>
      <c r="BK95" s="39" t="n"/>
      <c r="BL95" s="39" t="n"/>
      <c r="BM95" s="39" t="n"/>
      <c r="BN95" s="39" t="n"/>
      <c r="BO95" s="39" t="n"/>
      <c r="BP95" s="40" t="n"/>
      <c r="BQ95" s="40" t="n"/>
      <c r="BR95" s="40" t="n"/>
      <c r="BS95" s="40" t="n"/>
      <c r="BT95" s="40" t="n"/>
      <c r="BU95" s="40" t="n"/>
      <c r="BV95" s="40" t="n"/>
      <c r="BW95" s="40" t="n"/>
      <c r="BX95" s="43" t="n"/>
      <c r="BY95" s="39" t="n"/>
      <c r="BZ95" s="39" t="n"/>
      <c r="CA95" s="39" t="n"/>
      <c r="CB95" s="39" t="n"/>
      <c r="CC95" s="39" t="n"/>
      <c r="CD95" s="39" t="n"/>
      <c r="CE95" s="39" t="n"/>
      <c r="CF95" s="39" t="n"/>
      <c r="CG95" s="47" t="n"/>
      <c r="CH95" s="47" t="n"/>
      <c r="CI95" s="47" t="n"/>
      <c r="CJ95" s="47" t="n"/>
    </row>
    <row r="96" ht="23" customHeight="1">
      <c r="A96" s="39" t="n"/>
      <c r="B96" s="39" t="n"/>
      <c r="C96" s="39" t="n"/>
      <c r="D96" s="40" t="n"/>
      <c r="E96" s="40" t="n"/>
      <c r="F96" s="39" t="n"/>
      <c r="G96" s="40" t="n"/>
      <c r="H96" s="39" t="n"/>
      <c r="I96" s="40" t="n"/>
      <c r="J96" s="40" t="n"/>
      <c r="K96" s="39" t="n"/>
      <c r="L96" s="39" t="n"/>
      <c r="M96" s="39" t="n"/>
      <c r="N96" s="39" t="n"/>
      <c r="O96" s="40" t="n"/>
      <c r="P96" s="46" t="n"/>
      <c r="Q96" s="48" t="n"/>
      <c r="R96" s="40" t="n"/>
      <c r="S96" s="40" t="n"/>
      <c r="T96" s="39" t="n"/>
      <c r="U96" s="47" t="n"/>
      <c r="V96" s="39" t="n"/>
      <c r="W96" s="39" t="n"/>
      <c r="X96" s="39" t="n"/>
      <c r="Y96" s="39" t="n"/>
      <c r="Z96" s="40" t="n"/>
      <c r="AA96" s="40" t="n"/>
      <c r="AB96" s="46" t="n"/>
      <c r="AC96" s="39" t="n"/>
      <c r="AD96" s="39" t="n"/>
      <c r="AE96" s="39" t="n"/>
      <c r="AF96" s="39" t="n"/>
      <c r="AG96" s="39" t="n"/>
      <c r="AH96" s="40" t="n"/>
      <c r="AI96" s="42" t="n"/>
      <c r="AJ96" s="50" t="n"/>
      <c r="AK96" s="46" t="n"/>
      <c r="AL96" s="43" t="n"/>
      <c r="AM96" s="43" t="n"/>
      <c r="AN96" s="40" t="n"/>
      <c r="AO96" s="40" t="n"/>
      <c r="AP96" s="40" t="n"/>
      <c r="AQ96" s="40" t="n"/>
      <c r="AR96" s="40" t="n"/>
      <c r="AS96" s="47" t="n"/>
      <c r="AT96" s="40" t="n"/>
      <c r="AU96" s="40" t="n"/>
      <c r="AV96" s="40" t="n"/>
      <c r="AW96" s="40" t="n"/>
      <c r="AX96" s="47" t="n"/>
      <c r="AY96" s="39" t="n"/>
      <c r="AZ96" s="39" t="n"/>
      <c r="BA96" s="39" t="n"/>
      <c r="BB96" s="39" t="n"/>
      <c r="BC96" s="39" t="n"/>
      <c r="BD96" s="40" t="n"/>
      <c r="BE96" s="39" t="n"/>
      <c r="BF96" s="39" t="n"/>
      <c r="BG96" s="39" t="n"/>
      <c r="BH96" s="39" t="n"/>
      <c r="BI96" s="39" t="n"/>
      <c r="BJ96" s="39" t="n"/>
      <c r="BK96" s="39" t="n"/>
      <c r="BL96" s="39" t="n"/>
      <c r="BM96" s="39" t="n"/>
      <c r="BN96" s="39" t="n"/>
      <c r="BO96" s="39" t="n"/>
      <c r="BP96" s="40" t="n"/>
      <c r="BQ96" s="40" t="n"/>
      <c r="BR96" s="40" t="n"/>
      <c r="BS96" s="40" t="n"/>
      <c r="BT96" s="40" t="n"/>
      <c r="BU96" s="40" t="n"/>
      <c r="BV96" s="40" t="n"/>
      <c r="BW96" s="40" t="n"/>
      <c r="BX96" s="43" t="n"/>
      <c r="BY96" s="39" t="n"/>
      <c r="BZ96" s="39" t="n"/>
      <c r="CA96" s="39" t="n"/>
      <c r="CB96" s="39" t="n"/>
      <c r="CC96" s="39" t="n"/>
      <c r="CD96" s="39" t="n"/>
      <c r="CE96" s="39" t="n"/>
      <c r="CF96" s="39" t="n"/>
      <c r="CG96" s="47" t="n"/>
      <c r="CH96" s="47" t="n"/>
      <c r="CI96" s="47" t="n"/>
      <c r="CJ96" s="47" t="n"/>
    </row>
    <row r="97" ht="23" customHeight="1">
      <c r="A97" s="39" t="n"/>
      <c r="B97" s="39" t="n"/>
      <c r="C97" s="39" t="n"/>
      <c r="D97" s="40" t="n"/>
      <c r="E97" s="40" t="n"/>
      <c r="F97" s="39" t="n"/>
      <c r="G97" s="40" t="n"/>
      <c r="H97" s="39" t="n"/>
      <c r="I97" s="40" t="n"/>
      <c r="J97" s="40" t="n"/>
      <c r="K97" s="39" t="n"/>
      <c r="L97" s="39" t="n"/>
      <c r="M97" s="39" t="n"/>
      <c r="N97" s="39" t="n"/>
      <c r="O97" s="40" t="n"/>
      <c r="P97" s="46" t="n"/>
      <c r="Q97" s="48" t="n"/>
      <c r="R97" s="40" t="n"/>
      <c r="S97" s="40" t="n"/>
      <c r="T97" s="39" t="n"/>
      <c r="U97" s="47" t="n"/>
      <c r="V97" s="39" t="n"/>
      <c r="W97" s="39" t="n"/>
      <c r="X97" s="39" t="n"/>
      <c r="Y97" s="39" t="n"/>
      <c r="Z97" s="40" t="n"/>
      <c r="AA97" s="40" t="n"/>
      <c r="AB97" s="46" t="n"/>
      <c r="AC97" s="39" t="n"/>
      <c r="AD97" s="39" t="n"/>
      <c r="AE97" s="39" t="n"/>
      <c r="AF97" s="39" t="n"/>
      <c r="AG97" s="39" t="n"/>
      <c r="AH97" s="40" t="n"/>
      <c r="AI97" s="42" t="n"/>
      <c r="AJ97" s="50" t="n"/>
      <c r="AK97" s="46" t="n"/>
      <c r="AL97" s="43" t="n"/>
      <c r="AM97" s="43" t="n"/>
      <c r="AN97" s="40" t="n"/>
      <c r="AO97" s="40" t="n"/>
      <c r="AP97" s="40" t="n"/>
      <c r="AQ97" s="40" t="n"/>
      <c r="AR97" s="40" t="n"/>
      <c r="AS97" s="47" t="n"/>
      <c r="AT97" s="40" t="n"/>
      <c r="AU97" s="40" t="n"/>
      <c r="AV97" s="40" t="n"/>
      <c r="AW97" s="40" t="n"/>
      <c r="AX97" s="47" t="n"/>
      <c r="AY97" s="39" t="n"/>
      <c r="AZ97" s="39" t="n"/>
      <c r="BA97" s="39" t="n"/>
      <c r="BB97" s="39" t="n"/>
      <c r="BC97" s="39" t="n"/>
      <c r="BD97" s="40" t="n"/>
      <c r="BE97" s="39" t="n"/>
      <c r="BF97" s="39" t="n"/>
      <c r="BG97" s="39" t="n"/>
      <c r="BH97" s="39" t="n"/>
      <c r="BI97" s="39" t="n"/>
      <c r="BJ97" s="39" t="n"/>
      <c r="BK97" s="39" t="n"/>
      <c r="BL97" s="39" t="n"/>
      <c r="BM97" s="39" t="n"/>
      <c r="BN97" s="39" t="n"/>
      <c r="BO97" s="39" t="n"/>
      <c r="BP97" s="40" t="n"/>
      <c r="BQ97" s="40" t="n"/>
      <c r="BR97" s="40" t="n"/>
      <c r="BS97" s="40" t="n"/>
      <c r="BT97" s="40" t="n"/>
      <c r="BU97" s="40" t="n"/>
      <c r="BV97" s="40" t="n"/>
      <c r="BW97" s="40" t="n"/>
      <c r="BX97" s="43" t="n"/>
      <c r="BY97" s="39" t="n"/>
      <c r="BZ97" s="39" t="n"/>
      <c r="CA97" s="39" t="n"/>
      <c r="CB97" s="39" t="n"/>
      <c r="CC97" s="39" t="n"/>
      <c r="CD97" s="39" t="n"/>
      <c r="CE97" s="39" t="n"/>
      <c r="CF97" s="39" t="n"/>
      <c r="CG97" s="47" t="n"/>
      <c r="CH97" s="47" t="n"/>
      <c r="CI97" s="47" t="n"/>
      <c r="CJ97" s="47" t="n"/>
    </row>
    <row r="98" ht="23" customHeight="1">
      <c r="A98" s="39" t="n"/>
      <c r="B98" s="39" t="n"/>
      <c r="C98" s="39" t="n"/>
      <c r="D98" s="40" t="n"/>
      <c r="E98" s="40" t="n"/>
      <c r="F98" s="39" t="n"/>
      <c r="G98" s="40" t="n"/>
      <c r="H98" s="39" t="n"/>
      <c r="I98" s="40" t="n"/>
      <c r="J98" s="40" t="n"/>
      <c r="K98" s="39" t="n"/>
      <c r="L98" s="39" t="n"/>
      <c r="M98" s="39" t="n"/>
      <c r="N98" s="39" t="n"/>
      <c r="O98" s="40" t="n"/>
      <c r="P98" s="46" t="n"/>
      <c r="Q98" s="48" t="n"/>
      <c r="R98" s="40" t="n"/>
      <c r="S98" s="40" t="n"/>
      <c r="T98" s="39" t="n"/>
      <c r="U98" s="47" t="n"/>
      <c r="V98" s="39" t="n"/>
      <c r="W98" s="39" t="n"/>
      <c r="X98" s="39" t="n"/>
      <c r="Y98" s="39" t="n"/>
      <c r="Z98" s="40" t="n"/>
      <c r="AA98" s="40" t="n"/>
      <c r="AB98" s="46" t="n"/>
      <c r="AC98" s="39" t="n"/>
      <c r="AD98" s="39" t="n"/>
      <c r="AE98" s="39" t="n"/>
      <c r="AF98" s="39" t="n"/>
      <c r="AG98" s="39" t="n"/>
      <c r="AH98" s="40" t="n"/>
      <c r="AI98" s="42" t="n"/>
      <c r="AJ98" s="50" t="n"/>
      <c r="AK98" s="46" t="n"/>
      <c r="AL98" s="43" t="n"/>
      <c r="AM98" s="43" t="n"/>
      <c r="AN98" s="40" t="n"/>
      <c r="AO98" s="40" t="n"/>
      <c r="AP98" s="40" t="n"/>
      <c r="AQ98" s="40" t="n"/>
      <c r="AR98" s="40" t="n"/>
      <c r="AS98" s="47" t="n"/>
      <c r="AT98" s="40" t="n"/>
      <c r="AU98" s="40" t="n"/>
      <c r="AV98" s="40" t="n"/>
      <c r="AW98" s="40" t="n"/>
      <c r="AX98" s="47" t="n"/>
      <c r="AY98" s="39" t="n"/>
      <c r="AZ98" s="39" t="n"/>
      <c r="BA98" s="39" t="n"/>
      <c r="BB98" s="39" t="n"/>
      <c r="BC98" s="39" t="n"/>
      <c r="BD98" s="40" t="n"/>
      <c r="BE98" s="39" t="n"/>
      <c r="BF98" s="39" t="n"/>
      <c r="BG98" s="39" t="n"/>
      <c r="BH98" s="39" t="n"/>
      <c r="BI98" s="39" t="n"/>
      <c r="BJ98" s="39" t="n"/>
      <c r="BK98" s="39" t="n"/>
      <c r="BL98" s="39" t="n"/>
      <c r="BM98" s="39" t="n"/>
      <c r="BN98" s="39" t="n"/>
      <c r="BO98" s="39" t="n"/>
      <c r="BP98" s="40" t="n"/>
      <c r="BQ98" s="40" t="n"/>
      <c r="BR98" s="40" t="n"/>
      <c r="BS98" s="40" t="n"/>
      <c r="BT98" s="40" t="n"/>
      <c r="BU98" s="40" t="n"/>
      <c r="BV98" s="40" t="n"/>
      <c r="BW98" s="40" t="n"/>
      <c r="BX98" s="43" t="n"/>
      <c r="BY98" s="39" t="n"/>
      <c r="BZ98" s="39" t="n"/>
      <c r="CA98" s="39" t="n"/>
      <c r="CB98" s="39" t="n"/>
      <c r="CC98" s="39" t="n"/>
      <c r="CD98" s="39" t="n"/>
      <c r="CE98" s="39" t="n"/>
      <c r="CF98" s="39" t="n"/>
      <c r="CG98" s="47" t="n"/>
      <c r="CH98" s="47" t="n"/>
      <c r="CI98" s="47" t="n"/>
      <c r="CJ98" s="47" t="n"/>
    </row>
    <row r="99" ht="23" customHeight="1">
      <c r="A99" s="39" t="n"/>
      <c r="B99" s="39" t="n"/>
      <c r="C99" s="39" t="n"/>
      <c r="D99" s="40" t="n"/>
      <c r="E99" s="40" t="n"/>
      <c r="F99" s="39" t="n"/>
      <c r="G99" s="40" t="n"/>
      <c r="H99" s="39" t="n"/>
      <c r="I99" s="40" t="n"/>
      <c r="J99" s="40" t="n"/>
      <c r="K99" s="39" t="n"/>
      <c r="L99" s="39" t="n"/>
      <c r="M99" s="39" t="n"/>
      <c r="N99" s="39" t="n"/>
      <c r="O99" s="40" t="n"/>
      <c r="P99" s="46" t="n"/>
      <c r="Q99" s="48" t="n"/>
      <c r="R99" s="40" t="n"/>
      <c r="S99" s="40" t="n"/>
      <c r="T99" s="39" t="n"/>
      <c r="U99" s="47" t="n"/>
      <c r="V99" s="39" t="n"/>
      <c r="W99" s="39" t="n"/>
      <c r="X99" s="39" t="n"/>
      <c r="Y99" s="39" t="n"/>
      <c r="Z99" s="40" t="n"/>
      <c r="AA99" s="40" t="n"/>
      <c r="AB99" s="46" t="n"/>
      <c r="AC99" s="39" t="n"/>
      <c r="AD99" s="39" t="n"/>
      <c r="AE99" s="39" t="n"/>
      <c r="AF99" s="39" t="n"/>
      <c r="AG99" s="39" t="n"/>
      <c r="AH99" s="40" t="n"/>
      <c r="AI99" s="42" t="n"/>
      <c r="AJ99" s="50" t="n"/>
      <c r="AK99" s="46" t="n"/>
      <c r="AL99" s="43" t="n"/>
      <c r="AM99" s="43" t="n"/>
      <c r="AN99" s="40" t="n"/>
      <c r="AO99" s="40" t="n"/>
      <c r="AP99" s="40" t="n"/>
      <c r="AQ99" s="40" t="n"/>
      <c r="AR99" s="40" t="n"/>
      <c r="AS99" s="47" t="n"/>
      <c r="AT99" s="40" t="n"/>
      <c r="AU99" s="40" t="n"/>
      <c r="AV99" s="40" t="n"/>
      <c r="AW99" s="40" t="n"/>
      <c r="AX99" s="47" t="n"/>
      <c r="AY99" s="39" t="n"/>
      <c r="AZ99" s="39" t="n"/>
      <c r="BA99" s="39" t="n"/>
      <c r="BB99" s="39" t="n"/>
      <c r="BC99" s="39" t="n"/>
      <c r="BD99" s="40" t="n"/>
      <c r="BE99" s="39" t="n"/>
      <c r="BF99" s="39" t="n"/>
      <c r="BG99" s="39" t="n"/>
      <c r="BH99" s="39" t="n"/>
      <c r="BI99" s="39" t="n"/>
      <c r="BJ99" s="39" t="n"/>
      <c r="BK99" s="39" t="n"/>
      <c r="BL99" s="39" t="n"/>
      <c r="BM99" s="39" t="n"/>
      <c r="BN99" s="39" t="n"/>
      <c r="BO99" s="39" t="n"/>
      <c r="BP99" s="40" t="n"/>
      <c r="BQ99" s="40" t="n"/>
      <c r="BR99" s="40" t="n"/>
      <c r="BS99" s="40" t="n"/>
      <c r="BT99" s="40" t="n"/>
      <c r="BU99" s="40" t="n"/>
      <c r="BV99" s="40" t="n"/>
      <c r="BW99" s="40" t="n"/>
      <c r="BX99" s="43" t="n"/>
      <c r="BY99" s="39" t="n"/>
      <c r="BZ99" s="39" t="n"/>
      <c r="CA99" s="39" t="n"/>
      <c r="CB99" s="39" t="n"/>
      <c r="CC99" s="39" t="n"/>
      <c r="CD99" s="39" t="n"/>
      <c r="CE99" s="39" t="n"/>
      <c r="CF99" s="39" t="n"/>
      <c r="CG99" s="47" t="n"/>
      <c r="CH99" s="47" t="n"/>
      <c r="CI99" s="47" t="n"/>
      <c r="CJ99" s="47" t="n"/>
    </row>
    <row r="100" ht="23" customHeight="1">
      <c r="A100" s="39" t="n"/>
      <c r="B100" s="39" t="n"/>
      <c r="C100" s="39" t="n"/>
      <c r="D100" s="40" t="n"/>
      <c r="E100" s="40" t="n"/>
      <c r="F100" s="39" t="n"/>
      <c r="G100" s="40" t="n"/>
      <c r="H100" s="39" t="n"/>
      <c r="I100" s="40" t="n"/>
      <c r="J100" s="40" t="n"/>
      <c r="K100" s="39" t="n"/>
      <c r="L100" s="39" t="n"/>
      <c r="M100" s="39" t="n"/>
      <c r="N100" s="39" t="n"/>
      <c r="O100" s="40" t="n"/>
      <c r="P100" s="46" t="n"/>
      <c r="Q100" s="48" t="n"/>
      <c r="R100" s="40" t="n"/>
      <c r="S100" s="40" t="n"/>
      <c r="T100" s="39" t="n"/>
      <c r="U100" s="47" t="n"/>
      <c r="V100" s="39" t="n"/>
      <c r="W100" s="39" t="n"/>
      <c r="X100" s="39" t="n"/>
      <c r="Y100" s="39" t="n"/>
      <c r="Z100" s="40" t="n"/>
      <c r="AA100" s="40" t="n"/>
      <c r="AB100" s="46" t="n"/>
      <c r="AC100" s="39" t="n"/>
      <c r="AD100" s="39" t="n"/>
      <c r="AE100" s="39" t="n"/>
      <c r="AF100" s="39" t="n"/>
      <c r="AG100" s="39" t="n"/>
      <c r="AH100" s="40" t="n"/>
      <c r="AI100" s="42" t="n"/>
      <c r="AJ100" s="50" t="n"/>
      <c r="AK100" s="46" t="n"/>
      <c r="AL100" s="43" t="n"/>
      <c r="AM100" s="43" t="n"/>
      <c r="AN100" s="40" t="n"/>
      <c r="AO100" s="40" t="n"/>
      <c r="AP100" s="40" t="n"/>
      <c r="AQ100" s="40" t="n"/>
      <c r="AR100" s="40" t="n"/>
      <c r="AS100" s="47" t="n"/>
      <c r="AT100" s="40" t="n"/>
      <c r="AU100" s="40" t="n"/>
      <c r="AV100" s="40" t="n"/>
      <c r="AW100" s="40" t="n"/>
      <c r="AX100" s="47" t="n"/>
      <c r="AY100" s="39" t="n"/>
      <c r="AZ100" s="39" t="n"/>
      <c r="BA100" s="39" t="n"/>
      <c r="BB100" s="39" t="n"/>
      <c r="BC100" s="39" t="n"/>
      <c r="BD100" s="40" t="n"/>
      <c r="BE100" s="39" t="n"/>
      <c r="BF100" s="39" t="n"/>
      <c r="BG100" s="39" t="n"/>
      <c r="BH100" s="39" t="n"/>
      <c r="BI100" s="39" t="n"/>
      <c r="BJ100" s="39" t="n"/>
      <c r="BK100" s="39" t="n"/>
      <c r="BL100" s="39" t="n"/>
      <c r="BM100" s="39" t="n"/>
      <c r="BN100" s="39" t="n"/>
      <c r="BO100" s="39" t="n"/>
      <c r="BP100" s="40" t="n"/>
      <c r="BQ100" s="40" t="n"/>
      <c r="BR100" s="40" t="n"/>
      <c r="BS100" s="40" t="n"/>
      <c r="BT100" s="40" t="n"/>
      <c r="BU100" s="40" t="n"/>
      <c r="BV100" s="40" t="n"/>
      <c r="BW100" s="40" t="n"/>
      <c r="BX100" s="43" t="n"/>
      <c r="BY100" s="39" t="n"/>
      <c r="BZ100" s="39" t="n"/>
      <c r="CA100" s="39" t="n"/>
      <c r="CB100" s="39" t="n"/>
      <c r="CC100" s="39" t="n"/>
      <c r="CD100" s="39" t="n"/>
      <c r="CE100" s="39" t="n"/>
      <c r="CF100" s="39" t="n"/>
      <c r="CG100" s="47" t="n"/>
      <c r="CH100" s="47" t="n"/>
      <c r="CI100" s="47" t="n"/>
      <c r="CJ100" s="47" t="n"/>
    </row>
    <row r="101" ht="23" customHeight="1">
      <c r="A101" s="39" t="n"/>
      <c r="B101" s="39" t="n"/>
      <c r="C101" s="39" t="n"/>
      <c r="D101" s="40" t="n"/>
      <c r="E101" s="40" t="n"/>
      <c r="F101" s="39" t="n"/>
      <c r="G101" s="40" t="n"/>
      <c r="H101" s="39" t="n"/>
      <c r="I101" s="40" t="n"/>
      <c r="J101" s="40" t="n"/>
      <c r="K101" s="39" t="n"/>
      <c r="L101" s="39" t="n"/>
      <c r="M101" s="39" t="n"/>
      <c r="N101" s="39" t="n"/>
      <c r="O101" s="40" t="n"/>
      <c r="P101" s="46" t="n"/>
      <c r="Q101" s="48" t="n"/>
      <c r="R101" s="40" t="n"/>
      <c r="S101" s="40" t="n"/>
      <c r="T101" s="39" t="n"/>
      <c r="U101" s="47" t="n"/>
      <c r="V101" s="39" t="n"/>
      <c r="W101" s="39" t="n"/>
      <c r="X101" s="39" t="n"/>
      <c r="Y101" s="39" t="n"/>
      <c r="Z101" s="40" t="n"/>
      <c r="AA101" s="40" t="n"/>
      <c r="AB101" s="46" t="n"/>
      <c r="AC101" s="39" t="n"/>
      <c r="AD101" s="39" t="n"/>
      <c r="AE101" s="39" t="n"/>
      <c r="AF101" s="39" t="n"/>
      <c r="AG101" s="39" t="n"/>
      <c r="AH101" s="40" t="n"/>
      <c r="AI101" s="42" t="n"/>
      <c r="AJ101" s="50" t="n"/>
      <c r="AK101" s="46" t="n"/>
      <c r="AL101" s="43" t="n"/>
      <c r="AM101" s="43" t="n"/>
      <c r="AN101" s="40" t="n"/>
      <c r="AO101" s="40" t="n"/>
      <c r="AP101" s="40" t="n"/>
      <c r="AQ101" s="40" t="n"/>
      <c r="AR101" s="40" t="n"/>
      <c r="AS101" s="47" t="n"/>
      <c r="AT101" s="40" t="n"/>
      <c r="AU101" s="40" t="n"/>
      <c r="AV101" s="40" t="n"/>
      <c r="AW101" s="40" t="n"/>
      <c r="AX101" s="47" t="n"/>
      <c r="AY101" s="39" t="n"/>
      <c r="AZ101" s="39" t="n"/>
      <c r="BA101" s="39" t="n"/>
      <c r="BB101" s="39" t="n"/>
      <c r="BC101" s="39" t="n"/>
      <c r="BD101" s="40" t="n"/>
      <c r="BE101" s="39" t="n"/>
      <c r="BF101" s="39" t="n"/>
      <c r="BG101" s="39" t="n"/>
      <c r="BH101" s="39" t="n"/>
      <c r="BI101" s="39" t="n"/>
      <c r="BJ101" s="39" t="n"/>
      <c r="BK101" s="39" t="n"/>
      <c r="BL101" s="39" t="n"/>
      <c r="BM101" s="39" t="n"/>
      <c r="BN101" s="39" t="n"/>
      <c r="BO101" s="39" t="n"/>
      <c r="BP101" s="40" t="n"/>
      <c r="BQ101" s="40" t="n"/>
      <c r="BR101" s="40" t="n"/>
      <c r="BS101" s="40" t="n"/>
      <c r="BT101" s="40" t="n"/>
      <c r="BU101" s="40" t="n"/>
      <c r="BV101" s="40" t="n"/>
      <c r="BW101" s="40" t="n"/>
      <c r="BX101" s="43" t="n"/>
      <c r="BY101" s="39" t="n"/>
      <c r="BZ101" s="39" t="n"/>
      <c r="CA101" s="39" t="n"/>
      <c r="CB101" s="39" t="n"/>
      <c r="CC101" s="39" t="n"/>
      <c r="CD101" s="39" t="n"/>
      <c r="CE101" s="39" t="n"/>
      <c r="CF101" s="39" t="n"/>
      <c r="CG101" s="47" t="n"/>
      <c r="CH101" s="47" t="n"/>
      <c r="CI101" s="47" t="n"/>
      <c r="CJ101" s="47" t="n"/>
    </row>
    <row r="102" ht="23" customHeight="1">
      <c r="A102" s="39" t="n"/>
      <c r="B102" s="39" t="n"/>
      <c r="C102" s="39" t="n"/>
      <c r="D102" s="40" t="n"/>
      <c r="E102" s="40" t="n"/>
      <c r="F102" s="39" t="n"/>
      <c r="G102" s="40" t="n"/>
      <c r="H102" s="39" t="n"/>
      <c r="I102" s="40" t="n"/>
      <c r="J102" s="40" t="n"/>
      <c r="K102" s="39" t="n"/>
      <c r="L102" s="39" t="n"/>
      <c r="M102" s="39" t="n"/>
      <c r="N102" s="39" t="n"/>
      <c r="O102" s="40" t="n"/>
      <c r="P102" s="46" t="n"/>
      <c r="Q102" s="48" t="n"/>
      <c r="R102" s="40" t="n"/>
      <c r="S102" s="40" t="n"/>
      <c r="T102" s="39" t="n"/>
      <c r="U102" s="47" t="n"/>
      <c r="V102" s="39" t="n"/>
      <c r="W102" s="39" t="n"/>
      <c r="X102" s="39" t="n"/>
      <c r="Y102" s="39" t="n"/>
      <c r="Z102" s="40" t="n"/>
      <c r="AA102" s="40" t="n"/>
      <c r="AB102" s="46" t="n"/>
      <c r="AC102" s="39" t="n"/>
      <c r="AD102" s="39" t="n"/>
      <c r="AE102" s="39" t="n"/>
      <c r="AF102" s="39" t="n"/>
      <c r="AG102" s="39" t="n"/>
      <c r="AH102" s="40" t="n"/>
      <c r="AI102" s="42" t="n"/>
      <c r="AJ102" s="50" t="n"/>
      <c r="AK102" s="46" t="n"/>
      <c r="AL102" s="43" t="n"/>
      <c r="AM102" s="43" t="n"/>
      <c r="AN102" s="40" t="n"/>
      <c r="AO102" s="40" t="n"/>
      <c r="AP102" s="40" t="n"/>
      <c r="AQ102" s="40" t="n"/>
      <c r="AR102" s="40" t="n"/>
      <c r="AS102" s="47" t="n"/>
      <c r="AT102" s="40" t="n"/>
      <c r="AU102" s="40" t="n"/>
      <c r="AV102" s="40" t="n"/>
      <c r="AW102" s="40" t="n"/>
      <c r="AX102" s="47" t="n"/>
      <c r="AY102" s="39" t="n"/>
      <c r="AZ102" s="39" t="n"/>
      <c r="BA102" s="39" t="n"/>
      <c r="BB102" s="39" t="n"/>
      <c r="BC102" s="39" t="n"/>
      <c r="BD102" s="40" t="n"/>
      <c r="BE102" s="39" t="n"/>
      <c r="BF102" s="39" t="n"/>
      <c r="BG102" s="39" t="n"/>
      <c r="BH102" s="39" t="n"/>
      <c r="BI102" s="39" t="n"/>
      <c r="BJ102" s="39" t="n"/>
      <c r="BK102" s="39" t="n"/>
      <c r="BL102" s="39" t="n"/>
      <c r="BM102" s="39" t="n"/>
      <c r="BN102" s="39" t="n"/>
      <c r="BO102" s="39" t="n"/>
      <c r="BP102" s="40" t="n"/>
      <c r="BQ102" s="40" t="n"/>
      <c r="BR102" s="40" t="n"/>
      <c r="BS102" s="40" t="n"/>
      <c r="BT102" s="40" t="n"/>
      <c r="BU102" s="40" t="n"/>
      <c r="BV102" s="40" t="n"/>
      <c r="BW102" s="40" t="n"/>
      <c r="BX102" s="43" t="n"/>
      <c r="BY102" s="39" t="n"/>
      <c r="BZ102" s="39" t="n"/>
      <c r="CA102" s="39" t="n"/>
      <c r="CB102" s="39" t="n"/>
      <c r="CC102" s="39" t="n"/>
      <c r="CD102" s="39" t="n"/>
      <c r="CE102" s="39" t="n"/>
      <c r="CF102" s="39" t="n"/>
      <c r="CG102" s="47" t="n"/>
      <c r="CH102" s="47" t="n"/>
      <c r="CI102" s="47" t="n"/>
      <c r="CJ102" s="47" t="n"/>
    </row>
    <row r="103" ht="23" customHeight="1">
      <c r="A103" s="39" t="n"/>
      <c r="B103" s="39" t="n"/>
      <c r="C103" s="39" t="n"/>
      <c r="D103" s="40" t="n"/>
      <c r="E103" s="40" t="n"/>
      <c r="F103" s="39" t="n"/>
      <c r="G103" s="40" t="n"/>
      <c r="H103" s="39" t="n"/>
      <c r="I103" s="40" t="n"/>
      <c r="J103" s="40" t="n"/>
      <c r="K103" s="39" t="n"/>
      <c r="L103" s="39" t="n"/>
      <c r="M103" s="39" t="n"/>
      <c r="N103" s="39" t="n"/>
      <c r="O103" s="40" t="n"/>
      <c r="P103" s="46" t="n"/>
      <c r="Q103" s="48" t="n"/>
      <c r="R103" s="40" t="n"/>
      <c r="S103" s="40" t="n"/>
      <c r="T103" s="39" t="n"/>
      <c r="U103" s="47" t="n"/>
      <c r="V103" s="39" t="n"/>
      <c r="W103" s="39" t="n"/>
      <c r="X103" s="39" t="n"/>
      <c r="Y103" s="39" t="n"/>
      <c r="Z103" s="40" t="n"/>
      <c r="AA103" s="40" t="n"/>
      <c r="AB103" s="46" t="n"/>
      <c r="AC103" s="39" t="n"/>
      <c r="AD103" s="39" t="n"/>
      <c r="AE103" s="39" t="n"/>
      <c r="AF103" s="39" t="n"/>
      <c r="AG103" s="39" t="n"/>
      <c r="AH103" s="40" t="n"/>
      <c r="AI103" s="42" t="n"/>
      <c r="AJ103" s="50" t="n"/>
      <c r="AK103" s="46" t="n"/>
      <c r="AL103" s="43" t="n"/>
      <c r="AM103" s="43" t="n"/>
      <c r="AN103" s="40" t="n"/>
      <c r="AO103" s="40" t="n"/>
      <c r="AP103" s="40" t="n"/>
      <c r="AQ103" s="40" t="n"/>
      <c r="AR103" s="40" t="n"/>
      <c r="AS103" s="47" t="n"/>
      <c r="AT103" s="40" t="n"/>
      <c r="AU103" s="40" t="n"/>
      <c r="AV103" s="40" t="n"/>
      <c r="AW103" s="40" t="n"/>
      <c r="AX103" s="47" t="n"/>
      <c r="AY103" s="39" t="n"/>
      <c r="AZ103" s="39" t="n"/>
      <c r="BA103" s="39" t="n"/>
      <c r="BB103" s="39" t="n"/>
      <c r="BC103" s="39" t="n"/>
      <c r="BD103" s="40" t="n"/>
      <c r="BE103" s="39" t="n"/>
      <c r="BF103" s="39" t="n"/>
      <c r="BG103" s="39" t="n"/>
      <c r="BH103" s="39" t="n"/>
      <c r="BI103" s="39" t="n"/>
      <c r="BJ103" s="39" t="n"/>
      <c r="BK103" s="39" t="n"/>
      <c r="BL103" s="39" t="n"/>
      <c r="BM103" s="39" t="n"/>
      <c r="BN103" s="39" t="n"/>
      <c r="BO103" s="39" t="n"/>
      <c r="BP103" s="40" t="n"/>
      <c r="BQ103" s="40" t="n"/>
      <c r="BR103" s="40" t="n"/>
      <c r="BS103" s="40" t="n"/>
      <c r="BT103" s="40" t="n"/>
      <c r="BU103" s="40" t="n"/>
      <c r="BV103" s="40" t="n"/>
      <c r="BW103" s="40" t="n"/>
      <c r="BX103" s="43" t="n"/>
      <c r="BY103" s="39" t="n"/>
      <c r="BZ103" s="39" t="n"/>
      <c r="CA103" s="39" t="n"/>
      <c r="CB103" s="39" t="n"/>
      <c r="CC103" s="39" t="n"/>
      <c r="CD103" s="39" t="n"/>
      <c r="CE103" s="39" t="n"/>
      <c r="CF103" s="39" t="n"/>
      <c r="CG103" s="47" t="n"/>
      <c r="CH103" s="47" t="n"/>
      <c r="CI103" s="47" t="n"/>
      <c r="CJ103" s="47" t="n"/>
    </row>
    <row r="104" ht="23" customHeight="1">
      <c r="A104" s="39" t="n"/>
      <c r="B104" s="39" t="n"/>
      <c r="C104" s="39" t="n"/>
      <c r="D104" s="40" t="n"/>
      <c r="E104" s="40" t="n"/>
      <c r="F104" s="39" t="n"/>
      <c r="G104" s="40" t="n"/>
      <c r="H104" s="39" t="n"/>
      <c r="I104" s="40" t="n"/>
      <c r="J104" s="40" t="n"/>
      <c r="K104" s="39" t="n"/>
      <c r="L104" s="39" t="n"/>
      <c r="M104" s="39" t="n"/>
      <c r="N104" s="39" t="n"/>
      <c r="O104" s="40" t="n"/>
      <c r="P104" s="46" t="n"/>
      <c r="Q104" s="48" t="n"/>
      <c r="R104" s="40" t="n"/>
      <c r="S104" s="40" t="n"/>
      <c r="T104" s="39" t="n"/>
      <c r="U104" s="47" t="n"/>
      <c r="V104" s="39" t="n"/>
      <c r="W104" s="39" t="n"/>
      <c r="X104" s="39" t="n"/>
      <c r="Y104" s="39" t="n"/>
      <c r="Z104" s="40" t="n"/>
      <c r="AA104" s="40" t="n"/>
      <c r="AB104" s="46" t="n"/>
      <c r="AC104" s="39" t="n"/>
      <c r="AD104" s="39" t="n"/>
      <c r="AE104" s="39" t="n"/>
      <c r="AF104" s="39" t="n"/>
      <c r="AG104" s="39" t="n"/>
      <c r="AH104" s="40" t="n"/>
      <c r="AI104" s="42" t="n"/>
      <c r="AJ104" s="50" t="n"/>
      <c r="AK104" s="46" t="n"/>
      <c r="AL104" s="43" t="n"/>
      <c r="AM104" s="43" t="n"/>
      <c r="AN104" s="40" t="n"/>
      <c r="AO104" s="40" t="n"/>
      <c r="AP104" s="40" t="n"/>
      <c r="AQ104" s="40" t="n"/>
      <c r="AR104" s="40" t="n"/>
      <c r="AS104" s="47" t="n"/>
      <c r="AT104" s="40" t="n"/>
      <c r="AU104" s="40" t="n"/>
      <c r="AV104" s="40" t="n"/>
      <c r="AW104" s="40" t="n"/>
      <c r="AX104" s="47" t="n"/>
      <c r="AY104" s="39" t="n"/>
      <c r="AZ104" s="39" t="n"/>
      <c r="BA104" s="39" t="n"/>
      <c r="BB104" s="39" t="n"/>
      <c r="BC104" s="39" t="n"/>
      <c r="BD104" s="40" t="n"/>
      <c r="BE104" s="39" t="n"/>
      <c r="BF104" s="39" t="n"/>
      <c r="BG104" s="39" t="n"/>
      <c r="BH104" s="39" t="n"/>
      <c r="BI104" s="39" t="n"/>
      <c r="BJ104" s="39" t="n"/>
      <c r="BK104" s="39" t="n"/>
      <c r="BL104" s="39" t="n"/>
      <c r="BM104" s="39" t="n"/>
      <c r="BN104" s="39" t="n"/>
      <c r="BO104" s="39" t="n"/>
      <c r="BP104" s="40" t="n"/>
      <c r="BQ104" s="40" t="n"/>
      <c r="BR104" s="40" t="n"/>
      <c r="BS104" s="40" t="n"/>
      <c r="BT104" s="40" t="n"/>
      <c r="BU104" s="40" t="n"/>
      <c r="BV104" s="40" t="n"/>
      <c r="BW104" s="40" t="n"/>
      <c r="BX104" s="43" t="n"/>
      <c r="BY104" s="39" t="n"/>
      <c r="BZ104" s="39" t="n"/>
      <c r="CA104" s="39" t="n"/>
      <c r="CB104" s="39" t="n"/>
      <c r="CC104" s="39" t="n"/>
      <c r="CD104" s="39" t="n"/>
      <c r="CE104" s="39" t="n"/>
      <c r="CF104" s="39" t="n"/>
      <c r="CG104" s="47" t="n"/>
      <c r="CH104" s="47" t="n"/>
      <c r="CI104" s="47" t="n"/>
      <c r="CJ104" s="47" t="n"/>
    </row>
    <row r="105" ht="23" customHeight="1">
      <c r="A105" s="39" t="n"/>
      <c r="B105" s="39" t="n"/>
      <c r="C105" s="39" t="n"/>
      <c r="D105" s="40" t="n"/>
      <c r="E105" s="40" t="n"/>
      <c r="F105" s="39" t="n"/>
      <c r="G105" s="40" t="n"/>
      <c r="H105" s="39" t="n"/>
      <c r="I105" s="40" t="n"/>
      <c r="J105" s="40" t="n"/>
      <c r="K105" s="39" t="n"/>
      <c r="L105" s="39" t="n"/>
      <c r="M105" s="39" t="n"/>
      <c r="N105" s="39" t="n"/>
      <c r="O105" s="40" t="n"/>
      <c r="P105" s="46" t="n"/>
      <c r="Q105" s="48" t="n"/>
      <c r="R105" s="40" t="n"/>
      <c r="S105" s="40" t="n"/>
      <c r="T105" s="39" t="n"/>
      <c r="U105" s="47" t="n"/>
      <c r="V105" s="39" t="n"/>
      <c r="W105" s="39" t="n"/>
      <c r="X105" s="39" t="n"/>
      <c r="Y105" s="39" t="n"/>
      <c r="Z105" s="40" t="n"/>
      <c r="AA105" s="40" t="n"/>
      <c r="AB105" s="46" t="n"/>
      <c r="AC105" s="39" t="n"/>
      <c r="AD105" s="39" t="n"/>
      <c r="AE105" s="39" t="n"/>
      <c r="AF105" s="39" t="n"/>
      <c r="AG105" s="39" t="n"/>
      <c r="AH105" s="40" t="n"/>
      <c r="AI105" s="42" t="n"/>
      <c r="AJ105" s="50" t="n"/>
      <c r="AK105" s="46" t="n"/>
      <c r="AL105" s="43" t="n"/>
      <c r="AM105" s="43" t="n"/>
      <c r="AN105" s="40" t="n"/>
      <c r="AO105" s="40" t="n"/>
      <c r="AP105" s="40" t="n"/>
      <c r="AQ105" s="40" t="n"/>
      <c r="AR105" s="40" t="n"/>
      <c r="AS105" s="47" t="n"/>
      <c r="AT105" s="40" t="n"/>
      <c r="AU105" s="40" t="n"/>
      <c r="AV105" s="40" t="n"/>
      <c r="AW105" s="40" t="n"/>
      <c r="AX105" s="47" t="n"/>
      <c r="AY105" s="39" t="n"/>
      <c r="AZ105" s="39" t="n"/>
      <c r="BA105" s="39" t="n"/>
      <c r="BB105" s="39" t="n"/>
      <c r="BC105" s="39" t="n"/>
      <c r="BD105" s="40" t="n"/>
      <c r="BE105" s="39" t="n"/>
      <c r="BF105" s="39" t="n"/>
      <c r="BG105" s="39" t="n"/>
      <c r="BH105" s="39" t="n"/>
      <c r="BI105" s="39" t="n"/>
      <c r="BJ105" s="39" t="n"/>
      <c r="BK105" s="39" t="n"/>
      <c r="BL105" s="39" t="n"/>
      <c r="BM105" s="39" t="n"/>
      <c r="BN105" s="39" t="n"/>
      <c r="BO105" s="39" t="n"/>
      <c r="BP105" s="40" t="n"/>
      <c r="BQ105" s="40" t="n"/>
      <c r="BR105" s="40" t="n"/>
      <c r="BS105" s="40" t="n"/>
      <c r="BT105" s="40" t="n"/>
      <c r="BU105" s="40" t="n"/>
      <c r="BV105" s="40" t="n"/>
      <c r="BW105" s="40" t="n"/>
      <c r="BX105" s="43" t="n"/>
      <c r="BY105" s="39" t="n"/>
      <c r="BZ105" s="39" t="n"/>
      <c r="CA105" s="39" t="n"/>
      <c r="CB105" s="39" t="n"/>
      <c r="CC105" s="39" t="n"/>
      <c r="CD105" s="39" t="n"/>
      <c r="CE105" s="39" t="n"/>
      <c r="CF105" s="39" t="n"/>
      <c r="CG105" s="47" t="n"/>
      <c r="CH105" s="47" t="n"/>
      <c r="CI105" s="47" t="n"/>
      <c r="CJ105" s="47" t="n"/>
    </row>
    <row r="106" ht="23" customHeight="1">
      <c r="A106" s="39" t="n"/>
      <c r="B106" s="39" t="n"/>
      <c r="C106" s="39" t="n"/>
      <c r="D106" s="40" t="n"/>
      <c r="E106" s="40" t="n"/>
      <c r="F106" s="39" t="n"/>
      <c r="G106" s="40" t="n"/>
      <c r="H106" s="39" t="n"/>
      <c r="I106" s="40" t="n"/>
      <c r="J106" s="40" t="n"/>
      <c r="K106" s="39" t="n"/>
      <c r="L106" s="39" t="n"/>
      <c r="M106" s="39" t="n"/>
      <c r="N106" s="39" t="n"/>
      <c r="O106" s="40" t="n"/>
      <c r="P106" s="46" t="n"/>
      <c r="Q106" s="48" t="n"/>
      <c r="R106" s="40" t="n"/>
      <c r="S106" s="40" t="n"/>
      <c r="T106" s="39" t="n"/>
      <c r="U106" s="47" t="n"/>
      <c r="V106" s="39" t="n"/>
      <c r="W106" s="39" t="n"/>
      <c r="X106" s="39" t="n"/>
      <c r="Y106" s="39" t="n"/>
      <c r="Z106" s="40" t="n"/>
      <c r="AA106" s="40" t="n"/>
      <c r="AB106" s="46" t="n"/>
      <c r="AC106" s="39" t="n"/>
      <c r="AD106" s="39" t="n"/>
      <c r="AE106" s="39" t="n"/>
      <c r="AF106" s="39" t="n"/>
      <c r="AG106" s="39" t="n"/>
      <c r="AH106" s="40" t="n"/>
      <c r="AI106" s="42" t="n"/>
      <c r="AJ106" s="50" t="n"/>
      <c r="AK106" s="46" t="n"/>
      <c r="AL106" s="43" t="n"/>
      <c r="AM106" s="43" t="n"/>
      <c r="AN106" s="40" t="n"/>
      <c r="AO106" s="40" t="n"/>
      <c r="AP106" s="40" t="n"/>
      <c r="AQ106" s="40" t="n"/>
      <c r="AR106" s="40" t="n"/>
      <c r="AS106" s="47" t="n"/>
      <c r="AT106" s="40" t="n"/>
      <c r="AU106" s="40" t="n"/>
      <c r="AV106" s="40" t="n"/>
      <c r="AW106" s="40" t="n"/>
      <c r="AX106" s="47" t="n"/>
      <c r="AY106" s="39" t="n"/>
      <c r="AZ106" s="39" t="n"/>
      <c r="BA106" s="39" t="n"/>
      <c r="BB106" s="39" t="n"/>
      <c r="BC106" s="39" t="n"/>
      <c r="BD106" s="40" t="n"/>
      <c r="BE106" s="39" t="n"/>
      <c r="BF106" s="39" t="n"/>
      <c r="BG106" s="39" t="n"/>
      <c r="BH106" s="39" t="n"/>
      <c r="BI106" s="39" t="n"/>
      <c r="BJ106" s="39" t="n"/>
      <c r="BK106" s="39" t="n"/>
      <c r="BL106" s="39" t="n"/>
      <c r="BM106" s="39" t="n"/>
      <c r="BN106" s="39" t="n"/>
      <c r="BO106" s="39" t="n"/>
      <c r="BP106" s="40" t="n"/>
      <c r="BQ106" s="40" t="n"/>
      <c r="BR106" s="40" t="n"/>
      <c r="BS106" s="40" t="n"/>
      <c r="BT106" s="40" t="n"/>
      <c r="BU106" s="40" t="n"/>
      <c r="BV106" s="40" t="n"/>
      <c r="BW106" s="40" t="n"/>
      <c r="BX106" s="43" t="n"/>
      <c r="BY106" s="39" t="n"/>
      <c r="BZ106" s="39" t="n"/>
      <c r="CA106" s="39" t="n"/>
      <c r="CB106" s="39" t="n"/>
      <c r="CC106" s="39" t="n"/>
      <c r="CD106" s="39" t="n"/>
      <c r="CE106" s="39" t="n"/>
      <c r="CF106" s="39" t="n"/>
      <c r="CG106" s="47" t="n"/>
      <c r="CH106" s="47" t="n"/>
      <c r="CI106" s="47" t="n"/>
      <c r="CJ106" s="47" t="n"/>
    </row>
    <row r="107" ht="23" customHeight="1">
      <c r="A107" s="39" t="n"/>
      <c r="B107" s="39" t="n"/>
      <c r="C107" s="39" t="n"/>
      <c r="D107" s="40" t="n"/>
      <c r="E107" s="40" t="n"/>
      <c r="F107" s="39" t="n"/>
      <c r="G107" s="40" t="n"/>
      <c r="H107" s="39" t="n"/>
      <c r="I107" s="40" t="n"/>
      <c r="J107" s="40" t="n"/>
      <c r="K107" s="39" t="n"/>
      <c r="L107" s="39" t="n"/>
      <c r="M107" s="39" t="n"/>
      <c r="N107" s="39" t="n"/>
      <c r="O107" s="40" t="n"/>
      <c r="P107" s="46" t="n"/>
      <c r="Q107" s="48" t="n"/>
      <c r="R107" s="40" t="n"/>
      <c r="S107" s="40" t="n"/>
      <c r="T107" s="39" t="n"/>
      <c r="U107" s="47" t="n"/>
      <c r="V107" s="39" t="n"/>
      <c r="W107" s="39" t="n"/>
      <c r="X107" s="39" t="n"/>
      <c r="Y107" s="39" t="n"/>
      <c r="Z107" s="40" t="n"/>
      <c r="AA107" s="40" t="n"/>
      <c r="AB107" s="46" t="n"/>
      <c r="AC107" s="39" t="n"/>
      <c r="AD107" s="39" t="n"/>
      <c r="AE107" s="39" t="n"/>
      <c r="AF107" s="39" t="n"/>
      <c r="AG107" s="39" t="n"/>
      <c r="AH107" s="40" t="n"/>
      <c r="AI107" s="42" t="n"/>
      <c r="AJ107" s="50" t="n"/>
      <c r="AK107" s="46" t="n"/>
      <c r="AL107" s="43" t="n"/>
      <c r="AM107" s="43" t="n"/>
      <c r="AN107" s="40" t="n"/>
      <c r="AO107" s="40" t="n"/>
      <c r="AP107" s="40" t="n"/>
      <c r="AQ107" s="40" t="n"/>
      <c r="AR107" s="40" t="n"/>
      <c r="AS107" s="47" t="n"/>
      <c r="AT107" s="40" t="n"/>
      <c r="AU107" s="40" t="n"/>
      <c r="AV107" s="40" t="n"/>
      <c r="AW107" s="40" t="n"/>
      <c r="AX107" s="47" t="n"/>
      <c r="AY107" s="39" t="n"/>
      <c r="AZ107" s="39" t="n"/>
      <c r="BA107" s="39" t="n"/>
      <c r="BB107" s="39" t="n"/>
      <c r="BC107" s="39" t="n"/>
      <c r="BD107" s="40" t="n"/>
      <c r="BE107" s="39" t="n"/>
      <c r="BF107" s="39" t="n"/>
      <c r="BG107" s="39" t="n"/>
      <c r="BH107" s="39" t="n"/>
      <c r="BI107" s="39" t="n"/>
      <c r="BJ107" s="39" t="n"/>
      <c r="BK107" s="39" t="n"/>
      <c r="BL107" s="39" t="n"/>
      <c r="BM107" s="39" t="n"/>
      <c r="BN107" s="39" t="n"/>
      <c r="BO107" s="39" t="n"/>
      <c r="BP107" s="40" t="n"/>
      <c r="BQ107" s="40" t="n"/>
      <c r="BR107" s="40" t="n"/>
      <c r="BS107" s="40" t="n"/>
      <c r="BT107" s="40" t="n"/>
      <c r="BU107" s="40" t="n"/>
      <c r="BV107" s="40" t="n"/>
      <c r="BW107" s="40" t="n"/>
      <c r="BX107" s="43" t="n"/>
      <c r="BY107" s="39" t="n"/>
      <c r="BZ107" s="39" t="n"/>
      <c r="CA107" s="39" t="n"/>
      <c r="CB107" s="39" t="n"/>
      <c r="CC107" s="39" t="n"/>
      <c r="CD107" s="39" t="n"/>
      <c r="CE107" s="39" t="n"/>
      <c r="CF107" s="39" t="n"/>
      <c r="CG107" s="47" t="n"/>
      <c r="CH107" s="47" t="n"/>
      <c r="CI107" s="47" t="n"/>
      <c r="CJ107" s="47" t="n"/>
    </row>
    <row r="108" ht="23" customHeight="1">
      <c r="A108" s="39" t="n"/>
      <c r="B108" s="39" t="n"/>
      <c r="C108" s="39" t="n"/>
      <c r="D108" s="40" t="n"/>
      <c r="E108" s="40" t="n"/>
      <c r="F108" s="39" t="n"/>
      <c r="G108" s="40" t="n"/>
      <c r="H108" s="39" t="n"/>
      <c r="I108" s="40" t="n"/>
      <c r="J108" s="40" t="n"/>
      <c r="K108" s="39" t="n"/>
      <c r="L108" s="39" t="n"/>
      <c r="M108" s="39" t="n"/>
      <c r="N108" s="39" t="n"/>
      <c r="O108" s="40" t="n"/>
      <c r="P108" s="46" t="n"/>
      <c r="Q108" s="48" t="n"/>
      <c r="R108" s="40" t="n"/>
      <c r="S108" s="40" t="n"/>
      <c r="T108" s="39" t="n"/>
      <c r="U108" s="47" t="n"/>
      <c r="V108" s="39" t="n"/>
      <c r="W108" s="39" t="n"/>
      <c r="X108" s="39" t="n"/>
      <c r="Y108" s="39" t="n"/>
      <c r="Z108" s="40" t="n"/>
      <c r="AA108" s="40" t="n"/>
      <c r="AB108" s="46" t="n"/>
      <c r="AC108" s="39" t="n"/>
      <c r="AD108" s="39" t="n"/>
      <c r="AE108" s="39" t="n"/>
      <c r="AF108" s="39" t="n"/>
      <c r="AG108" s="39" t="n"/>
      <c r="AH108" s="40" t="n"/>
      <c r="AI108" s="42" t="n"/>
      <c r="AJ108" s="50" t="n"/>
      <c r="AK108" s="46" t="n"/>
      <c r="AL108" s="43" t="n"/>
      <c r="AM108" s="43" t="n"/>
      <c r="AN108" s="40" t="n"/>
      <c r="AO108" s="40" t="n"/>
      <c r="AP108" s="40" t="n"/>
      <c r="AQ108" s="40" t="n"/>
      <c r="AR108" s="40" t="n"/>
      <c r="AS108" s="47" t="n"/>
      <c r="AT108" s="40" t="n"/>
      <c r="AU108" s="40" t="n"/>
      <c r="AV108" s="40" t="n"/>
      <c r="AW108" s="40" t="n"/>
      <c r="AX108" s="47" t="n"/>
      <c r="AY108" s="39" t="n"/>
      <c r="AZ108" s="39" t="n"/>
      <c r="BA108" s="39" t="n"/>
      <c r="BB108" s="39" t="n"/>
      <c r="BC108" s="39" t="n"/>
      <c r="BD108" s="40" t="n"/>
      <c r="BE108" s="39" t="n"/>
      <c r="BF108" s="39" t="n"/>
      <c r="BG108" s="39" t="n"/>
      <c r="BH108" s="39" t="n"/>
      <c r="BI108" s="39" t="n"/>
      <c r="BJ108" s="39" t="n"/>
      <c r="BK108" s="39" t="n"/>
      <c r="BL108" s="39" t="n"/>
      <c r="BM108" s="39" t="n"/>
      <c r="BN108" s="39" t="n"/>
      <c r="BO108" s="39" t="n"/>
      <c r="BP108" s="40" t="n"/>
      <c r="BQ108" s="40" t="n"/>
      <c r="BR108" s="40" t="n"/>
      <c r="BS108" s="40" t="n"/>
      <c r="BT108" s="40" t="n"/>
      <c r="BU108" s="40" t="n"/>
      <c r="BV108" s="40" t="n"/>
      <c r="BW108" s="40" t="n"/>
      <c r="BX108" s="43" t="n"/>
      <c r="BY108" s="39" t="n"/>
      <c r="BZ108" s="39" t="n"/>
      <c r="CA108" s="39" t="n"/>
      <c r="CB108" s="39" t="n"/>
      <c r="CC108" s="39" t="n"/>
      <c r="CD108" s="39" t="n"/>
      <c r="CE108" s="39" t="n"/>
      <c r="CF108" s="39" t="n"/>
      <c r="CG108" s="47" t="n"/>
      <c r="CH108" s="47" t="n"/>
      <c r="CI108" s="47" t="n"/>
      <c r="CJ108" s="47" t="n"/>
    </row>
    <row r="109" ht="23" customHeight="1">
      <c r="A109" s="39" t="n"/>
      <c r="B109" s="39" t="n"/>
      <c r="C109" s="39" t="n"/>
      <c r="D109" s="40" t="n"/>
      <c r="E109" s="40" t="n"/>
      <c r="F109" s="39" t="n"/>
      <c r="G109" s="40" t="n"/>
      <c r="H109" s="39" t="n"/>
      <c r="I109" s="40" t="n"/>
      <c r="J109" s="40" t="n"/>
      <c r="K109" s="39" t="n"/>
      <c r="L109" s="39" t="n"/>
      <c r="M109" s="39" t="n"/>
      <c r="N109" s="39" t="n"/>
      <c r="O109" s="40" t="n"/>
      <c r="P109" s="46" t="n"/>
      <c r="Q109" s="48" t="n"/>
      <c r="R109" s="40" t="n"/>
      <c r="S109" s="40" t="n"/>
      <c r="T109" s="39" t="n"/>
      <c r="U109" s="47" t="n"/>
      <c r="V109" s="39" t="n"/>
      <c r="W109" s="39" t="n"/>
      <c r="X109" s="39" t="n"/>
      <c r="Y109" s="39" t="n"/>
      <c r="Z109" s="40" t="n"/>
      <c r="AA109" s="40" t="n"/>
      <c r="AB109" s="46" t="n"/>
      <c r="AC109" s="39" t="n"/>
      <c r="AD109" s="39" t="n"/>
      <c r="AE109" s="39" t="n"/>
      <c r="AF109" s="39" t="n"/>
      <c r="AG109" s="39" t="n"/>
      <c r="AH109" s="40" t="n"/>
      <c r="AI109" s="42" t="n"/>
      <c r="AJ109" s="50" t="n"/>
      <c r="AK109" s="46" t="n"/>
      <c r="AL109" s="43" t="n"/>
      <c r="AM109" s="43" t="n"/>
      <c r="AN109" s="40" t="n"/>
      <c r="AO109" s="40" t="n"/>
      <c r="AP109" s="40" t="n"/>
      <c r="AQ109" s="40" t="n"/>
      <c r="AR109" s="40" t="n"/>
      <c r="AS109" s="47" t="n"/>
      <c r="AT109" s="40" t="n"/>
      <c r="AU109" s="40" t="n"/>
      <c r="AV109" s="40" t="n"/>
      <c r="AW109" s="40" t="n"/>
      <c r="AX109" s="47" t="n"/>
      <c r="AY109" s="39" t="n"/>
      <c r="AZ109" s="39" t="n"/>
      <c r="BA109" s="39" t="n"/>
      <c r="BB109" s="39" t="n"/>
      <c r="BC109" s="39" t="n"/>
      <c r="BD109" s="40" t="n"/>
      <c r="BE109" s="39" t="n"/>
      <c r="BF109" s="39" t="n"/>
      <c r="BG109" s="39" t="n"/>
      <c r="BH109" s="39" t="n"/>
      <c r="BI109" s="39" t="n"/>
      <c r="BJ109" s="39" t="n"/>
      <c r="BK109" s="39" t="n"/>
      <c r="BL109" s="39" t="n"/>
      <c r="BM109" s="39" t="n"/>
      <c r="BN109" s="39" t="n"/>
      <c r="BO109" s="39" t="n"/>
      <c r="BP109" s="40" t="n"/>
      <c r="BQ109" s="40" t="n"/>
      <c r="BR109" s="40" t="n"/>
      <c r="BS109" s="40" t="n"/>
      <c r="BT109" s="40" t="n"/>
      <c r="BU109" s="40" t="n"/>
      <c r="BV109" s="40" t="n"/>
      <c r="BW109" s="40" t="n"/>
      <c r="BX109" s="43" t="n"/>
      <c r="BY109" s="39" t="n"/>
      <c r="BZ109" s="39" t="n"/>
      <c r="CA109" s="39" t="n"/>
      <c r="CB109" s="39" t="n"/>
      <c r="CC109" s="39" t="n"/>
      <c r="CD109" s="39" t="n"/>
      <c r="CE109" s="39" t="n"/>
      <c r="CF109" s="39" t="n"/>
      <c r="CG109" s="47" t="n"/>
      <c r="CH109" s="47" t="n"/>
      <c r="CI109" s="47" t="n"/>
      <c r="CJ109" s="47" t="n"/>
    </row>
    <row r="110" ht="23" customHeight="1">
      <c r="A110" s="39" t="n"/>
      <c r="B110" s="39" t="n"/>
      <c r="C110" s="39" t="n"/>
      <c r="D110" s="40" t="n"/>
      <c r="E110" s="40" t="n"/>
      <c r="F110" s="39" t="n"/>
      <c r="G110" s="40" t="n"/>
      <c r="H110" s="39" t="n"/>
      <c r="I110" s="40" t="n"/>
      <c r="J110" s="40" t="n"/>
      <c r="K110" s="39" t="n"/>
      <c r="L110" s="39" t="n"/>
      <c r="M110" s="39" t="n"/>
      <c r="N110" s="39" t="n"/>
      <c r="O110" s="40" t="n"/>
      <c r="P110" s="46" t="n"/>
      <c r="Q110" s="48" t="n"/>
      <c r="R110" s="40" t="n"/>
      <c r="S110" s="40" t="n"/>
      <c r="T110" s="39" t="n"/>
      <c r="U110" s="47" t="n"/>
      <c r="V110" s="39" t="n"/>
      <c r="W110" s="39" t="n"/>
      <c r="X110" s="39" t="n"/>
      <c r="Y110" s="39" t="n"/>
      <c r="Z110" s="40" t="n"/>
      <c r="AA110" s="40" t="n"/>
      <c r="AB110" s="46" t="n"/>
      <c r="AC110" s="39" t="n"/>
      <c r="AD110" s="39" t="n"/>
      <c r="AE110" s="39" t="n"/>
      <c r="AF110" s="39" t="n"/>
      <c r="AG110" s="39" t="n"/>
      <c r="AH110" s="40" t="n"/>
      <c r="AI110" s="42" t="n"/>
      <c r="AJ110" s="50" t="n"/>
      <c r="AK110" s="46" t="n"/>
      <c r="AL110" s="43" t="n"/>
      <c r="AM110" s="43" t="n"/>
      <c r="AN110" s="40" t="n"/>
      <c r="AO110" s="40" t="n"/>
      <c r="AP110" s="40" t="n"/>
      <c r="AQ110" s="40" t="n"/>
      <c r="AR110" s="40" t="n"/>
      <c r="AS110" s="47" t="n"/>
      <c r="AT110" s="40" t="n"/>
      <c r="AU110" s="40" t="n"/>
      <c r="AV110" s="40" t="n"/>
      <c r="AW110" s="40" t="n"/>
      <c r="AX110" s="47" t="n"/>
      <c r="AY110" s="39" t="n"/>
      <c r="AZ110" s="39" t="n"/>
      <c r="BA110" s="39" t="n"/>
      <c r="BB110" s="39" t="n"/>
      <c r="BC110" s="39" t="n"/>
      <c r="BD110" s="40" t="n"/>
      <c r="BE110" s="39" t="n"/>
      <c r="BF110" s="39" t="n"/>
      <c r="BG110" s="39" t="n"/>
      <c r="BH110" s="39" t="n"/>
      <c r="BI110" s="39" t="n"/>
      <c r="BJ110" s="39" t="n"/>
      <c r="BK110" s="39" t="n"/>
      <c r="BL110" s="39" t="n"/>
      <c r="BM110" s="39" t="n"/>
      <c r="BN110" s="39" t="n"/>
      <c r="BO110" s="39" t="n"/>
      <c r="BP110" s="40" t="n"/>
      <c r="BQ110" s="40" t="n"/>
      <c r="BR110" s="40" t="n"/>
      <c r="BS110" s="40" t="n"/>
      <c r="BT110" s="40" t="n"/>
      <c r="BU110" s="40" t="n"/>
      <c r="BV110" s="40" t="n"/>
      <c r="BW110" s="40" t="n"/>
      <c r="BX110" s="43" t="n"/>
      <c r="BY110" s="39" t="n"/>
      <c r="BZ110" s="39" t="n"/>
      <c r="CA110" s="39" t="n"/>
      <c r="CB110" s="39" t="n"/>
      <c r="CC110" s="39" t="n"/>
      <c r="CD110" s="39" t="n"/>
      <c r="CE110" s="39" t="n"/>
      <c r="CF110" s="39" t="n"/>
      <c r="CG110" s="47" t="n"/>
      <c r="CH110" s="47" t="n"/>
      <c r="CI110" s="47" t="n"/>
      <c r="CJ110" s="47" t="n"/>
    </row>
    <row r="111" ht="23" customHeight="1">
      <c r="A111" s="39" t="n"/>
      <c r="B111" s="39" t="n"/>
      <c r="C111" s="39" t="n"/>
      <c r="D111" s="40" t="n"/>
      <c r="E111" s="40" t="n"/>
      <c r="F111" s="39" t="n"/>
      <c r="G111" s="40" t="n"/>
      <c r="H111" s="39" t="n"/>
      <c r="I111" s="40" t="n"/>
      <c r="J111" s="40" t="n"/>
      <c r="K111" s="39" t="n"/>
      <c r="L111" s="39" t="n"/>
      <c r="M111" s="39" t="n"/>
      <c r="N111" s="39" t="n"/>
      <c r="O111" s="40" t="n"/>
      <c r="P111" s="46" t="n"/>
      <c r="Q111" s="48" t="n"/>
      <c r="R111" s="40" t="n"/>
      <c r="S111" s="40" t="n"/>
      <c r="T111" s="39" t="n"/>
      <c r="U111" s="47" t="n"/>
      <c r="V111" s="39" t="n"/>
      <c r="W111" s="39" t="n"/>
      <c r="X111" s="39" t="n"/>
      <c r="Y111" s="39" t="n"/>
      <c r="Z111" s="40" t="n"/>
      <c r="AA111" s="40" t="n"/>
      <c r="AB111" s="46" t="n"/>
      <c r="AC111" s="39" t="n"/>
      <c r="AD111" s="39" t="n"/>
      <c r="AE111" s="39" t="n"/>
      <c r="AF111" s="39" t="n"/>
      <c r="AG111" s="39" t="n"/>
      <c r="AH111" s="40" t="n"/>
      <c r="AI111" s="42" t="n"/>
      <c r="AJ111" s="50" t="n"/>
      <c r="AK111" s="46" t="n"/>
      <c r="AL111" s="43" t="n"/>
      <c r="AM111" s="43" t="n"/>
      <c r="AN111" s="40" t="n"/>
      <c r="AO111" s="40" t="n"/>
      <c r="AP111" s="40" t="n"/>
      <c r="AQ111" s="40" t="n"/>
      <c r="AR111" s="40" t="n"/>
      <c r="AS111" s="47" t="n"/>
      <c r="AT111" s="40" t="n"/>
      <c r="AU111" s="40" t="n"/>
      <c r="AV111" s="40" t="n"/>
      <c r="AW111" s="40" t="n"/>
      <c r="AX111" s="47" t="n"/>
      <c r="AY111" s="39" t="n"/>
      <c r="AZ111" s="39" t="n"/>
      <c r="BA111" s="39" t="n"/>
      <c r="BB111" s="39" t="n"/>
      <c r="BC111" s="39" t="n"/>
      <c r="BD111" s="40" t="n"/>
      <c r="BE111" s="39" t="n"/>
      <c r="BF111" s="39" t="n"/>
      <c r="BG111" s="39" t="n"/>
      <c r="BH111" s="39" t="n"/>
      <c r="BI111" s="39" t="n"/>
      <c r="BJ111" s="39" t="n"/>
      <c r="BK111" s="39" t="n"/>
      <c r="BL111" s="39" t="n"/>
      <c r="BM111" s="39" t="n"/>
      <c r="BN111" s="39" t="n"/>
      <c r="BO111" s="39" t="n"/>
      <c r="BP111" s="40" t="n"/>
      <c r="BQ111" s="40" t="n"/>
      <c r="BR111" s="40" t="n"/>
      <c r="BS111" s="40" t="n"/>
      <c r="BT111" s="40" t="n"/>
      <c r="BU111" s="40" t="n"/>
      <c r="BV111" s="40" t="n"/>
      <c r="BW111" s="40" t="n"/>
      <c r="BX111" s="43" t="n"/>
      <c r="BY111" s="39" t="n"/>
      <c r="BZ111" s="39" t="n"/>
      <c r="CA111" s="39" t="n"/>
      <c r="CB111" s="39" t="n"/>
      <c r="CC111" s="39" t="n"/>
      <c r="CD111" s="39" t="n"/>
      <c r="CE111" s="39" t="n"/>
      <c r="CF111" s="39" t="n"/>
      <c r="CG111" s="47" t="n"/>
      <c r="CH111" s="47" t="n"/>
      <c r="CI111" s="47" t="n"/>
      <c r="CJ111" s="47" t="n"/>
    </row>
    <row r="112" ht="23" customHeight="1">
      <c r="A112" s="39" t="n"/>
      <c r="B112" s="39" t="n"/>
      <c r="C112" s="39" t="n"/>
      <c r="D112" s="40" t="n"/>
      <c r="E112" s="40" t="n"/>
      <c r="F112" s="39" t="n"/>
      <c r="G112" s="40" t="n"/>
      <c r="H112" s="39" t="n"/>
      <c r="I112" s="40" t="n"/>
      <c r="J112" s="40" t="n"/>
      <c r="K112" s="39" t="n"/>
      <c r="L112" s="39" t="n"/>
      <c r="M112" s="39" t="n"/>
      <c r="N112" s="39" t="n"/>
      <c r="O112" s="40" t="n"/>
      <c r="P112" s="46" t="n"/>
      <c r="Q112" s="48" t="n"/>
      <c r="R112" s="40" t="n"/>
      <c r="S112" s="40" t="n"/>
      <c r="T112" s="39" t="n"/>
      <c r="U112" s="47" t="n"/>
      <c r="V112" s="39" t="n"/>
      <c r="W112" s="39" t="n"/>
      <c r="X112" s="39" t="n"/>
      <c r="Y112" s="39" t="n"/>
      <c r="Z112" s="40" t="n"/>
      <c r="AA112" s="40" t="n"/>
      <c r="AB112" s="46" t="n"/>
      <c r="AC112" s="39" t="n"/>
      <c r="AD112" s="39" t="n"/>
      <c r="AE112" s="39" t="n"/>
      <c r="AF112" s="39" t="n"/>
      <c r="AG112" s="39" t="n"/>
      <c r="AH112" s="40" t="n"/>
      <c r="AI112" s="42" t="n"/>
      <c r="AJ112" s="50" t="n"/>
      <c r="AK112" s="46" t="n"/>
      <c r="AL112" s="43" t="n"/>
      <c r="AM112" s="43" t="n"/>
      <c r="AN112" s="40" t="n"/>
      <c r="AO112" s="40" t="n"/>
      <c r="AP112" s="40" t="n"/>
      <c r="AQ112" s="40" t="n"/>
      <c r="AR112" s="40" t="n"/>
      <c r="AS112" s="47" t="n"/>
      <c r="AT112" s="40" t="n"/>
      <c r="AU112" s="40" t="n"/>
      <c r="AV112" s="40" t="n"/>
      <c r="AW112" s="40" t="n"/>
      <c r="AX112" s="47" t="n"/>
      <c r="AY112" s="39" t="n"/>
      <c r="AZ112" s="39" t="n"/>
      <c r="BA112" s="39" t="n"/>
      <c r="BB112" s="39" t="n"/>
      <c r="BC112" s="39" t="n"/>
      <c r="BD112" s="40" t="n"/>
      <c r="BE112" s="39" t="n"/>
      <c r="BF112" s="39" t="n"/>
      <c r="BG112" s="39" t="n"/>
      <c r="BH112" s="39" t="n"/>
      <c r="BI112" s="39" t="n"/>
      <c r="BJ112" s="39" t="n"/>
      <c r="BK112" s="39" t="n"/>
      <c r="BL112" s="39" t="n"/>
      <c r="BM112" s="39" t="n"/>
      <c r="BN112" s="39" t="n"/>
      <c r="BO112" s="39" t="n"/>
      <c r="BP112" s="40" t="n"/>
      <c r="BQ112" s="40" t="n"/>
      <c r="BR112" s="40" t="n"/>
      <c r="BS112" s="40" t="n"/>
      <c r="BT112" s="40" t="n"/>
      <c r="BU112" s="40" t="n"/>
      <c r="BV112" s="40" t="n"/>
      <c r="BW112" s="40" t="n"/>
      <c r="BX112" s="43" t="n"/>
      <c r="BY112" s="39" t="n"/>
      <c r="BZ112" s="39" t="n"/>
      <c r="CA112" s="39" t="n"/>
      <c r="CB112" s="39" t="n"/>
      <c r="CC112" s="39" t="n"/>
      <c r="CD112" s="39" t="n"/>
      <c r="CE112" s="39" t="n"/>
      <c r="CF112" s="39" t="n"/>
      <c r="CG112" s="47" t="n"/>
      <c r="CH112" s="47" t="n"/>
      <c r="CI112" s="47" t="n"/>
      <c r="CJ112" s="47" t="n"/>
    </row>
    <row r="113" ht="23" customHeight="1">
      <c r="A113" s="39" t="n"/>
      <c r="B113" s="39" t="n"/>
      <c r="C113" s="39" t="n"/>
      <c r="D113" s="40" t="n"/>
      <c r="E113" s="40" t="n"/>
      <c r="F113" s="39" t="n"/>
      <c r="G113" s="40" t="n"/>
      <c r="H113" s="39" t="n"/>
      <c r="I113" s="40" t="n"/>
      <c r="J113" s="40" t="n"/>
      <c r="K113" s="39" t="n"/>
      <c r="L113" s="39" t="n"/>
      <c r="M113" s="39" t="n"/>
      <c r="N113" s="39" t="n"/>
      <c r="O113" s="40" t="n"/>
      <c r="P113" s="46" t="n"/>
      <c r="Q113" s="48" t="n"/>
      <c r="R113" s="40" t="n"/>
      <c r="S113" s="40" t="n"/>
      <c r="T113" s="39" t="n"/>
      <c r="U113" s="47" t="n"/>
      <c r="V113" s="39" t="n"/>
      <c r="W113" s="39" t="n"/>
      <c r="X113" s="39" t="n"/>
      <c r="Y113" s="39" t="n"/>
      <c r="Z113" s="40" t="n"/>
      <c r="AA113" s="40" t="n"/>
      <c r="AB113" s="46" t="n"/>
      <c r="AC113" s="39" t="n"/>
      <c r="AD113" s="39" t="n"/>
      <c r="AE113" s="39" t="n"/>
      <c r="AF113" s="39" t="n"/>
      <c r="AG113" s="39" t="n"/>
      <c r="AH113" s="40" t="n"/>
      <c r="AI113" s="42" t="n"/>
      <c r="AJ113" s="50" t="n"/>
      <c r="AK113" s="46" t="n"/>
      <c r="AL113" s="43" t="n"/>
      <c r="AM113" s="43" t="n"/>
      <c r="AN113" s="40" t="n"/>
      <c r="AO113" s="40" t="n"/>
      <c r="AP113" s="40" t="n"/>
      <c r="AQ113" s="40" t="n"/>
      <c r="AR113" s="40" t="n"/>
      <c r="AS113" s="47" t="n"/>
      <c r="AT113" s="40" t="n"/>
      <c r="AU113" s="40" t="n"/>
      <c r="AV113" s="40" t="n"/>
      <c r="AW113" s="40" t="n"/>
      <c r="AX113" s="47" t="n"/>
      <c r="AY113" s="39" t="n"/>
      <c r="AZ113" s="39" t="n"/>
      <c r="BA113" s="39" t="n"/>
      <c r="BB113" s="39" t="n"/>
      <c r="BC113" s="39" t="n"/>
      <c r="BD113" s="40" t="n"/>
      <c r="BE113" s="39" t="n"/>
      <c r="BF113" s="39" t="n"/>
      <c r="BG113" s="39" t="n"/>
      <c r="BH113" s="39" t="n"/>
      <c r="BI113" s="39" t="n"/>
      <c r="BJ113" s="39" t="n"/>
      <c r="BK113" s="39" t="n"/>
      <c r="BL113" s="39" t="n"/>
      <c r="BM113" s="39" t="n"/>
      <c r="BN113" s="39" t="n"/>
      <c r="BO113" s="39" t="n"/>
      <c r="BP113" s="40" t="n"/>
      <c r="BQ113" s="40" t="n"/>
      <c r="BR113" s="40" t="n"/>
      <c r="BS113" s="40" t="n"/>
      <c r="BT113" s="40" t="n"/>
      <c r="BU113" s="40" t="n"/>
      <c r="BV113" s="40" t="n"/>
      <c r="BW113" s="40" t="n"/>
      <c r="BX113" s="43" t="n"/>
      <c r="BY113" s="39" t="n"/>
      <c r="BZ113" s="39" t="n"/>
      <c r="CA113" s="39" t="n"/>
      <c r="CB113" s="39" t="n"/>
      <c r="CC113" s="39" t="n"/>
      <c r="CD113" s="39" t="n"/>
      <c r="CE113" s="39" t="n"/>
      <c r="CF113" s="39" t="n"/>
      <c r="CG113" s="47" t="n"/>
      <c r="CH113" s="47" t="n"/>
      <c r="CI113" s="47" t="n"/>
      <c r="CJ113" s="47" t="n"/>
    </row>
    <row r="114" ht="23" customHeight="1">
      <c r="A114" s="39" t="n"/>
      <c r="B114" s="39" t="n"/>
      <c r="C114" s="39" t="n"/>
      <c r="D114" s="40" t="n"/>
      <c r="E114" s="40" t="n"/>
      <c r="F114" s="39" t="n"/>
      <c r="G114" s="40" t="n"/>
      <c r="H114" s="39" t="n"/>
      <c r="I114" s="40" t="n"/>
      <c r="J114" s="40" t="n"/>
      <c r="K114" s="39" t="n"/>
      <c r="L114" s="39" t="n"/>
      <c r="M114" s="39" t="n"/>
      <c r="N114" s="39" t="n"/>
      <c r="O114" s="40" t="n"/>
      <c r="P114" s="46" t="n"/>
      <c r="Q114" s="48" t="n"/>
      <c r="R114" s="40" t="n"/>
      <c r="S114" s="40" t="n"/>
      <c r="T114" s="39" t="n"/>
      <c r="U114" s="47" t="n"/>
      <c r="V114" s="39" t="n"/>
      <c r="W114" s="39" t="n"/>
      <c r="X114" s="39" t="n"/>
      <c r="Y114" s="39" t="n"/>
      <c r="Z114" s="40" t="n"/>
      <c r="AA114" s="40" t="n"/>
      <c r="AB114" s="46" t="n"/>
      <c r="AC114" s="39" t="n"/>
      <c r="AD114" s="39" t="n"/>
      <c r="AE114" s="39" t="n"/>
      <c r="AF114" s="39" t="n"/>
      <c r="AG114" s="39" t="n"/>
      <c r="AH114" s="40" t="n"/>
      <c r="AI114" s="42" t="n"/>
      <c r="AJ114" s="50" t="n"/>
      <c r="AK114" s="46" t="n"/>
      <c r="AL114" s="43" t="n"/>
      <c r="AM114" s="43" t="n"/>
      <c r="AN114" s="40" t="n"/>
      <c r="AO114" s="40" t="n"/>
      <c r="AP114" s="40" t="n"/>
      <c r="AQ114" s="40" t="n"/>
      <c r="AR114" s="40" t="n"/>
      <c r="AS114" s="47" t="n"/>
      <c r="AT114" s="40" t="n"/>
      <c r="AU114" s="40" t="n"/>
      <c r="AV114" s="40" t="n"/>
      <c r="AW114" s="40" t="n"/>
      <c r="AX114" s="47" t="n"/>
      <c r="AY114" s="39" t="n"/>
      <c r="AZ114" s="39" t="n"/>
      <c r="BA114" s="39" t="n"/>
      <c r="BB114" s="39" t="n"/>
      <c r="BC114" s="39" t="n"/>
      <c r="BD114" s="40" t="n"/>
      <c r="BE114" s="39" t="n"/>
      <c r="BF114" s="39" t="n"/>
      <c r="BG114" s="39" t="n"/>
      <c r="BH114" s="39" t="n"/>
      <c r="BI114" s="39" t="n"/>
      <c r="BJ114" s="39" t="n"/>
      <c r="BK114" s="39" t="n"/>
      <c r="BL114" s="39" t="n"/>
      <c r="BM114" s="39" t="n"/>
      <c r="BN114" s="39" t="n"/>
      <c r="BO114" s="39" t="n"/>
      <c r="BP114" s="40" t="n"/>
      <c r="BQ114" s="40" t="n"/>
      <c r="BR114" s="40" t="n"/>
      <c r="BS114" s="40" t="n"/>
      <c r="BT114" s="40" t="n"/>
      <c r="BU114" s="40" t="n"/>
      <c r="BV114" s="40" t="n"/>
      <c r="BW114" s="40" t="n"/>
      <c r="BX114" s="43" t="n"/>
      <c r="BY114" s="39" t="n"/>
      <c r="BZ114" s="39" t="n"/>
      <c r="CA114" s="39" t="n"/>
      <c r="CB114" s="39" t="n"/>
      <c r="CC114" s="39" t="n"/>
      <c r="CD114" s="39" t="n"/>
      <c r="CE114" s="39" t="n"/>
      <c r="CF114" s="39" t="n"/>
      <c r="CG114" s="47" t="n"/>
      <c r="CH114" s="47" t="n"/>
      <c r="CI114" s="47" t="n"/>
      <c r="CJ114" s="47" t="n"/>
    </row>
    <row r="115" ht="23" customHeight="1">
      <c r="A115" s="39" t="n"/>
      <c r="B115" s="39" t="n"/>
      <c r="C115" s="39" t="n"/>
      <c r="D115" s="40" t="n"/>
      <c r="E115" s="40" t="n"/>
      <c r="F115" s="39" t="n"/>
      <c r="G115" s="40" t="n"/>
      <c r="H115" s="39" t="n"/>
      <c r="I115" s="40" t="n"/>
      <c r="J115" s="40" t="n"/>
      <c r="K115" s="39" t="n"/>
      <c r="L115" s="39" t="n"/>
      <c r="M115" s="39" t="n"/>
      <c r="N115" s="39" t="n"/>
      <c r="O115" s="40" t="n"/>
      <c r="P115" s="46" t="n"/>
      <c r="Q115" s="48" t="n"/>
      <c r="R115" s="40" t="n"/>
      <c r="S115" s="40" t="n"/>
      <c r="T115" s="39" t="n"/>
      <c r="U115" s="47" t="n"/>
      <c r="V115" s="39" t="n"/>
      <c r="W115" s="39" t="n"/>
      <c r="X115" s="39" t="n"/>
      <c r="Y115" s="39" t="n"/>
      <c r="Z115" s="40" t="n"/>
      <c r="AA115" s="40" t="n"/>
      <c r="AB115" s="46" t="n"/>
      <c r="AC115" s="39" t="n"/>
      <c r="AD115" s="39" t="n"/>
      <c r="AE115" s="39" t="n"/>
      <c r="AF115" s="39" t="n"/>
      <c r="AG115" s="39" t="n"/>
      <c r="AH115" s="40" t="n"/>
      <c r="AI115" s="42" t="n"/>
      <c r="AJ115" s="50" t="n"/>
      <c r="AK115" s="46" t="n"/>
      <c r="AL115" s="43" t="n"/>
      <c r="AM115" s="43" t="n"/>
      <c r="AN115" s="40" t="n"/>
      <c r="AO115" s="40" t="n"/>
      <c r="AP115" s="40" t="n"/>
      <c r="AQ115" s="40" t="n"/>
      <c r="AR115" s="40" t="n"/>
      <c r="AS115" s="47" t="n"/>
      <c r="AT115" s="40" t="n"/>
      <c r="AU115" s="40" t="n"/>
      <c r="AV115" s="40" t="n"/>
      <c r="AW115" s="40" t="n"/>
      <c r="AX115" s="47" t="n"/>
      <c r="AY115" s="39" t="n"/>
      <c r="AZ115" s="39" t="n"/>
      <c r="BA115" s="39" t="n"/>
      <c r="BB115" s="39" t="n"/>
      <c r="BC115" s="39" t="n"/>
      <c r="BD115" s="40" t="n"/>
      <c r="BE115" s="39" t="n"/>
      <c r="BF115" s="39" t="n"/>
      <c r="BG115" s="39" t="n"/>
      <c r="BH115" s="39" t="n"/>
      <c r="BI115" s="39" t="n"/>
      <c r="BJ115" s="39" t="n"/>
      <c r="BK115" s="39" t="n"/>
      <c r="BL115" s="39" t="n"/>
      <c r="BM115" s="39" t="n"/>
      <c r="BN115" s="39" t="n"/>
      <c r="BO115" s="39" t="n"/>
      <c r="BP115" s="40" t="n"/>
      <c r="BQ115" s="40" t="n"/>
      <c r="BR115" s="40" t="n"/>
      <c r="BS115" s="40" t="n"/>
      <c r="BT115" s="40" t="n"/>
      <c r="BU115" s="40" t="n"/>
      <c r="BV115" s="40" t="n"/>
      <c r="BW115" s="40" t="n"/>
      <c r="BX115" s="43" t="n"/>
      <c r="BY115" s="39" t="n"/>
      <c r="BZ115" s="39" t="n"/>
      <c r="CA115" s="39" t="n"/>
      <c r="CB115" s="39" t="n"/>
      <c r="CC115" s="39" t="n"/>
      <c r="CD115" s="39" t="n"/>
      <c r="CE115" s="39" t="n"/>
      <c r="CF115" s="39" t="n"/>
      <c r="CG115" s="47" t="n"/>
      <c r="CH115" s="47" t="n"/>
      <c r="CI115" s="47" t="n"/>
      <c r="CJ115" s="47" t="n"/>
    </row>
    <row r="116" ht="23" customHeight="1">
      <c r="A116" s="39" t="n"/>
      <c r="B116" s="39" t="n"/>
      <c r="C116" s="39" t="n"/>
      <c r="D116" s="40" t="n"/>
      <c r="E116" s="40" t="n"/>
      <c r="F116" s="39" t="n"/>
      <c r="G116" s="40" t="n"/>
      <c r="H116" s="39" t="n"/>
      <c r="I116" s="40" t="n"/>
      <c r="J116" s="40" t="n"/>
      <c r="K116" s="39" t="n"/>
      <c r="L116" s="39" t="n"/>
      <c r="M116" s="39" t="n"/>
      <c r="N116" s="39" t="n"/>
      <c r="O116" s="40" t="n"/>
      <c r="P116" s="46" t="n"/>
      <c r="Q116" s="48" t="n"/>
      <c r="R116" s="40" t="n"/>
      <c r="S116" s="40" t="n"/>
      <c r="T116" s="39" t="n"/>
      <c r="U116" s="47" t="n"/>
      <c r="V116" s="39" t="n"/>
      <c r="W116" s="39" t="n"/>
      <c r="X116" s="39" t="n"/>
      <c r="Y116" s="39" t="n"/>
      <c r="Z116" s="40" t="n"/>
      <c r="AA116" s="40" t="n"/>
      <c r="AB116" s="46" t="n"/>
      <c r="AC116" s="39" t="n"/>
      <c r="AD116" s="39" t="n"/>
      <c r="AE116" s="39" t="n"/>
      <c r="AF116" s="39" t="n"/>
      <c r="AG116" s="39" t="n"/>
      <c r="AH116" s="40" t="n"/>
      <c r="AI116" s="42" t="n"/>
      <c r="AJ116" s="50" t="n"/>
      <c r="AK116" s="46" t="n"/>
      <c r="AL116" s="43" t="n"/>
      <c r="AM116" s="43" t="n"/>
      <c r="AN116" s="40" t="n"/>
      <c r="AO116" s="40" t="n"/>
      <c r="AP116" s="40" t="n"/>
      <c r="AQ116" s="40" t="n"/>
      <c r="AR116" s="40" t="n"/>
      <c r="AS116" s="47" t="n"/>
      <c r="AT116" s="40" t="n"/>
      <c r="AU116" s="40" t="n"/>
      <c r="AV116" s="40" t="n"/>
      <c r="AW116" s="40" t="n"/>
      <c r="AX116" s="47" t="n"/>
      <c r="AY116" s="39" t="n"/>
      <c r="AZ116" s="39" t="n"/>
      <c r="BA116" s="39" t="n"/>
      <c r="BB116" s="39" t="n"/>
      <c r="BC116" s="39" t="n"/>
      <c r="BD116" s="40" t="n"/>
      <c r="BE116" s="39" t="n"/>
      <c r="BF116" s="39" t="n"/>
      <c r="BG116" s="39" t="n"/>
      <c r="BH116" s="39" t="n"/>
      <c r="BI116" s="39" t="n"/>
      <c r="BJ116" s="39" t="n"/>
      <c r="BK116" s="39" t="n"/>
      <c r="BL116" s="39" t="n"/>
      <c r="BM116" s="39" t="n"/>
      <c r="BN116" s="39" t="n"/>
      <c r="BO116" s="39" t="n"/>
      <c r="BP116" s="40" t="n"/>
      <c r="BQ116" s="40" t="n"/>
      <c r="BR116" s="40" t="n"/>
      <c r="BS116" s="40" t="n"/>
      <c r="BT116" s="40" t="n"/>
      <c r="BU116" s="40" t="n"/>
      <c r="BV116" s="40" t="n"/>
      <c r="BW116" s="40" t="n"/>
      <c r="BX116" s="43" t="n"/>
      <c r="BY116" s="39" t="n"/>
      <c r="BZ116" s="39" t="n"/>
      <c r="CA116" s="39" t="n"/>
      <c r="CB116" s="39" t="n"/>
      <c r="CC116" s="39" t="n"/>
      <c r="CD116" s="39" t="n"/>
      <c r="CE116" s="39" t="n"/>
      <c r="CF116" s="39" t="n"/>
      <c r="CG116" s="47" t="n"/>
      <c r="CH116" s="47" t="n"/>
      <c r="CI116" s="47" t="n"/>
      <c r="CJ116" s="47" t="n"/>
    </row>
    <row r="117" ht="23" customHeight="1">
      <c r="A117" s="39" t="n"/>
      <c r="B117" s="39" t="n"/>
      <c r="C117" s="39" t="n"/>
      <c r="D117" s="40" t="n"/>
      <c r="E117" s="40" t="n"/>
      <c r="F117" s="39" t="n"/>
      <c r="G117" s="40" t="n"/>
      <c r="H117" s="39" t="n"/>
      <c r="I117" s="40" t="n"/>
      <c r="J117" s="40" t="n"/>
      <c r="K117" s="39" t="n"/>
      <c r="L117" s="39" t="n"/>
      <c r="M117" s="39" t="n"/>
      <c r="N117" s="39" t="n"/>
      <c r="O117" s="40" t="n"/>
      <c r="P117" s="46" t="n"/>
      <c r="Q117" s="48" t="n"/>
      <c r="R117" s="40" t="n"/>
      <c r="S117" s="40" t="n"/>
      <c r="T117" s="39" t="n"/>
      <c r="U117" s="47" t="n"/>
      <c r="V117" s="39" t="n"/>
      <c r="W117" s="39" t="n"/>
      <c r="X117" s="39" t="n"/>
      <c r="Y117" s="39" t="n"/>
      <c r="Z117" s="40" t="n"/>
      <c r="AA117" s="40" t="n"/>
      <c r="AB117" s="46" t="n"/>
      <c r="AC117" s="39" t="n"/>
      <c r="AD117" s="39" t="n"/>
      <c r="AE117" s="39" t="n"/>
      <c r="AF117" s="39" t="n"/>
      <c r="AG117" s="39" t="n"/>
      <c r="AH117" s="40" t="n"/>
      <c r="AI117" s="42" t="n"/>
      <c r="AJ117" s="50" t="n"/>
      <c r="AK117" s="46" t="n"/>
      <c r="AL117" s="43" t="n"/>
      <c r="AM117" s="43" t="n"/>
      <c r="AN117" s="40" t="n"/>
      <c r="AO117" s="40" t="n"/>
      <c r="AP117" s="40" t="n"/>
      <c r="AQ117" s="40" t="n"/>
      <c r="AR117" s="40" t="n"/>
      <c r="AS117" s="47" t="n"/>
      <c r="AT117" s="40" t="n"/>
      <c r="AU117" s="40" t="n"/>
      <c r="AV117" s="40" t="n"/>
      <c r="AW117" s="40" t="n"/>
      <c r="AX117" s="47" t="n"/>
      <c r="AY117" s="39" t="n"/>
      <c r="AZ117" s="39" t="n"/>
      <c r="BA117" s="39" t="n"/>
      <c r="BB117" s="39" t="n"/>
      <c r="BC117" s="39" t="n"/>
      <c r="BD117" s="40" t="n"/>
      <c r="BE117" s="39" t="n"/>
      <c r="BF117" s="39" t="n"/>
      <c r="BG117" s="39" t="n"/>
      <c r="BH117" s="39" t="n"/>
      <c r="BI117" s="39" t="n"/>
      <c r="BJ117" s="39" t="n"/>
      <c r="BK117" s="39" t="n"/>
      <c r="BL117" s="39" t="n"/>
      <c r="BM117" s="39" t="n"/>
      <c r="BN117" s="39" t="n"/>
      <c r="BO117" s="39" t="n"/>
      <c r="BP117" s="40" t="n"/>
      <c r="BQ117" s="40" t="n"/>
      <c r="BR117" s="40" t="n"/>
      <c r="BS117" s="40" t="n"/>
      <c r="BT117" s="40" t="n"/>
      <c r="BU117" s="40" t="n"/>
      <c r="BV117" s="40" t="n"/>
      <c r="BW117" s="40" t="n"/>
      <c r="BX117" s="43" t="n"/>
      <c r="BY117" s="39" t="n"/>
      <c r="BZ117" s="39" t="n"/>
      <c r="CA117" s="39" t="n"/>
      <c r="CB117" s="39" t="n"/>
      <c r="CC117" s="39" t="n"/>
      <c r="CD117" s="39" t="n"/>
      <c r="CE117" s="39" t="n"/>
      <c r="CF117" s="39" t="n"/>
      <c r="CG117" s="47" t="n"/>
      <c r="CH117" s="47" t="n"/>
      <c r="CI117" s="47" t="n"/>
      <c r="CJ117" s="47" t="n"/>
    </row>
    <row r="118" ht="23" customHeight="1">
      <c r="A118" s="39" t="n"/>
      <c r="B118" s="39" t="n"/>
      <c r="C118" s="39" t="n"/>
      <c r="D118" s="40" t="n"/>
      <c r="E118" s="40" t="n"/>
      <c r="F118" s="39" t="n"/>
      <c r="G118" s="40" t="n"/>
      <c r="H118" s="39" t="n"/>
      <c r="I118" s="40" t="n"/>
      <c r="J118" s="40" t="n"/>
      <c r="K118" s="39" t="n"/>
      <c r="L118" s="39" t="n"/>
      <c r="M118" s="39" t="n"/>
      <c r="N118" s="39" t="n"/>
      <c r="O118" s="40" t="n"/>
      <c r="P118" s="46" t="n"/>
      <c r="Q118" s="48" t="n"/>
      <c r="R118" s="40" t="n"/>
      <c r="S118" s="40" t="n"/>
      <c r="T118" s="39" t="n"/>
      <c r="U118" s="47" t="n"/>
      <c r="V118" s="39" t="n"/>
      <c r="W118" s="39" t="n"/>
      <c r="X118" s="39" t="n"/>
      <c r="Y118" s="39" t="n"/>
      <c r="Z118" s="40" t="n"/>
      <c r="AA118" s="40" t="n"/>
      <c r="AB118" s="46" t="n"/>
      <c r="AC118" s="39" t="n"/>
      <c r="AD118" s="39" t="n"/>
      <c r="AE118" s="39" t="n"/>
      <c r="AF118" s="39" t="n"/>
      <c r="AG118" s="39" t="n"/>
      <c r="AH118" s="40" t="n"/>
      <c r="AI118" s="42" t="n"/>
      <c r="AJ118" s="50" t="n"/>
      <c r="AK118" s="46" t="n"/>
      <c r="AL118" s="43" t="n"/>
      <c r="AM118" s="43" t="n"/>
      <c r="AN118" s="40" t="n"/>
      <c r="AO118" s="40" t="n"/>
      <c r="AP118" s="40" t="n"/>
      <c r="AQ118" s="40" t="n"/>
      <c r="AR118" s="40" t="n"/>
      <c r="AS118" s="47" t="n"/>
      <c r="AT118" s="40" t="n"/>
      <c r="AU118" s="40" t="n"/>
      <c r="AV118" s="40" t="n"/>
      <c r="AW118" s="40" t="n"/>
      <c r="AX118" s="47" t="n"/>
      <c r="AY118" s="39" t="n"/>
      <c r="AZ118" s="39" t="n"/>
      <c r="BA118" s="39" t="n"/>
      <c r="BB118" s="39" t="n"/>
      <c r="BC118" s="39" t="n"/>
      <c r="BD118" s="40" t="n"/>
      <c r="BE118" s="39" t="n"/>
      <c r="BF118" s="39" t="n"/>
      <c r="BG118" s="39" t="n"/>
      <c r="BH118" s="39" t="n"/>
      <c r="BI118" s="39" t="n"/>
      <c r="BJ118" s="39" t="n"/>
      <c r="BK118" s="39" t="n"/>
      <c r="BL118" s="39" t="n"/>
      <c r="BM118" s="39" t="n"/>
      <c r="BN118" s="39" t="n"/>
      <c r="BO118" s="39" t="n"/>
      <c r="BP118" s="40" t="n"/>
      <c r="BQ118" s="40" t="n"/>
      <c r="BR118" s="40" t="n"/>
      <c r="BS118" s="40" t="n"/>
      <c r="BT118" s="40" t="n"/>
      <c r="BU118" s="40" t="n"/>
      <c r="BV118" s="40" t="n"/>
      <c r="BW118" s="40" t="n"/>
      <c r="BX118" s="43" t="n"/>
      <c r="BY118" s="39" t="n"/>
      <c r="BZ118" s="39" t="n"/>
      <c r="CA118" s="39" t="n"/>
      <c r="CB118" s="39" t="n"/>
      <c r="CC118" s="39" t="n"/>
      <c r="CD118" s="39" t="n"/>
      <c r="CE118" s="39" t="n"/>
      <c r="CF118" s="39" t="n"/>
      <c r="CG118" s="47" t="n"/>
      <c r="CH118" s="47" t="n"/>
      <c r="CI118" s="47" t="n"/>
      <c r="CJ118" s="47" t="n"/>
    </row>
    <row r="119" ht="23" customHeight="1">
      <c r="A119" s="39" t="n"/>
      <c r="B119" s="39" t="n"/>
      <c r="C119" s="39" t="n"/>
      <c r="D119" s="40" t="n"/>
      <c r="E119" s="40" t="n"/>
      <c r="F119" s="39" t="n"/>
      <c r="G119" s="40" t="n"/>
      <c r="H119" s="39" t="n"/>
      <c r="I119" s="40" t="n"/>
      <c r="J119" s="40" t="n"/>
      <c r="K119" s="39" t="n"/>
      <c r="L119" s="39" t="n"/>
      <c r="M119" s="39" t="n"/>
      <c r="N119" s="39" t="n"/>
      <c r="O119" s="40" t="n"/>
      <c r="P119" s="46" t="n"/>
      <c r="Q119" s="48" t="n"/>
      <c r="R119" s="40" t="n"/>
      <c r="S119" s="40" t="n"/>
      <c r="T119" s="39" t="n"/>
      <c r="U119" s="47" t="n"/>
      <c r="V119" s="39" t="n"/>
      <c r="W119" s="39" t="n"/>
      <c r="X119" s="39" t="n"/>
      <c r="Y119" s="39" t="n"/>
      <c r="Z119" s="40" t="n"/>
      <c r="AA119" s="40" t="n"/>
      <c r="AB119" s="46" t="n"/>
      <c r="AC119" s="39" t="n"/>
      <c r="AD119" s="39" t="n"/>
      <c r="AE119" s="39" t="n"/>
      <c r="AF119" s="39" t="n"/>
      <c r="AG119" s="39" t="n"/>
      <c r="AH119" s="40" t="n"/>
      <c r="AI119" s="42" t="n"/>
      <c r="AJ119" s="50" t="n"/>
      <c r="AK119" s="46" t="n"/>
      <c r="AL119" s="43" t="n"/>
      <c r="AM119" s="43" t="n"/>
      <c r="AN119" s="40" t="n"/>
      <c r="AO119" s="40" t="n"/>
      <c r="AP119" s="40" t="n"/>
      <c r="AQ119" s="40" t="n"/>
      <c r="AR119" s="40" t="n"/>
      <c r="AS119" s="47" t="n"/>
      <c r="AT119" s="40" t="n"/>
      <c r="AU119" s="40" t="n"/>
      <c r="AV119" s="40" t="n"/>
      <c r="AW119" s="40" t="n"/>
      <c r="AX119" s="47" t="n"/>
      <c r="AY119" s="39" t="n"/>
      <c r="AZ119" s="39" t="n"/>
      <c r="BA119" s="39" t="n"/>
      <c r="BB119" s="39" t="n"/>
      <c r="BC119" s="39" t="n"/>
      <c r="BD119" s="40" t="n"/>
      <c r="BE119" s="39" t="n"/>
      <c r="BF119" s="39" t="n"/>
      <c r="BG119" s="39" t="n"/>
      <c r="BH119" s="39" t="n"/>
      <c r="BI119" s="39" t="n"/>
      <c r="BJ119" s="39" t="n"/>
      <c r="BK119" s="39" t="n"/>
      <c r="BL119" s="39" t="n"/>
      <c r="BM119" s="39" t="n"/>
      <c r="BN119" s="39" t="n"/>
      <c r="BO119" s="39" t="n"/>
      <c r="BP119" s="40" t="n"/>
      <c r="BQ119" s="40" t="n"/>
      <c r="BR119" s="40" t="n"/>
      <c r="BS119" s="40" t="n"/>
      <c r="BT119" s="40" t="n"/>
      <c r="BU119" s="40" t="n"/>
      <c r="BV119" s="40" t="n"/>
      <c r="BW119" s="40" t="n"/>
      <c r="BX119" s="43" t="n"/>
      <c r="BY119" s="39" t="n"/>
      <c r="BZ119" s="39" t="n"/>
      <c r="CA119" s="39" t="n"/>
      <c r="CB119" s="39" t="n"/>
      <c r="CC119" s="39" t="n"/>
      <c r="CD119" s="39" t="n"/>
      <c r="CE119" s="39" t="n"/>
      <c r="CF119" s="39" t="n"/>
      <c r="CG119" s="47" t="n"/>
      <c r="CH119" s="47" t="n"/>
      <c r="CI119" s="47" t="n"/>
      <c r="CJ119" s="47" t="n"/>
    </row>
    <row r="120" ht="23" customHeight="1">
      <c r="A120" s="39" t="n"/>
      <c r="B120" s="39" t="n"/>
      <c r="C120" s="39" t="n"/>
      <c r="D120" s="40" t="n"/>
      <c r="E120" s="40" t="n"/>
      <c r="F120" s="39" t="n"/>
      <c r="G120" s="40" t="n"/>
      <c r="H120" s="39" t="n"/>
      <c r="I120" s="40" t="n"/>
      <c r="J120" s="40" t="n"/>
      <c r="K120" s="39" t="n"/>
      <c r="L120" s="39" t="n"/>
      <c r="M120" s="39" t="n"/>
      <c r="N120" s="39" t="n"/>
      <c r="O120" s="40" t="n"/>
      <c r="P120" s="46" t="n"/>
      <c r="Q120" s="48" t="n"/>
      <c r="R120" s="40" t="n"/>
      <c r="S120" s="40" t="n"/>
      <c r="T120" s="39" t="n"/>
      <c r="U120" s="47" t="n"/>
      <c r="V120" s="39" t="n"/>
      <c r="W120" s="39" t="n"/>
      <c r="X120" s="39" t="n"/>
      <c r="Y120" s="39" t="n"/>
      <c r="Z120" s="40" t="n"/>
      <c r="AA120" s="40" t="n"/>
      <c r="AB120" s="46" t="n"/>
      <c r="AC120" s="39" t="n"/>
      <c r="AD120" s="39" t="n"/>
      <c r="AE120" s="39" t="n"/>
      <c r="AF120" s="39" t="n"/>
      <c r="AG120" s="39" t="n"/>
      <c r="AH120" s="40" t="n"/>
      <c r="AI120" s="42" t="n"/>
      <c r="AJ120" s="50" t="n"/>
      <c r="AK120" s="46" t="n"/>
      <c r="AL120" s="43" t="n"/>
      <c r="AM120" s="43" t="n"/>
      <c r="AN120" s="40" t="n"/>
      <c r="AO120" s="40" t="n"/>
      <c r="AP120" s="40" t="n"/>
      <c r="AQ120" s="40" t="n"/>
      <c r="AR120" s="40" t="n"/>
      <c r="AS120" s="47" t="n"/>
      <c r="AT120" s="40" t="n"/>
      <c r="AU120" s="40" t="n"/>
      <c r="AV120" s="40" t="n"/>
      <c r="AW120" s="40" t="n"/>
      <c r="AX120" s="47" t="n"/>
      <c r="AY120" s="39" t="n"/>
      <c r="AZ120" s="39" t="n"/>
      <c r="BA120" s="39" t="n"/>
      <c r="BB120" s="39" t="n"/>
      <c r="BC120" s="39" t="n"/>
      <c r="BD120" s="40" t="n"/>
      <c r="BE120" s="39" t="n"/>
      <c r="BF120" s="39" t="n"/>
      <c r="BG120" s="39" t="n"/>
      <c r="BH120" s="39" t="n"/>
      <c r="BI120" s="39" t="n"/>
      <c r="BJ120" s="39" t="n"/>
      <c r="BK120" s="39" t="n"/>
      <c r="BL120" s="39" t="n"/>
      <c r="BM120" s="39" t="n"/>
      <c r="BN120" s="39" t="n"/>
      <c r="BO120" s="39" t="n"/>
      <c r="BP120" s="40" t="n"/>
      <c r="BQ120" s="40" t="n"/>
      <c r="BR120" s="40" t="n"/>
      <c r="BS120" s="40" t="n"/>
      <c r="BT120" s="40" t="n"/>
      <c r="BU120" s="40" t="n"/>
      <c r="BV120" s="40" t="n"/>
      <c r="BW120" s="40" t="n"/>
      <c r="BX120" s="43" t="n"/>
      <c r="BY120" s="39" t="n"/>
      <c r="BZ120" s="39" t="n"/>
      <c r="CA120" s="39" t="n"/>
      <c r="CB120" s="39" t="n"/>
      <c r="CC120" s="39" t="n"/>
      <c r="CD120" s="39" t="n"/>
      <c r="CE120" s="39" t="n"/>
      <c r="CF120" s="39" t="n"/>
      <c r="CG120" s="47" t="n"/>
      <c r="CH120" s="47" t="n"/>
      <c r="CI120" s="47" t="n"/>
      <c r="CJ120" s="47" t="n"/>
    </row>
    <row r="121" ht="23" customHeight="1">
      <c r="A121" s="39" t="n"/>
      <c r="B121" s="39" t="n"/>
      <c r="C121" s="39" t="n"/>
      <c r="D121" s="40" t="n"/>
      <c r="E121" s="40" t="n"/>
      <c r="F121" s="39" t="n"/>
      <c r="G121" s="40" t="n"/>
      <c r="H121" s="39" t="n"/>
      <c r="I121" s="40" t="n"/>
      <c r="J121" s="40" t="n"/>
      <c r="K121" s="39" t="n"/>
      <c r="L121" s="39" t="n"/>
      <c r="M121" s="39" t="n"/>
      <c r="N121" s="39" t="n"/>
      <c r="O121" s="40" t="n"/>
      <c r="P121" s="46" t="n"/>
      <c r="Q121" s="48" t="n"/>
      <c r="R121" s="40" t="n"/>
      <c r="S121" s="40" t="n"/>
      <c r="T121" s="39" t="n"/>
      <c r="U121" s="47" t="n"/>
      <c r="V121" s="39" t="n"/>
      <c r="W121" s="39" t="n"/>
      <c r="X121" s="39" t="n"/>
      <c r="Y121" s="39" t="n"/>
      <c r="Z121" s="40" t="n"/>
      <c r="AA121" s="40" t="n"/>
      <c r="AB121" s="46" t="n"/>
      <c r="AC121" s="39" t="n"/>
      <c r="AD121" s="39" t="n"/>
      <c r="AE121" s="39" t="n"/>
      <c r="AF121" s="39" t="n"/>
      <c r="AG121" s="39" t="n"/>
      <c r="AH121" s="40" t="n"/>
      <c r="AI121" s="42" t="n"/>
      <c r="AJ121" s="50" t="n"/>
      <c r="AK121" s="46" t="n"/>
      <c r="AL121" s="43" t="n"/>
      <c r="AM121" s="43" t="n"/>
      <c r="AN121" s="40" t="n"/>
      <c r="AO121" s="40" t="n"/>
      <c r="AP121" s="40" t="n"/>
      <c r="AQ121" s="40" t="n"/>
      <c r="AR121" s="40" t="n"/>
      <c r="AS121" s="47" t="n"/>
      <c r="AT121" s="40" t="n"/>
      <c r="AU121" s="40" t="n"/>
      <c r="AV121" s="40" t="n"/>
      <c r="AW121" s="40" t="n"/>
      <c r="AX121" s="47" t="n"/>
      <c r="AY121" s="39" t="n"/>
      <c r="AZ121" s="39" t="n"/>
      <c r="BA121" s="39" t="n"/>
      <c r="BB121" s="39" t="n"/>
      <c r="BC121" s="39" t="n"/>
      <c r="BD121" s="40" t="n"/>
      <c r="BE121" s="39" t="n"/>
      <c r="BF121" s="39" t="n"/>
      <c r="BG121" s="39" t="n"/>
      <c r="BH121" s="39" t="n"/>
      <c r="BI121" s="39" t="n"/>
      <c r="BJ121" s="39" t="n"/>
      <c r="BK121" s="39" t="n"/>
      <c r="BL121" s="39" t="n"/>
      <c r="BM121" s="39" t="n"/>
      <c r="BN121" s="39" t="n"/>
      <c r="BO121" s="39" t="n"/>
      <c r="BP121" s="40" t="n"/>
      <c r="BQ121" s="40" t="n"/>
      <c r="BR121" s="40" t="n"/>
      <c r="BS121" s="40" t="n"/>
      <c r="BT121" s="40" t="n"/>
      <c r="BU121" s="40" t="n"/>
      <c r="BV121" s="40" t="n"/>
      <c r="BW121" s="40" t="n"/>
      <c r="BX121" s="43" t="n"/>
      <c r="BY121" s="39" t="n"/>
      <c r="BZ121" s="39" t="n"/>
      <c r="CA121" s="39" t="n"/>
      <c r="CB121" s="39" t="n"/>
      <c r="CC121" s="39" t="n"/>
      <c r="CD121" s="39" t="n"/>
      <c r="CE121" s="39" t="n"/>
      <c r="CF121" s="39" t="n"/>
      <c r="CG121" s="47" t="n"/>
      <c r="CH121" s="47" t="n"/>
      <c r="CI121" s="47" t="n"/>
      <c r="CJ121" s="47" t="n"/>
    </row>
    <row r="122" ht="23" customHeight="1">
      <c r="A122" s="39" t="n"/>
      <c r="B122" s="39" t="n"/>
      <c r="C122" s="39" t="n"/>
      <c r="D122" s="40" t="n"/>
      <c r="E122" s="40" t="n"/>
      <c r="F122" s="39" t="n"/>
      <c r="G122" s="40" t="n"/>
      <c r="H122" s="39" t="n"/>
      <c r="I122" s="40" t="n"/>
      <c r="J122" s="40" t="n"/>
      <c r="K122" s="39" t="n"/>
      <c r="L122" s="39" t="n"/>
      <c r="M122" s="39" t="n"/>
      <c r="N122" s="39" t="n"/>
      <c r="O122" s="40" t="n"/>
      <c r="P122" s="46" t="n"/>
      <c r="Q122" s="48" t="n"/>
      <c r="R122" s="40" t="n"/>
      <c r="S122" s="40" t="n"/>
      <c r="T122" s="39" t="n"/>
      <c r="U122" s="47" t="n"/>
      <c r="V122" s="39" t="n"/>
      <c r="W122" s="39" t="n"/>
      <c r="X122" s="39" t="n"/>
      <c r="Y122" s="39" t="n"/>
      <c r="Z122" s="40" t="n"/>
      <c r="AA122" s="40" t="n"/>
      <c r="AB122" s="46" t="n"/>
      <c r="AC122" s="39" t="n"/>
      <c r="AD122" s="39" t="n"/>
      <c r="AE122" s="39" t="n"/>
      <c r="AF122" s="39" t="n"/>
      <c r="AG122" s="39" t="n"/>
      <c r="AH122" s="40" t="n"/>
      <c r="AI122" s="42" t="n"/>
      <c r="AJ122" s="50" t="n"/>
      <c r="AK122" s="46" t="n"/>
      <c r="AL122" s="43" t="n"/>
      <c r="AM122" s="43" t="n"/>
      <c r="AN122" s="40" t="n"/>
      <c r="AO122" s="40" t="n"/>
      <c r="AP122" s="40" t="n"/>
      <c r="AQ122" s="40" t="n"/>
      <c r="AR122" s="40" t="n"/>
      <c r="AS122" s="47" t="n"/>
      <c r="AT122" s="40" t="n"/>
      <c r="AU122" s="40" t="n"/>
      <c r="AV122" s="40" t="n"/>
      <c r="AW122" s="40" t="n"/>
      <c r="AX122" s="47" t="n"/>
      <c r="AY122" s="39" t="n"/>
      <c r="AZ122" s="39" t="n"/>
      <c r="BA122" s="39" t="n"/>
      <c r="BB122" s="39" t="n"/>
      <c r="BC122" s="39" t="n"/>
      <c r="BD122" s="40" t="n"/>
      <c r="BE122" s="39" t="n"/>
      <c r="BF122" s="39" t="n"/>
      <c r="BG122" s="39" t="n"/>
      <c r="BH122" s="39" t="n"/>
      <c r="BI122" s="39" t="n"/>
      <c r="BJ122" s="39" t="n"/>
      <c r="BK122" s="39" t="n"/>
      <c r="BL122" s="39" t="n"/>
      <c r="BM122" s="39" t="n"/>
      <c r="BN122" s="39" t="n"/>
      <c r="BO122" s="39" t="n"/>
      <c r="BP122" s="40" t="n"/>
      <c r="BQ122" s="40" t="n"/>
      <c r="BR122" s="40" t="n"/>
      <c r="BS122" s="40" t="n"/>
      <c r="BT122" s="40" t="n"/>
      <c r="BU122" s="40" t="n"/>
      <c r="BV122" s="40" t="n"/>
      <c r="BW122" s="40" t="n"/>
      <c r="BX122" s="43" t="n"/>
      <c r="BY122" s="39" t="n"/>
      <c r="BZ122" s="39" t="n"/>
      <c r="CA122" s="39" t="n"/>
      <c r="CB122" s="39" t="n"/>
      <c r="CC122" s="39" t="n"/>
      <c r="CD122" s="39" t="n"/>
      <c r="CE122" s="39" t="n"/>
      <c r="CF122" s="39" t="n"/>
      <c r="CG122" s="47" t="n"/>
      <c r="CH122" s="47" t="n"/>
      <c r="CI122" s="47" t="n"/>
      <c r="CJ122" s="47" t="n"/>
    </row>
    <row r="123" ht="23" customHeight="1">
      <c r="A123" s="39" t="n"/>
      <c r="B123" s="39" t="n"/>
      <c r="C123" s="39" t="n"/>
      <c r="D123" s="40" t="n"/>
      <c r="E123" s="40" t="n"/>
      <c r="F123" s="39" t="n"/>
      <c r="G123" s="40" t="n"/>
      <c r="H123" s="39" t="n"/>
      <c r="I123" s="40" t="n"/>
      <c r="J123" s="40" t="n"/>
      <c r="K123" s="39" t="n"/>
      <c r="L123" s="39" t="n"/>
      <c r="M123" s="39" t="n"/>
      <c r="N123" s="39" t="n"/>
      <c r="O123" s="40" t="n"/>
      <c r="P123" s="46" t="n"/>
      <c r="Q123" s="48" t="n"/>
      <c r="R123" s="40" t="n"/>
      <c r="S123" s="40" t="n"/>
      <c r="T123" s="39" t="n"/>
      <c r="U123" s="47" t="n"/>
      <c r="V123" s="39" t="n"/>
      <c r="W123" s="39" t="n"/>
      <c r="X123" s="39" t="n"/>
      <c r="Y123" s="39" t="n"/>
      <c r="Z123" s="40" t="n"/>
      <c r="AA123" s="40" t="n"/>
      <c r="AB123" s="46" t="n"/>
      <c r="AC123" s="39" t="n"/>
      <c r="AD123" s="39" t="n"/>
      <c r="AE123" s="39" t="n"/>
      <c r="AF123" s="39" t="n"/>
      <c r="AG123" s="39" t="n"/>
      <c r="AH123" s="40" t="n"/>
      <c r="AI123" s="42" t="n"/>
      <c r="AJ123" s="50" t="n"/>
      <c r="AK123" s="46" t="n"/>
      <c r="AL123" s="43" t="n"/>
      <c r="AM123" s="43" t="n"/>
      <c r="AN123" s="40" t="n"/>
      <c r="AO123" s="40" t="n"/>
      <c r="AP123" s="40" t="n"/>
      <c r="AQ123" s="40" t="n"/>
      <c r="AR123" s="40" t="n"/>
      <c r="AS123" s="47" t="n"/>
      <c r="AT123" s="40" t="n"/>
      <c r="AU123" s="40" t="n"/>
      <c r="AV123" s="40" t="n"/>
      <c r="AW123" s="40" t="n"/>
      <c r="AX123" s="47" t="n"/>
      <c r="AY123" s="39" t="n"/>
      <c r="AZ123" s="39" t="n"/>
      <c r="BA123" s="39" t="n"/>
      <c r="BB123" s="39" t="n"/>
      <c r="BC123" s="39" t="n"/>
      <c r="BD123" s="40" t="n"/>
      <c r="BE123" s="39" t="n"/>
      <c r="BF123" s="39" t="n"/>
      <c r="BG123" s="39" t="n"/>
      <c r="BH123" s="39" t="n"/>
      <c r="BI123" s="39" t="n"/>
      <c r="BJ123" s="39" t="n"/>
      <c r="BK123" s="39" t="n"/>
      <c r="BL123" s="39" t="n"/>
      <c r="BM123" s="39" t="n"/>
      <c r="BN123" s="39" t="n"/>
      <c r="BO123" s="39" t="n"/>
      <c r="BP123" s="40" t="n"/>
      <c r="BQ123" s="40" t="n"/>
      <c r="BR123" s="40" t="n"/>
      <c r="BS123" s="40" t="n"/>
      <c r="BT123" s="40" t="n"/>
      <c r="BU123" s="40" t="n"/>
      <c r="BV123" s="40" t="n"/>
      <c r="BW123" s="40" t="n"/>
      <c r="BX123" s="43" t="n"/>
      <c r="BY123" s="39" t="n"/>
      <c r="BZ123" s="39" t="n"/>
      <c r="CA123" s="39" t="n"/>
      <c r="CB123" s="39" t="n"/>
      <c r="CC123" s="39" t="n"/>
      <c r="CD123" s="39" t="n"/>
      <c r="CE123" s="39" t="n"/>
      <c r="CF123" s="39" t="n"/>
      <c r="CG123" s="47" t="n"/>
      <c r="CH123" s="47" t="n"/>
      <c r="CI123" s="47" t="n"/>
      <c r="CJ123" s="47" t="n"/>
    </row>
    <row r="124" ht="23" customHeight="1">
      <c r="A124" s="39" t="n"/>
      <c r="B124" s="39" t="n"/>
      <c r="C124" s="39" t="n"/>
      <c r="D124" s="40" t="n"/>
      <c r="E124" s="40" t="n"/>
      <c r="F124" s="39" t="n"/>
      <c r="G124" s="40" t="n"/>
      <c r="H124" s="39" t="n"/>
      <c r="I124" s="40" t="n"/>
      <c r="J124" s="40" t="n"/>
      <c r="K124" s="39" t="n"/>
      <c r="L124" s="39" t="n"/>
      <c r="M124" s="39" t="n"/>
      <c r="N124" s="39" t="n"/>
      <c r="O124" s="40" t="n"/>
      <c r="P124" s="46" t="n"/>
      <c r="Q124" s="48" t="n"/>
      <c r="R124" s="40" t="n"/>
      <c r="S124" s="40" t="n"/>
      <c r="T124" s="39" t="n"/>
      <c r="U124" s="47" t="n"/>
      <c r="V124" s="39" t="n"/>
      <c r="W124" s="39" t="n"/>
      <c r="X124" s="39" t="n"/>
      <c r="Y124" s="39" t="n"/>
      <c r="Z124" s="40" t="n"/>
      <c r="AA124" s="40" t="n"/>
      <c r="AB124" s="46" t="n"/>
      <c r="AC124" s="39" t="n"/>
      <c r="AD124" s="39" t="n"/>
      <c r="AE124" s="39" t="n"/>
      <c r="AF124" s="39" t="n"/>
      <c r="AG124" s="39" t="n"/>
      <c r="AH124" s="40" t="n"/>
      <c r="AI124" s="42" t="n"/>
      <c r="AJ124" s="50" t="n"/>
      <c r="AK124" s="46" t="n"/>
      <c r="AL124" s="43" t="n"/>
      <c r="AM124" s="43" t="n"/>
      <c r="AN124" s="40" t="n"/>
      <c r="AO124" s="40" t="n"/>
      <c r="AP124" s="40" t="n"/>
      <c r="AQ124" s="40" t="n"/>
      <c r="AR124" s="40" t="n"/>
      <c r="AS124" s="47" t="n"/>
      <c r="AT124" s="40" t="n"/>
      <c r="AU124" s="40" t="n"/>
      <c r="AV124" s="40" t="n"/>
      <c r="AW124" s="40" t="n"/>
      <c r="AX124" s="47" t="n"/>
      <c r="AY124" s="39" t="n"/>
      <c r="AZ124" s="39" t="n"/>
      <c r="BA124" s="39" t="n"/>
      <c r="BB124" s="39" t="n"/>
      <c r="BC124" s="39" t="n"/>
      <c r="BD124" s="40" t="n"/>
      <c r="BE124" s="39" t="n"/>
      <c r="BF124" s="39" t="n"/>
      <c r="BG124" s="39" t="n"/>
      <c r="BH124" s="39" t="n"/>
      <c r="BI124" s="39" t="n"/>
      <c r="BJ124" s="39" t="n"/>
      <c r="BK124" s="39" t="n"/>
      <c r="BL124" s="39" t="n"/>
      <c r="BM124" s="39" t="n"/>
      <c r="BN124" s="39" t="n"/>
      <c r="BO124" s="39" t="n"/>
      <c r="BP124" s="40" t="n"/>
      <c r="BQ124" s="40" t="n"/>
      <c r="BR124" s="40" t="n"/>
      <c r="BS124" s="40" t="n"/>
      <c r="BT124" s="40" t="n"/>
      <c r="BU124" s="40" t="n"/>
      <c r="BV124" s="40" t="n"/>
      <c r="BW124" s="40" t="n"/>
      <c r="BX124" s="43" t="n"/>
      <c r="BY124" s="39" t="n"/>
      <c r="BZ124" s="39" t="n"/>
      <c r="CA124" s="39" t="n"/>
      <c r="CB124" s="39" t="n"/>
      <c r="CC124" s="39" t="n"/>
      <c r="CD124" s="39" t="n"/>
      <c r="CE124" s="39" t="n"/>
      <c r="CF124" s="39" t="n"/>
      <c r="CG124" s="47" t="n"/>
      <c r="CH124" s="47" t="n"/>
      <c r="CI124" s="47" t="n"/>
      <c r="CJ124" s="47" t="n"/>
    </row>
    <row r="125" ht="23" customHeight="1">
      <c r="A125" s="39" t="n"/>
      <c r="B125" s="39" t="n"/>
      <c r="C125" s="39" t="n"/>
      <c r="D125" s="40" t="n"/>
      <c r="E125" s="40" t="n"/>
      <c r="F125" s="39" t="n"/>
      <c r="G125" s="40" t="n"/>
      <c r="H125" s="39" t="n"/>
      <c r="I125" s="40" t="n"/>
      <c r="J125" s="40" t="n"/>
      <c r="K125" s="39" t="n"/>
      <c r="L125" s="39" t="n"/>
      <c r="M125" s="39" t="n"/>
      <c r="N125" s="39" t="n"/>
      <c r="O125" s="40" t="n"/>
      <c r="P125" s="46" t="n"/>
      <c r="Q125" s="48" t="n"/>
      <c r="R125" s="40" t="n"/>
      <c r="S125" s="40" t="n"/>
      <c r="T125" s="39" t="n"/>
      <c r="U125" s="47" t="n"/>
      <c r="V125" s="39" t="n"/>
      <c r="W125" s="39" t="n"/>
      <c r="X125" s="39" t="n"/>
      <c r="Y125" s="39" t="n"/>
      <c r="Z125" s="40" t="n"/>
      <c r="AA125" s="40" t="n"/>
      <c r="AB125" s="46" t="n"/>
      <c r="AC125" s="39" t="n"/>
      <c r="AD125" s="39" t="n"/>
      <c r="AE125" s="39" t="n"/>
      <c r="AF125" s="39" t="n"/>
      <c r="AG125" s="39" t="n"/>
      <c r="AH125" s="40" t="n"/>
      <c r="AI125" s="42" t="n"/>
      <c r="AJ125" s="50" t="n"/>
      <c r="AK125" s="46" t="n"/>
      <c r="AL125" s="43" t="n"/>
      <c r="AM125" s="43" t="n"/>
      <c r="AN125" s="40" t="n"/>
      <c r="AO125" s="40" t="n"/>
      <c r="AP125" s="40" t="n"/>
      <c r="AQ125" s="40" t="n"/>
      <c r="AR125" s="40" t="n"/>
      <c r="AS125" s="47" t="n"/>
      <c r="AT125" s="40" t="n"/>
      <c r="AU125" s="40" t="n"/>
      <c r="AV125" s="40" t="n"/>
      <c r="AW125" s="40" t="n"/>
      <c r="AX125" s="47" t="n"/>
      <c r="AY125" s="39" t="n"/>
      <c r="AZ125" s="39" t="n"/>
      <c r="BA125" s="39" t="n"/>
      <c r="BB125" s="39" t="n"/>
      <c r="BC125" s="39" t="n"/>
      <c r="BD125" s="40" t="n"/>
      <c r="BE125" s="39" t="n"/>
      <c r="BF125" s="39" t="n"/>
      <c r="BG125" s="39" t="n"/>
      <c r="BH125" s="39" t="n"/>
      <c r="BI125" s="39" t="n"/>
      <c r="BJ125" s="39" t="n"/>
      <c r="BK125" s="39" t="n"/>
      <c r="BL125" s="39" t="n"/>
      <c r="BM125" s="39" t="n"/>
      <c r="BN125" s="39" t="n"/>
      <c r="BO125" s="39" t="n"/>
      <c r="BP125" s="40" t="n"/>
      <c r="BQ125" s="40" t="n"/>
      <c r="BR125" s="40" t="n"/>
      <c r="BS125" s="40" t="n"/>
      <c r="BT125" s="40" t="n"/>
      <c r="BU125" s="40" t="n"/>
      <c r="BV125" s="40" t="n"/>
      <c r="BW125" s="40" t="n"/>
      <c r="BX125" s="43" t="n"/>
      <c r="BY125" s="39" t="n"/>
      <c r="BZ125" s="39" t="n"/>
      <c r="CA125" s="39" t="n"/>
      <c r="CB125" s="39" t="n"/>
      <c r="CC125" s="39" t="n"/>
      <c r="CD125" s="39" t="n"/>
      <c r="CE125" s="39" t="n"/>
      <c r="CF125" s="39" t="n"/>
      <c r="CG125" s="47" t="n"/>
      <c r="CH125" s="47" t="n"/>
      <c r="CI125" s="47" t="n"/>
      <c r="CJ125" s="47" t="n"/>
    </row>
    <row r="126" ht="23" customHeight="1">
      <c r="A126" s="39" t="n"/>
      <c r="B126" s="39" t="n"/>
      <c r="C126" s="39" t="n"/>
      <c r="D126" s="40" t="n"/>
      <c r="E126" s="40" t="n"/>
      <c r="F126" s="39" t="n"/>
      <c r="G126" s="40" t="n"/>
      <c r="H126" s="39" t="n"/>
      <c r="I126" s="40" t="n"/>
      <c r="J126" s="40" t="n"/>
      <c r="K126" s="39" t="n"/>
      <c r="L126" s="39" t="n"/>
      <c r="M126" s="39" t="n"/>
      <c r="N126" s="39" t="n"/>
      <c r="O126" s="40" t="n"/>
      <c r="P126" s="46" t="n"/>
      <c r="Q126" s="48" t="n"/>
      <c r="R126" s="40" t="n"/>
      <c r="S126" s="40" t="n"/>
      <c r="T126" s="39" t="n"/>
      <c r="U126" s="47" t="n"/>
      <c r="V126" s="39" t="n"/>
      <c r="W126" s="39" t="n"/>
      <c r="X126" s="39" t="n"/>
      <c r="Y126" s="39" t="n"/>
      <c r="Z126" s="40" t="n"/>
      <c r="AA126" s="40" t="n"/>
      <c r="AB126" s="46" t="n"/>
      <c r="AC126" s="39" t="n"/>
      <c r="AD126" s="39" t="n"/>
      <c r="AE126" s="39" t="n"/>
      <c r="AF126" s="39" t="n"/>
      <c r="AG126" s="39" t="n"/>
      <c r="AH126" s="40" t="n"/>
      <c r="AI126" s="42" t="n"/>
      <c r="AJ126" s="50" t="n"/>
      <c r="AK126" s="46" t="n"/>
      <c r="AL126" s="43" t="n"/>
      <c r="AM126" s="43" t="n"/>
      <c r="AN126" s="40" t="n"/>
      <c r="AO126" s="40" t="n"/>
      <c r="AP126" s="40" t="n"/>
      <c r="AQ126" s="40" t="n"/>
      <c r="AR126" s="40" t="n"/>
      <c r="AS126" s="47" t="n"/>
      <c r="AT126" s="40" t="n"/>
      <c r="AU126" s="40" t="n"/>
      <c r="AV126" s="40" t="n"/>
      <c r="AW126" s="40" t="n"/>
      <c r="AX126" s="47" t="n"/>
      <c r="AY126" s="39" t="n"/>
      <c r="AZ126" s="39" t="n"/>
      <c r="BA126" s="39" t="n"/>
      <c r="BB126" s="39" t="n"/>
      <c r="BC126" s="39" t="n"/>
      <c r="BD126" s="40" t="n"/>
      <c r="BE126" s="39" t="n"/>
      <c r="BF126" s="39" t="n"/>
      <c r="BG126" s="39" t="n"/>
      <c r="BH126" s="39" t="n"/>
      <c r="BI126" s="39" t="n"/>
      <c r="BJ126" s="39" t="n"/>
      <c r="BK126" s="39" t="n"/>
      <c r="BL126" s="39" t="n"/>
      <c r="BM126" s="39" t="n"/>
      <c r="BN126" s="39" t="n"/>
      <c r="BO126" s="39" t="n"/>
      <c r="BP126" s="40" t="n"/>
      <c r="BQ126" s="40" t="n"/>
      <c r="BR126" s="40" t="n"/>
      <c r="BS126" s="40" t="n"/>
      <c r="BT126" s="40" t="n"/>
      <c r="BU126" s="40" t="n"/>
      <c r="BV126" s="40" t="n"/>
      <c r="BW126" s="40" t="n"/>
      <c r="BX126" s="43" t="n"/>
      <c r="BY126" s="39" t="n"/>
      <c r="BZ126" s="39" t="n"/>
      <c r="CA126" s="39" t="n"/>
      <c r="CB126" s="39" t="n"/>
      <c r="CC126" s="39" t="n"/>
      <c r="CD126" s="39" t="n"/>
      <c r="CE126" s="39" t="n"/>
      <c r="CF126" s="39" t="n"/>
      <c r="CG126" s="47" t="n"/>
      <c r="CH126" s="47" t="n"/>
      <c r="CI126" s="47" t="n"/>
      <c r="CJ126" s="47" t="n"/>
    </row>
    <row r="127" ht="23" customHeight="1">
      <c r="A127" s="39" t="n"/>
      <c r="B127" s="39" t="n"/>
      <c r="C127" s="39" t="n"/>
      <c r="D127" s="40" t="n"/>
      <c r="E127" s="40" t="n"/>
      <c r="F127" s="39" t="n"/>
      <c r="G127" s="40" t="n"/>
      <c r="H127" s="39" t="n"/>
      <c r="I127" s="40" t="n"/>
      <c r="J127" s="40" t="n"/>
      <c r="K127" s="39" t="n"/>
      <c r="L127" s="39" t="n"/>
      <c r="M127" s="39" t="n"/>
      <c r="N127" s="39" t="n"/>
      <c r="O127" s="40" t="n"/>
      <c r="P127" s="46" t="n"/>
      <c r="Q127" s="48" t="n"/>
      <c r="R127" s="40" t="n"/>
      <c r="S127" s="40" t="n"/>
      <c r="T127" s="39" t="n"/>
      <c r="U127" s="47" t="n"/>
      <c r="V127" s="39" t="n"/>
      <c r="W127" s="39" t="n"/>
      <c r="X127" s="39" t="n"/>
      <c r="Y127" s="39" t="n"/>
      <c r="Z127" s="40" t="n"/>
      <c r="AA127" s="40" t="n"/>
      <c r="AB127" s="46" t="n"/>
      <c r="AC127" s="39" t="n"/>
      <c r="AD127" s="39" t="n"/>
      <c r="AE127" s="39" t="n"/>
      <c r="AF127" s="39" t="n"/>
      <c r="AG127" s="39" t="n"/>
      <c r="AH127" s="40" t="n"/>
      <c r="AI127" s="42" t="n"/>
      <c r="AJ127" s="50" t="n"/>
      <c r="AK127" s="46" t="n"/>
      <c r="AL127" s="43" t="n"/>
      <c r="AM127" s="43" t="n"/>
      <c r="AN127" s="40" t="n"/>
      <c r="AO127" s="40" t="n"/>
      <c r="AP127" s="40" t="n"/>
      <c r="AQ127" s="40" t="n"/>
      <c r="AR127" s="40" t="n"/>
      <c r="AS127" s="47" t="n"/>
      <c r="AT127" s="40" t="n"/>
      <c r="AU127" s="40" t="n"/>
      <c r="AV127" s="40" t="n"/>
      <c r="AW127" s="40" t="n"/>
      <c r="AX127" s="47" t="n"/>
      <c r="AY127" s="39" t="n"/>
      <c r="AZ127" s="39" t="n"/>
      <c r="BA127" s="39" t="n"/>
      <c r="BB127" s="39" t="n"/>
      <c r="BC127" s="39" t="n"/>
      <c r="BD127" s="40" t="n"/>
      <c r="BE127" s="39" t="n"/>
      <c r="BF127" s="39" t="n"/>
      <c r="BG127" s="39" t="n"/>
      <c r="BH127" s="39" t="n"/>
      <c r="BI127" s="39" t="n"/>
      <c r="BJ127" s="39" t="n"/>
      <c r="BK127" s="39" t="n"/>
      <c r="BL127" s="39" t="n"/>
      <c r="BM127" s="39" t="n"/>
      <c r="BN127" s="39" t="n"/>
      <c r="BO127" s="39" t="n"/>
      <c r="BP127" s="40" t="n"/>
      <c r="BQ127" s="40" t="n"/>
      <c r="BR127" s="40" t="n"/>
      <c r="BS127" s="40" t="n"/>
      <c r="BT127" s="40" t="n"/>
      <c r="BU127" s="40" t="n"/>
      <c r="BV127" s="40" t="n"/>
      <c r="BW127" s="40" t="n"/>
      <c r="BX127" s="43" t="n"/>
      <c r="BY127" s="39" t="n"/>
      <c r="BZ127" s="39" t="n"/>
      <c r="CA127" s="39" t="n"/>
      <c r="CB127" s="39" t="n"/>
      <c r="CC127" s="39" t="n"/>
      <c r="CD127" s="39" t="n"/>
      <c r="CE127" s="39" t="n"/>
      <c r="CF127" s="39" t="n"/>
      <c r="CG127" s="47" t="n"/>
      <c r="CH127" s="47" t="n"/>
      <c r="CI127" s="47" t="n"/>
      <c r="CJ127" s="47" t="n"/>
    </row>
    <row r="128" ht="23" customHeight="1">
      <c r="A128" s="39" t="n"/>
      <c r="B128" s="39" t="n"/>
      <c r="C128" s="39" t="n"/>
      <c r="D128" s="40" t="n"/>
      <c r="E128" s="40" t="n"/>
      <c r="F128" s="39" t="n"/>
      <c r="G128" s="40" t="n"/>
      <c r="H128" s="39" t="n"/>
      <c r="I128" s="40" t="n"/>
      <c r="J128" s="40" t="n"/>
      <c r="K128" s="39" t="n"/>
      <c r="L128" s="39" t="n"/>
      <c r="M128" s="39" t="n"/>
      <c r="N128" s="39" t="n"/>
      <c r="O128" s="40" t="n"/>
      <c r="P128" s="46" t="n"/>
      <c r="Q128" s="48" t="n"/>
      <c r="R128" s="40" t="n"/>
      <c r="S128" s="40" t="n"/>
      <c r="T128" s="39" t="n"/>
      <c r="U128" s="47" t="n"/>
      <c r="V128" s="39" t="n"/>
      <c r="W128" s="39" t="n"/>
      <c r="X128" s="39" t="n"/>
      <c r="Y128" s="39" t="n"/>
      <c r="Z128" s="40" t="n"/>
      <c r="AA128" s="40" t="n"/>
      <c r="AB128" s="46" t="n"/>
      <c r="AC128" s="39" t="n"/>
      <c r="AD128" s="39" t="n"/>
      <c r="AE128" s="39" t="n"/>
      <c r="AF128" s="39" t="n"/>
      <c r="AG128" s="39" t="n"/>
      <c r="AH128" s="40" t="n"/>
      <c r="AI128" s="42" t="n"/>
      <c r="AJ128" s="50" t="n"/>
      <c r="AK128" s="46" t="n"/>
      <c r="AL128" s="43" t="n"/>
      <c r="AM128" s="43" t="n"/>
      <c r="AN128" s="40" t="n"/>
      <c r="AO128" s="40" t="n"/>
      <c r="AP128" s="40" t="n"/>
      <c r="AQ128" s="40" t="n"/>
      <c r="AR128" s="40" t="n"/>
      <c r="AS128" s="47" t="n"/>
      <c r="AT128" s="40" t="n"/>
      <c r="AU128" s="40" t="n"/>
      <c r="AV128" s="40" t="n"/>
      <c r="AW128" s="40" t="n"/>
      <c r="AX128" s="47" t="n"/>
      <c r="AY128" s="39" t="n"/>
      <c r="AZ128" s="39" t="n"/>
      <c r="BA128" s="39" t="n"/>
      <c r="BB128" s="39" t="n"/>
      <c r="BC128" s="39" t="n"/>
      <c r="BD128" s="40" t="n"/>
      <c r="BE128" s="39" t="n"/>
      <c r="BF128" s="39" t="n"/>
      <c r="BG128" s="39" t="n"/>
      <c r="BH128" s="39" t="n"/>
      <c r="BI128" s="39" t="n"/>
      <c r="BJ128" s="39" t="n"/>
      <c r="BK128" s="39" t="n"/>
      <c r="BL128" s="39" t="n"/>
      <c r="BM128" s="39" t="n"/>
      <c r="BN128" s="39" t="n"/>
      <c r="BO128" s="39" t="n"/>
      <c r="BP128" s="40" t="n"/>
      <c r="BQ128" s="40" t="n"/>
      <c r="BR128" s="40" t="n"/>
      <c r="BS128" s="40" t="n"/>
      <c r="BT128" s="40" t="n"/>
      <c r="BU128" s="40" t="n"/>
      <c r="BV128" s="40" t="n"/>
      <c r="BW128" s="40" t="n"/>
      <c r="BX128" s="43" t="n"/>
      <c r="BY128" s="39" t="n"/>
      <c r="BZ128" s="39" t="n"/>
      <c r="CA128" s="39" t="n"/>
      <c r="CB128" s="39" t="n"/>
      <c r="CC128" s="39" t="n"/>
      <c r="CD128" s="39" t="n"/>
      <c r="CE128" s="39" t="n"/>
      <c r="CF128" s="39" t="n"/>
      <c r="CG128" s="47" t="n"/>
      <c r="CH128" s="47" t="n"/>
      <c r="CI128" s="47" t="n"/>
      <c r="CJ128" s="47" t="n"/>
    </row>
    <row r="129" ht="23" customHeight="1">
      <c r="A129" s="39" t="n"/>
      <c r="B129" s="39" t="n"/>
      <c r="C129" s="39" t="n"/>
      <c r="D129" s="40" t="n"/>
      <c r="E129" s="40" t="n"/>
      <c r="F129" s="39" t="n"/>
      <c r="G129" s="40" t="n"/>
      <c r="H129" s="39" t="n"/>
      <c r="I129" s="40" t="n"/>
      <c r="J129" s="40" t="n"/>
      <c r="K129" s="39" t="n"/>
      <c r="L129" s="39" t="n"/>
      <c r="M129" s="39" t="n"/>
      <c r="N129" s="39" t="n"/>
      <c r="O129" s="40" t="n"/>
      <c r="P129" s="46" t="n"/>
      <c r="Q129" s="48" t="n"/>
      <c r="R129" s="40" t="n"/>
      <c r="S129" s="40" t="n"/>
      <c r="T129" s="39" t="n"/>
      <c r="U129" s="47" t="n"/>
      <c r="V129" s="39" t="n"/>
      <c r="W129" s="39" t="n"/>
      <c r="X129" s="39" t="n"/>
      <c r="Y129" s="39" t="n"/>
      <c r="Z129" s="40" t="n"/>
      <c r="AA129" s="40" t="n"/>
      <c r="AB129" s="46" t="n"/>
      <c r="AC129" s="39" t="n"/>
      <c r="AD129" s="39" t="n"/>
      <c r="AE129" s="39" t="n"/>
      <c r="AF129" s="39" t="n"/>
      <c r="AG129" s="39" t="n"/>
      <c r="AH129" s="40" t="n"/>
      <c r="AI129" s="42" t="n"/>
      <c r="AJ129" s="50" t="n"/>
      <c r="AK129" s="46" t="n"/>
      <c r="AL129" s="43" t="n"/>
      <c r="AM129" s="43" t="n"/>
      <c r="AN129" s="40" t="n"/>
      <c r="AO129" s="40" t="n"/>
      <c r="AP129" s="40" t="n"/>
      <c r="AQ129" s="40" t="n"/>
      <c r="AR129" s="40" t="n"/>
      <c r="AS129" s="47" t="n"/>
      <c r="AT129" s="40" t="n"/>
      <c r="AU129" s="40" t="n"/>
      <c r="AV129" s="40" t="n"/>
      <c r="AW129" s="40" t="n"/>
      <c r="AX129" s="47" t="n"/>
      <c r="AY129" s="39" t="n"/>
      <c r="AZ129" s="39" t="n"/>
      <c r="BA129" s="39" t="n"/>
      <c r="BB129" s="39" t="n"/>
      <c r="BC129" s="39" t="n"/>
      <c r="BD129" s="40" t="n"/>
      <c r="BE129" s="39" t="n"/>
      <c r="BF129" s="39" t="n"/>
      <c r="BG129" s="39" t="n"/>
      <c r="BH129" s="39" t="n"/>
      <c r="BI129" s="39" t="n"/>
      <c r="BJ129" s="39" t="n"/>
      <c r="BK129" s="39" t="n"/>
      <c r="BL129" s="39" t="n"/>
      <c r="BM129" s="39" t="n"/>
      <c r="BN129" s="39" t="n"/>
      <c r="BO129" s="39" t="n"/>
      <c r="BP129" s="40" t="n"/>
      <c r="BQ129" s="40" t="n"/>
      <c r="BR129" s="40" t="n"/>
      <c r="BS129" s="40" t="n"/>
      <c r="BT129" s="40" t="n"/>
      <c r="BU129" s="40" t="n"/>
      <c r="BV129" s="40" t="n"/>
      <c r="BW129" s="40" t="n"/>
      <c r="BX129" s="43" t="n"/>
      <c r="BY129" s="39" t="n"/>
      <c r="BZ129" s="39" t="n"/>
      <c r="CA129" s="39" t="n"/>
      <c r="CB129" s="39" t="n"/>
      <c r="CC129" s="39" t="n"/>
      <c r="CD129" s="39" t="n"/>
      <c r="CE129" s="39" t="n"/>
      <c r="CF129" s="39" t="n"/>
      <c r="CG129" s="47" t="n"/>
      <c r="CH129" s="47" t="n"/>
      <c r="CI129" s="47" t="n"/>
      <c r="CJ129" s="47" t="n"/>
    </row>
    <row r="130" ht="23" customHeight="1">
      <c r="A130" s="39" t="n"/>
      <c r="B130" s="39" t="n"/>
      <c r="C130" s="39" t="n"/>
      <c r="D130" s="40" t="n"/>
      <c r="E130" s="40" t="n"/>
      <c r="F130" s="39" t="n"/>
      <c r="G130" s="40" t="n"/>
      <c r="H130" s="39" t="n"/>
      <c r="I130" s="40" t="n"/>
      <c r="J130" s="40" t="n"/>
      <c r="K130" s="39" t="n"/>
      <c r="L130" s="39" t="n"/>
      <c r="M130" s="39" t="n"/>
      <c r="N130" s="39" t="n"/>
      <c r="O130" s="40" t="n"/>
      <c r="P130" s="46" t="n"/>
      <c r="Q130" s="48" t="n"/>
      <c r="R130" s="40" t="n"/>
      <c r="S130" s="40" t="n"/>
      <c r="T130" s="39" t="n"/>
      <c r="U130" s="47" t="n"/>
      <c r="V130" s="39" t="n"/>
      <c r="W130" s="39" t="n"/>
      <c r="X130" s="39" t="n"/>
      <c r="Y130" s="39" t="n"/>
      <c r="Z130" s="40" t="n"/>
      <c r="AA130" s="40" t="n"/>
      <c r="AB130" s="46" t="n"/>
      <c r="AC130" s="39" t="n"/>
      <c r="AD130" s="39" t="n"/>
      <c r="AE130" s="39" t="n"/>
      <c r="AF130" s="39" t="n"/>
      <c r="AG130" s="39" t="n"/>
      <c r="AH130" s="40" t="n"/>
      <c r="AI130" s="42" t="n"/>
      <c r="AJ130" s="50" t="n"/>
      <c r="AK130" s="46" t="n"/>
      <c r="AL130" s="43" t="n"/>
      <c r="AM130" s="43" t="n"/>
      <c r="AN130" s="40" t="n"/>
      <c r="AO130" s="40" t="n"/>
      <c r="AP130" s="40" t="n"/>
      <c r="AQ130" s="40" t="n"/>
      <c r="AR130" s="40" t="n"/>
      <c r="AS130" s="47" t="n"/>
      <c r="AT130" s="40" t="n"/>
      <c r="AU130" s="40" t="n"/>
      <c r="AV130" s="40" t="n"/>
      <c r="AW130" s="40" t="n"/>
      <c r="AX130" s="47" t="n"/>
      <c r="AY130" s="39" t="n"/>
      <c r="AZ130" s="39" t="n"/>
      <c r="BA130" s="39" t="n"/>
      <c r="BB130" s="39" t="n"/>
      <c r="BC130" s="39" t="n"/>
      <c r="BD130" s="40" t="n"/>
      <c r="BE130" s="39" t="n"/>
      <c r="BF130" s="39" t="n"/>
      <c r="BG130" s="39" t="n"/>
      <c r="BH130" s="39" t="n"/>
      <c r="BI130" s="39" t="n"/>
      <c r="BJ130" s="39" t="n"/>
      <c r="BK130" s="39" t="n"/>
      <c r="BL130" s="39" t="n"/>
      <c r="BM130" s="39" t="n"/>
      <c r="BN130" s="39" t="n"/>
      <c r="BO130" s="39" t="n"/>
      <c r="BP130" s="40" t="n"/>
      <c r="BQ130" s="40" t="n"/>
      <c r="BR130" s="40" t="n"/>
      <c r="BS130" s="40" t="n"/>
      <c r="BT130" s="40" t="n"/>
      <c r="BU130" s="40" t="n"/>
      <c r="BV130" s="40" t="n"/>
      <c r="BW130" s="40" t="n"/>
      <c r="BX130" s="43" t="n"/>
      <c r="BY130" s="39" t="n"/>
      <c r="BZ130" s="39" t="n"/>
      <c r="CA130" s="39" t="n"/>
      <c r="CB130" s="39" t="n"/>
      <c r="CC130" s="39" t="n"/>
      <c r="CD130" s="39" t="n"/>
      <c r="CE130" s="39" t="n"/>
      <c r="CF130" s="39" t="n"/>
      <c r="CG130" s="47" t="n"/>
      <c r="CH130" s="47" t="n"/>
      <c r="CI130" s="47" t="n"/>
      <c r="CJ130" s="47" t="n"/>
    </row>
    <row r="131" ht="23" customHeight="1">
      <c r="A131" s="39" t="n"/>
      <c r="B131" s="39" t="n"/>
      <c r="C131" s="39" t="n"/>
      <c r="D131" s="40" t="n"/>
      <c r="E131" s="40" t="n"/>
      <c r="F131" s="39" t="n"/>
      <c r="G131" s="40" t="n"/>
      <c r="H131" s="39" t="n"/>
      <c r="I131" s="40" t="n"/>
      <c r="J131" s="40" t="n"/>
      <c r="K131" s="39" t="n"/>
      <c r="L131" s="39" t="n"/>
      <c r="M131" s="39" t="n"/>
      <c r="N131" s="39" t="n"/>
      <c r="O131" s="40" t="n"/>
      <c r="P131" s="46" t="n"/>
      <c r="Q131" s="48" t="n"/>
      <c r="R131" s="40" t="n"/>
      <c r="S131" s="40" t="n"/>
      <c r="T131" s="39" t="n"/>
      <c r="U131" s="47" t="n"/>
      <c r="V131" s="39" t="n"/>
      <c r="W131" s="39" t="n"/>
      <c r="X131" s="39" t="n"/>
      <c r="Y131" s="39" t="n"/>
      <c r="Z131" s="40" t="n"/>
      <c r="AA131" s="40" t="n"/>
      <c r="AB131" s="46" t="n"/>
      <c r="AC131" s="39" t="n"/>
      <c r="AD131" s="39" t="n"/>
      <c r="AE131" s="39" t="n"/>
      <c r="AF131" s="39" t="n"/>
      <c r="AG131" s="39" t="n"/>
      <c r="AH131" s="40" t="n"/>
      <c r="AI131" s="42" t="n"/>
      <c r="AJ131" s="50" t="n"/>
      <c r="AK131" s="46" t="n"/>
      <c r="AL131" s="43" t="n"/>
      <c r="AM131" s="43" t="n"/>
      <c r="AN131" s="40" t="n"/>
      <c r="AO131" s="40" t="n"/>
      <c r="AP131" s="40" t="n"/>
      <c r="AQ131" s="40" t="n"/>
      <c r="AR131" s="40" t="n"/>
      <c r="AS131" s="47" t="n"/>
      <c r="AT131" s="40" t="n"/>
      <c r="AU131" s="40" t="n"/>
      <c r="AV131" s="40" t="n"/>
      <c r="AW131" s="40" t="n"/>
      <c r="AX131" s="47" t="n"/>
      <c r="AY131" s="39" t="n"/>
      <c r="AZ131" s="39" t="n"/>
      <c r="BA131" s="39" t="n"/>
      <c r="BB131" s="39" t="n"/>
      <c r="BC131" s="39" t="n"/>
      <c r="BD131" s="40" t="n"/>
      <c r="BE131" s="39" t="n"/>
      <c r="BF131" s="39" t="n"/>
      <c r="BG131" s="39" t="n"/>
      <c r="BH131" s="39" t="n"/>
      <c r="BI131" s="39" t="n"/>
      <c r="BJ131" s="39" t="n"/>
      <c r="BK131" s="39" t="n"/>
      <c r="BL131" s="39" t="n"/>
      <c r="BM131" s="39" t="n"/>
      <c r="BN131" s="39" t="n"/>
      <c r="BO131" s="39" t="n"/>
      <c r="BP131" s="40" t="n"/>
      <c r="BQ131" s="40" t="n"/>
      <c r="BR131" s="40" t="n"/>
      <c r="BS131" s="40" t="n"/>
      <c r="BT131" s="40" t="n"/>
      <c r="BU131" s="40" t="n"/>
      <c r="BV131" s="40" t="n"/>
      <c r="BW131" s="40" t="n"/>
      <c r="BX131" s="43" t="n"/>
      <c r="BY131" s="39" t="n"/>
      <c r="BZ131" s="39" t="n"/>
      <c r="CA131" s="39" t="n"/>
      <c r="CB131" s="39" t="n"/>
      <c r="CC131" s="39" t="n"/>
      <c r="CD131" s="39" t="n"/>
      <c r="CE131" s="39" t="n"/>
      <c r="CF131" s="39" t="n"/>
      <c r="CG131" s="47" t="n"/>
      <c r="CH131" s="47" t="n"/>
      <c r="CI131" s="47" t="n"/>
      <c r="CJ131" s="47" t="n"/>
    </row>
    <row r="132" ht="23" customHeight="1">
      <c r="A132" s="39" t="n"/>
      <c r="B132" s="39" t="n"/>
      <c r="C132" s="39" t="n"/>
      <c r="D132" s="40" t="n"/>
      <c r="E132" s="40" t="n"/>
      <c r="F132" s="39" t="n"/>
      <c r="G132" s="40" t="n"/>
      <c r="H132" s="39" t="n"/>
      <c r="I132" s="40" t="n"/>
      <c r="J132" s="40" t="n"/>
      <c r="K132" s="39" t="n"/>
      <c r="L132" s="39" t="n"/>
      <c r="M132" s="39" t="n"/>
      <c r="N132" s="39" t="n"/>
      <c r="O132" s="40" t="n"/>
      <c r="P132" s="46" t="n"/>
      <c r="Q132" s="48" t="n"/>
      <c r="R132" s="40" t="n"/>
      <c r="S132" s="40" t="n"/>
      <c r="T132" s="39" t="n"/>
      <c r="U132" s="47" t="n"/>
      <c r="V132" s="39" t="n"/>
      <c r="W132" s="39" t="n"/>
      <c r="X132" s="39" t="n"/>
      <c r="Y132" s="39" t="n"/>
      <c r="Z132" s="40" t="n"/>
      <c r="AA132" s="40" t="n"/>
      <c r="AB132" s="46" t="n"/>
      <c r="AC132" s="39" t="n"/>
      <c r="AD132" s="39" t="n"/>
      <c r="AE132" s="39" t="n"/>
      <c r="AF132" s="39" t="n"/>
      <c r="AG132" s="39" t="n"/>
      <c r="AH132" s="40" t="n"/>
      <c r="AI132" s="42" t="n"/>
      <c r="AJ132" s="50" t="n"/>
      <c r="AK132" s="46" t="n"/>
      <c r="AL132" s="43" t="n"/>
      <c r="AM132" s="43" t="n"/>
      <c r="AN132" s="40" t="n"/>
      <c r="AO132" s="40" t="n"/>
      <c r="AP132" s="40" t="n"/>
      <c r="AQ132" s="40" t="n"/>
      <c r="AR132" s="40" t="n"/>
      <c r="AS132" s="47" t="n"/>
      <c r="AT132" s="40" t="n"/>
      <c r="AU132" s="40" t="n"/>
      <c r="AV132" s="40" t="n"/>
      <c r="AW132" s="40" t="n"/>
      <c r="AX132" s="47" t="n"/>
      <c r="AY132" s="39" t="n"/>
      <c r="AZ132" s="39" t="n"/>
      <c r="BA132" s="39" t="n"/>
      <c r="BB132" s="39" t="n"/>
      <c r="BC132" s="39" t="n"/>
      <c r="BD132" s="40" t="n"/>
      <c r="BE132" s="39" t="n"/>
      <c r="BF132" s="39" t="n"/>
      <c r="BG132" s="39" t="n"/>
      <c r="BH132" s="39" t="n"/>
      <c r="BI132" s="39" t="n"/>
      <c r="BJ132" s="39" t="n"/>
      <c r="BK132" s="39" t="n"/>
      <c r="BL132" s="39" t="n"/>
      <c r="BM132" s="39" t="n"/>
      <c r="BN132" s="39" t="n"/>
      <c r="BO132" s="39" t="n"/>
      <c r="BP132" s="40" t="n"/>
      <c r="BQ132" s="40" t="n"/>
      <c r="BR132" s="40" t="n"/>
      <c r="BS132" s="40" t="n"/>
      <c r="BT132" s="40" t="n"/>
      <c r="BU132" s="40" t="n"/>
      <c r="BV132" s="40" t="n"/>
      <c r="BW132" s="40" t="n"/>
      <c r="BX132" s="43" t="n"/>
      <c r="BY132" s="39" t="n"/>
      <c r="BZ132" s="39" t="n"/>
      <c r="CA132" s="39" t="n"/>
      <c r="CB132" s="39" t="n"/>
      <c r="CC132" s="39" t="n"/>
      <c r="CD132" s="39" t="n"/>
      <c r="CE132" s="39" t="n"/>
      <c r="CF132" s="39" t="n"/>
      <c r="CG132" s="47" t="n"/>
      <c r="CH132" s="47" t="n"/>
      <c r="CI132" s="47" t="n"/>
      <c r="CJ132" s="47" t="n"/>
    </row>
    <row r="133" ht="23" customHeight="1">
      <c r="A133" s="39" t="n"/>
      <c r="B133" s="39" t="n"/>
      <c r="C133" s="39" t="n"/>
      <c r="D133" s="40" t="n"/>
      <c r="E133" s="40" t="n"/>
      <c r="F133" s="39" t="n"/>
      <c r="G133" s="40" t="n"/>
      <c r="H133" s="39" t="n"/>
      <c r="I133" s="40" t="n"/>
      <c r="J133" s="40" t="n"/>
      <c r="K133" s="39" t="n"/>
      <c r="L133" s="39" t="n"/>
      <c r="M133" s="39" t="n"/>
      <c r="N133" s="39" t="n"/>
      <c r="O133" s="40" t="n"/>
      <c r="P133" s="46" t="n"/>
      <c r="Q133" s="48" t="n"/>
      <c r="R133" s="40" t="n"/>
      <c r="S133" s="40" t="n"/>
      <c r="T133" s="39" t="n"/>
      <c r="U133" s="47" t="n"/>
      <c r="V133" s="39" t="n"/>
      <c r="W133" s="39" t="n"/>
      <c r="X133" s="39" t="n"/>
      <c r="Y133" s="39" t="n"/>
      <c r="Z133" s="40" t="n"/>
      <c r="AA133" s="40" t="n"/>
      <c r="AB133" s="46" t="n"/>
      <c r="AC133" s="39" t="n"/>
      <c r="AD133" s="39" t="n"/>
      <c r="AE133" s="39" t="n"/>
      <c r="AF133" s="39" t="n"/>
      <c r="AG133" s="39" t="n"/>
      <c r="AH133" s="40" t="n"/>
      <c r="AI133" s="42" t="n"/>
      <c r="AJ133" s="50" t="n"/>
      <c r="AK133" s="46" t="n"/>
      <c r="AL133" s="43" t="n"/>
      <c r="AM133" s="43" t="n"/>
      <c r="AN133" s="40" t="n"/>
      <c r="AO133" s="40" t="n"/>
      <c r="AP133" s="40" t="n"/>
      <c r="AQ133" s="40" t="n"/>
      <c r="AR133" s="40" t="n"/>
      <c r="AS133" s="47" t="n"/>
      <c r="AT133" s="40" t="n"/>
      <c r="AU133" s="40" t="n"/>
      <c r="AV133" s="40" t="n"/>
      <c r="AW133" s="40" t="n"/>
      <c r="AX133" s="47" t="n"/>
      <c r="AY133" s="39" t="n"/>
      <c r="AZ133" s="39" t="n"/>
      <c r="BA133" s="39" t="n"/>
      <c r="BB133" s="39" t="n"/>
      <c r="BC133" s="39" t="n"/>
      <c r="BD133" s="40" t="n"/>
      <c r="BE133" s="39" t="n"/>
      <c r="BF133" s="39" t="n"/>
      <c r="BG133" s="39" t="n"/>
      <c r="BH133" s="39" t="n"/>
      <c r="BI133" s="39" t="n"/>
      <c r="BJ133" s="39" t="n"/>
      <c r="BK133" s="39" t="n"/>
      <c r="BL133" s="39" t="n"/>
      <c r="BM133" s="39" t="n"/>
      <c r="BN133" s="39" t="n"/>
      <c r="BO133" s="39" t="n"/>
      <c r="BP133" s="40" t="n"/>
      <c r="BQ133" s="40" t="n"/>
      <c r="BR133" s="40" t="n"/>
      <c r="BS133" s="40" t="n"/>
      <c r="BT133" s="40" t="n"/>
      <c r="BU133" s="40" t="n"/>
      <c r="BV133" s="40" t="n"/>
      <c r="BW133" s="40" t="n"/>
      <c r="BX133" s="43" t="n"/>
      <c r="BY133" s="39" t="n"/>
      <c r="BZ133" s="39" t="n"/>
      <c r="CA133" s="39" t="n"/>
      <c r="CB133" s="39" t="n"/>
      <c r="CC133" s="39" t="n"/>
      <c r="CD133" s="39" t="n"/>
      <c r="CE133" s="39" t="n"/>
      <c r="CF133" s="39" t="n"/>
      <c r="CG133" s="47" t="n"/>
      <c r="CH133" s="47" t="n"/>
      <c r="CI133" s="47" t="n"/>
      <c r="CJ133" s="47" t="n"/>
    </row>
    <row r="134" ht="23" customHeight="1">
      <c r="A134" s="39" t="n"/>
      <c r="B134" s="39" t="n"/>
      <c r="C134" s="39" t="n"/>
      <c r="D134" s="40" t="n"/>
      <c r="E134" s="40" t="n"/>
      <c r="F134" s="39" t="n"/>
      <c r="G134" s="40" t="n"/>
      <c r="H134" s="39" t="n"/>
      <c r="I134" s="40" t="n"/>
      <c r="J134" s="40" t="n"/>
      <c r="K134" s="39" t="n"/>
      <c r="L134" s="39" t="n"/>
      <c r="M134" s="39" t="n"/>
      <c r="N134" s="39" t="n"/>
      <c r="O134" s="40" t="n"/>
      <c r="P134" s="46" t="n"/>
      <c r="Q134" s="48" t="n"/>
      <c r="R134" s="40" t="n"/>
      <c r="S134" s="40" t="n"/>
      <c r="T134" s="39" t="n"/>
      <c r="U134" s="47" t="n"/>
      <c r="V134" s="39" t="n"/>
      <c r="W134" s="39" t="n"/>
      <c r="X134" s="39" t="n"/>
      <c r="Y134" s="39" t="n"/>
      <c r="Z134" s="40" t="n"/>
      <c r="AA134" s="40" t="n"/>
      <c r="AB134" s="46" t="n"/>
      <c r="AC134" s="39" t="n"/>
      <c r="AD134" s="39" t="n"/>
      <c r="AE134" s="39" t="n"/>
      <c r="AF134" s="39" t="n"/>
      <c r="AG134" s="39" t="n"/>
      <c r="AH134" s="40" t="n"/>
      <c r="AI134" s="42" t="n"/>
      <c r="AJ134" s="50" t="n"/>
      <c r="AK134" s="46" t="n"/>
      <c r="AL134" s="43" t="n"/>
      <c r="AM134" s="43" t="n"/>
      <c r="AN134" s="40" t="n"/>
      <c r="AO134" s="40" t="n"/>
      <c r="AP134" s="40" t="n"/>
      <c r="AQ134" s="40" t="n"/>
      <c r="AR134" s="40" t="n"/>
      <c r="AS134" s="47" t="n"/>
      <c r="AT134" s="40" t="n"/>
      <c r="AU134" s="40" t="n"/>
      <c r="AV134" s="40" t="n"/>
      <c r="AW134" s="40" t="n"/>
      <c r="AX134" s="47" t="n"/>
      <c r="AY134" s="39" t="n"/>
      <c r="AZ134" s="39" t="n"/>
      <c r="BA134" s="39" t="n"/>
      <c r="BB134" s="39" t="n"/>
      <c r="BC134" s="39" t="n"/>
      <c r="BD134" s="40" t="n"/>
      <c r="BE134" s="39" t="n"/>
      <c r="BF134" s="39" t="n"/>
      <c r="BG134" s="39" t="n"/>
      <c r="BH134" s="39" t="n"/>
      <c r="BI134" s="39" t="n"/>
      <c r="BJ134" s="39" t="n"/>
      <c r="BK134" s="39" t="n"/>
      <c r="BL134" s="39" t="n"/>
      <c r="BM134" s="39" t="n"/>
      <c r="BN134" s="39" t="n"/>
      <c r="BO134" s="39" t="n"/>
      <c r="BP134" s="40" t="n"/>
      <c r="BQ134" s="40" t="n"/>
      <c r="BR134" s="40" t="n"/>
      <c r="BS134" s="40" t="n"/>
      <c r="BT134" s="40" t="n"/>
      <c r="BU134" s="40" t="n"/>
      <c r="BV134" s="40" t="n"/>
      <c r="BW134" s="40" t="n"/>
      <c r="BX134" s="43" t="n"/>
      <c r="BY134" s="39" t="n"/>
      <c r="BZ134" s="39" t="n"/>
      <c r="CA134" s="39" t="n"/>
      <c r="CB134" s="39" t="n"/>
      <c r="CC134" s="39" t="n"/>
      <c r="CD134" s="39" t="n"/>
      <c r="CE134" s="39" t="n"/>
      <c r="CF134" s="39" t="n"/>
      <c r="CG134" s="47" t="n"/>
      <c r="CH134" s="47" t="n"/>
      <c r="CI134" s="47" t="n"/>
      <c r="CJ134" s="47" t="n"/>
    </row>
    <row r="135" ht="23" customHeight="1">
      <c r="A135" s="39" t="n"/>
      <c r="B135" s="39" t="n"/>
      <c r="C135" s="39" t="n"/>
      <c r="D135" s="40" t="n"/>
      <c r="E135" s="40" t="n"/>
      <c r="F135" s="39" t="n"/>
      <c r="G135" s="40" t="n"/>
      <c r="H135" s="39" t="n"/>
      <c r="I135" s="40" t="n"/>
      <c r="J135" s="40" t="n"/>
      <c r="K135" s="39" t="n"/>
      <c r="L135" s="39" t="n"/>
      <c r="M135" s="39" t="n"/>
      <c r="N135" s="39" t="n"/>
      <c r="O135" s="40" t="n"/>
      <c r="P135" s="46" t="n"/>
      <c r="Q135" s="48" t="n"/>
      <c r="R135" s="40" t="n"/>
      <c r="S135" s="40" t="n"/>
      <c r="T135" s="39" t="n"/>
      <c r="U135" s="47" t="n"/>
      <c r="V135" s="39" t="n"/>
      <c r="W135" s="39" t="n"/>
      <c r="X135" s="39" t="n"/>
      <c r="Y135" s="39" t="n"/>
      <c r="Z135" s="40" t="n"/>
      <c r="AA135" s="40" t="n"/>
      <c r="AB135" s="46" t="n"/>
      <c r="AC135" s="39" t="n"/>
      <c r="AD135" s="39" t="n"/>
      <c r="AE135" s="39" t="n"/>
      <c r="AF135" s="39" t="n"/>
      <c r="AG135" s="39" t="n"/>
      <c r="AH135" s="40" t="n"/>
      <c r="AI135" s="42" t="n"/>
      <c r="AJ135" s="50" t="n"/>
      <c r="AK135" s="46" t="n"/>
      <c r="AL135" s="43" t="n"/>
      <c r="AM135" s="43" t="n"/>
      <c r="AN135" s="40" t="n"/>
      <c r="AO135" s="40" t="n"/>
      <c r="AP135" s="40" t="n"/>
      <c r="AQ135" s="40" t="n"/>
      <c r="AR135" s="40" t="n"/>
      <c r="AS135" s="47" t="n"/>
      <c r="AT135" s="40" t="n"/>
      <c r="AU135" s="40" t="n"/>
      <c r="AV135" s="40" t="n"/>
      <c r="AW135" s="40" t="n"/>
      <c r="AX135" s="47" t="n"/>
      <c r="AY135" s="39" t="n"/>
      <c r="AZ135" s="39" t="n"/>
      <c r="BA135" s="39" t="n"/>
      <c r="BB135" s="39" t="n"/>
      <c r="BC135" s="39" t="n"/>
      <c r="BD135" s="40" t="n"/>
      <c r="BE135" s="39" t="n"/>
      <c r="BF135" s="39" t="n"/>
      <c r="BG135" s="39" t="n"/>
      <c r="BH135" s="39" t="n"/>
      <c r="BI135" s="39" t="n"/>
      <c r="BJ135" s="39" t="n"/>
      <c r="BK135" s="39" t="n"/>
      <c r="BL135" s="39" t="n"/>
      <c r="BM135" s="39" t="n"/>
      <c r="BN135" s="39" t="n"/>
      <c r="BO135" s="39" t="n"/>
      <c r="BP135" s="40" t="n"/>
      <c r="BQ135" s="40" t="n"/>
      <c r="BR135" s="40" t="n"/>
      <c r="BS135" s="40" t="n"/>
      <c r="BT135" s="40" t="n"/>
      <c r="BU135" s="40" t="n"/>
      <c r="BV135" s="40" t="n"/>
      <c r="BW135" s="40" t="n"/>
      <c r="BX135" s="43" t="n"/>
      <c r="BY135" s="39" t="n"/>
      <c r="BZ135" s="39" t="n"/>
      <c r="CA135" s="39" t="n"/>
      <c r="CB135" s="39" t="n"/>
      <c r="CC135" s="39" t="n"/>
      <c r="CD135" s="39" t="n"/>
      <c r="CE135" s="39" t="n"/>
      <c r="CF135" s="39" t="n"/>
      <c r="CG135" s="47" t="n"/>
      <c r="CH135" s="47" t="n"/>
      <c r="CI135" s="47" t="n"/>
      <c r="CJ135" s="47" t="n"/>
    </row>
    <row r="136" ht="23" customHeight="1">
      <c r="A136" s="39" t="n"/>
      <c r="B136" s="39" t="n"/>
      <c r="C136" s="39" t="n"/>
      <c r="D136" s="40" t="n"/>
      <c r="E136" s="40" t="n"/>
      <c r="F136" s="39" t="n"/>
      <c r="G136" s="40" t="n"/>
      <c r="H136" s="39" t="n"/>
      <c r="I136" s="40" t="n"/>
      <c r="J136" s="40" t="n"/>
      <c r="K136" s="39" t="n"/>
      <c r="L136" s="39" t="n"/>
      <c r="M136" s="39" t="n"/>
      <c r="N136" s="39" t="n"/>
      <c r="O136" s="40" t="n"/>
      <c r="P136" s="46" t="n"/>
      <c r="Q136" s="48" t="n"/>
      <c r="R136" s="40" t="n"/>
      <c r="S136" s="40" t="n"/>
      <c r="T136" s="39" t="n"/>
      <c r="U136" s="47" t="n"/>
      <c r="V136" s="39" t="n"/>
      <c r="W136" s="39" t="n"/>
      <c r="X136" s="39" t="n"/>
      <c r="Y136" s="39" t="n"/>
      <c r="Z136" s="40" t="n"/>
      <c r="AA136" s="40" t="n"/>
      <c r="AB136" s="46" t="n"/>
      <c r="AC136" s="39" t="n"/>
      <c r="AD136" s="39" t="n"/>
      <c r="AE136" s="39" t="n"/>
      <c r="AF136" s="39" t="n"/>
      <c r="AG136" s="39" t="n"/>
      <c r="AH136" s="40" t="n"/>
      <c r="AI136" s="42" t="n"/>
      <c r="AJ136" s="50" t="n"/>
      <c r="AK136" s="46" t="n"/>
      <c r="AL136" s="43" t="n"/>
      <c r="AM136" s="43" t="n"/>
      <c r="AN136" s="40" t="n"/>
      <c r="AO136" s="40" t="n"/>
      <c r="AP136" s="40" t="n"/>
      <c r="AQ136" s="40" t="n"/>
      <c r="AR136" s="40" t="n"/>
      <c r="AS136" s="47" t="n"/>
      <c r="AT136" s="40" t="n"/>
      <c r="AU136" s="40" t="n"/>
      <c r="AV136" s="40" t="n"/>
      <c r="AW136" s="40" t="n"/>
      <c r="AX136" s="47" t="n"/>
      <c r="AY136" s="39" t="n"/>
      <c r="AZ136" s="39" t="n"/>
      <c r="BA136" s="39" t="n"/>
      <c r="BB136" s="39" t="n"/>
      <c r="BC136" s="39" t="n"/>
      <c r="BD136" s="40" t="n"/>
      <c r="BE136" s="39" t="n"/>
      <c r="BF136" s="39" t="n"/>
      <c r="BG136" s="39" t="n"/>
      <c r="BH136" s="39" t="n"/>
      <c r="BI136" s="39" t="n"/>
      <c r="BJ136" s="39" t="n"/>
      <c r="BK136" s="39" t="n"/>
      <c r="BL136" s="39" t="n"/>
      <c r="BM136" s="39" t="n"/>
      <c r="BN136" s="39" t="n"/>
      <c r="BO136" s="39" t="n"/>
      <c r="BP136" s="40" t="n"/>
      <c r="BQ136" s="40" t="n"/>
      <c r="BR136" s="40" t="n"/>
      <c r="BS136" s="40" t="n"/>
      <c r="BT136" s="40" t="n"/>
      <c r="BU136" s="40" t="n"/>
      <c r="BV136" s="40" t="n"/>
      <c r="BW136" s="40" t="n"/>
      <c r="BX136" s="43" t="n"/>
      <c r="BY136" s="39" t="n"/>
      <c r="BZ136" s="39" t="n"/>
      <c r="CA136" s="39" t="n"/>
      <c r="CB136" s="39" t="n"/>
      <c r="CC136" s="39" t="n"/>
      <c r="CD136" s="39" t="n"/>
      <c r="CE136" s="39" t="n"/>
      <c r="CF136" s="39" t="n"/>
      <c r="CG136" s="47" t="n"/>
      <c r="CH136" s="47" t="n"/>
      <c r="CI136" s="47" t="n"/>
      <c r="CJ136" s="47" t="n"/>
    </row>
    <row r="137" ht="23" customHeight="1">
      <c r="A137" s="39" t="n"/>
      <c r="B137" s="39" t="n"/>
      <c r="C137" s="39" t="n"/>
      <c r="D137" s="40" t="n"/>
      <c r="E137" s="40" t="n"/>
      <c r="F137" s="39" t="n"/>
      <c r="G137" s="40" t="n"/>
      <c r="H137" s="39" t="n"/>
      <c r="I137" s="40" t="n"/>
      <c r="J137" s="40" t="n"/>
      <c r="K137" s="39" t="n"/>
      <c r="L137" s="39" t="n"/>
      <c r="M137" s="39" t="n"/>
      <c r="N137" s="39" t="n"/>
      <c r="O137" s="40" t="n"/>
      <c r="P137" s="46" t="n"/>
      <c r="Q137" s="48" t="n"/>
      <c r="R137" s="40" t="n"/>
      <c r="S137" s="40" t="n"/>
      <c r="T137" s="39" t="n"/>
      <c r="U137" s="47" t="n"/>
      <c r="V137" s="39" t="n"/>
      <c r="W137" s="39" t="n"/>
      <c r="X137" s="39" t="n"/>
      <c r="Y137" s="39" t="n"/>
      <c r="Z137" s="40" t="n"/>
      <c r="AA137" s="40" t="n"/>
      <c r="AB137" s="46" t="n"/>
      <c r="AC137" s="39" t="n"/>
      <c r="AD137" s="39" t="n"/>
      <c r="AE137" s="39" t="n"/>
      <c r="AF137" s="39" t="n"/>
      <c r="AG137" s="39" t="n"/>
      <c r="AH137" s="40" t="n"/>
      <c r="AI137" s="42" t="n"/>
      <c r="AJ137" s="50" t="n"/>
      <c r="AK137" s="46" t="n"/>
      <c r="AL137" s="43" t="n"/>
      <c r="AM137" s="43" t="n"/>
      <c r="AN137" s="40" t="n"/>
      <c r="AO137" s="40" t="n"/>
      <c r="AP137" s="40" t="n"/>
      <c r="AQ137" s="40" t="n"/>
      <c r="AR137" s="40" t="n"/>
      <c r="AS137" s="47" t="n"/>
      <c r="AT137" s="40" t="n"/>
      <c r="AU137" s="40" t="n"/>
      <c r="AV137" s="40" t="n"/>
      <c r="AW137" s="40" t="n"/>
      <c r="AX137" s="47" t="n"/>
      <c r="AY137" s="39" t="n"/>
      <c r="AZ137" s="39" t="n"/>
      <c r="BA137" s="39" t="n"/>
      <c r="BB137" s="39" t="n"/>
      <c r="BC137" s="39" t="n"/>
      <c r="BD137" s="40" t="n"/>
      <c r="BE137" s="39" t="n"/>
      <c r="BF137" s="39" t="n"/>
      <c r="BG137" s="39" t="n"/>
      <c r="BH137" s="39" t="n"/>
      <c r="BI137" s="39" t="n"/>
      <c r="BJ137" s="39" t="n"/>
      <c r="BK137" s="39" t="n"/>
      <c r="BL137" s="39" t="n"/>
      <c r="BM137" s="39" t="n"/>
      <c r="BN137" s="39" t="n"/>
      <c r="BO137" s="39" t="n"/>
      <c r="BP137" s="40" t="n"/>
      <c r="BQ137" s="40" t="n"/>
      <c r="BR137" s="40" t="n"/>
      <c r="BS137" s="40" t="n"/>
      <c r="BT137" s="40" t="n"/>
      <c r="BU137" s="40" t="n"/>
      <c r="BV137" s="40" t="n"/>
      <c r="BW137" s="40" t="n"/>
      <c r="BX137" s="43" t="n"/>
      <c r="BY137" s="39" t="n"/>
      <c r="BZ137" s="39" t="n"/>
      <c r="CA137" s="39" t="n"/>
      <c r="CB137" s="39" t="n"/>
      <c r="CC137" s="39" t="n"/>
      <c r="CD137" s="39" t="n"/>
      <c r="CE137" s="39" t="n"/>
      <c r="CF137" s="39" t="n"/>
      <c r="CG137" s="47" t="n"/>
      <c r="CH137" s="47" t="n"/>
      <c r="CI137" s="47" t="n"/>
      <c r="CJ137" s="47" t="n"/>
    </row>
    <row r="138" ht="23" customHeight="1">
      <c r="A138" s="39" t="n"/>
      <c r="B138" s="39" t="n"/>
      <c r="C138" s="39" t="n"/>
      <c r="D138" s="40" t="n"/>
      <c r="E138" s="40" t="n"/>
      <c r="F138" s="39" t="n"/>
      <c r="G138" s="40" t="n"/>
      <c r="H138" s="39" t="n"/>
      <c r="I138" s="40" t="n"/>
      <c r="J138" s="40" t="n"/>
      <c r="K138" s="39" t="n"/>
      <c r="L138" s="39" t="n"/>
      <c r="M138" s="39" t="n"/>
      <c r="N138" s="39" t="n"/>
      <c r="O138" s="40" t="n"/>
      <c r="P138" s="46" t="n"/>
      <c r="Q138" s="48" t="n"/>
      <c r="R138" s="40" t="n"/>
      <c r="S138" s="40" t="n"/>
      <c r="T138" s="39" t="n"/>
      <c r="U138" s="47" t="n"/>
      <c r="V138" s="39" t="n"/>
      <c r="W138" s="39" t="n"/>
      <c r="X138" s="39" t="n"/>
      <c r="Y138" s="39" t="n"/>
      <c r="Z138" s="40" t="n"/>
      <c r="AA138" s="40" t="n"/>
      <c r="AB138" s="46" t="n"/>
      <c r="AC138" s="39" t="n"/>
      <c r="AD138" s="39" t="n"/>
      <c r="AE138" s="39" t="n"/>
      <c r="AF138" s="39" t="n"/>
      <c r="AG138" s="39" t="n"/>
      <c r="AH138" s="40" t="n"/>
      <c r="AI138" s="42" t="n"/>
      <c r="AJ138" s="50" t="n"/>
      <c r="AK138" s="46" t="n"/>
      <c r="AL138" s="43" t="n"/>
      <c r="AM138" s="43" t="n"/>
      <c r="AN138" s="40" t="n"/>
      <c r="AO138" s="40" t="n"/>
      <c r="AP138" s="40" t="n"/>
      <c r="AQ138" s="40" t="n"/>
      <c r="AR138" s="40" t="n"/>
      <c r="AS138" s="47" t="n"/>
      <c r="AT138" s="40" t="n"/>
      <c r="AU138" s="40" t="n"/>
      <c r="AV138" s="40" t="n"/>
      <c r="AW138" s="40" t="n"/>
      <c r="AX138" s="47" t="n"/>
      <c r="AY138" s="39" t="n"/>
      <c r="AZ138" s="39" t="n"/>
      <c r="BA138" s="39" t="n"/>
      <c r="BB138" s="39" t="n"/>
      <c r="BC138" s="39" t="n"/>
      <c r="BD138" s="40" t="n"/>
      <c r="BE138" s="39" t="n"/>
      <c r="BF138" s="39" t="n"/>
      <c r="BG138" s="39" t="n"/>
      <c r="BH138" s="39" t="n"/>
      <c r="BI138" s="39" t="n"/>
      <c r="BJ138" s="39" t="n"/>
      <c r="BK138" s="39" t="n"/>
      <c r="BL138" s="39" t="n"/>
      <c r="BM138" s="39" t="n"/>
      <c r="BN138" s="39" t="n"/>
      <c r="BO138" s="39" t="n"/>
      <c r="BP138" s="40" t="n"/>
      <c r="BQ138" s="40" t="n"/>
      <c r="BR138" s="40" t="n"/>
      <c r="BS138" s="40" t="n"/>
      <c r="BT138" s="40" t="n"/>
      <c r="BU138" s="40" t="n"/>
      <c r="BV138" s="40" t="n"/>
      <c r="BW138" s="40" t="n"/>
      <c r="BX138" s="43" t="n"/>
      <c r="BY138" s="39" t="n"/>
      <c r="BZ138" s="39" t="n"/>
      <c r="CA138" s="39" t="n"/>
      <c r="CB138" s="39" t="n"/>
      <c r="CC138" s="39" t="n"/>
      <c r="CD138" s="39" t="n"/>
      <c r="CE138" s="39" t="n"/>
      <c r="CF138" s="39" t="n"/>
      <c r="CG138" s="47" t="n"/>
      <c r="CH138" s="47" t="n"/>
      <c r="CI138" s="47" t="n"/>
      <c r="CJ138" s="47" t="n"/>
    </row>
    <row r="139" ht="23" customHeight="1">
      <c r="A139" s="39" t="n"/>
      <c r="B139" s="39" t="n"/>
      <c r="C139" s="39" t="n"/>
      <c r="D139" s="40" t="n"/>
      <c r="E139" s="40" t="n"/>
      <c r="F139" s="39" t="n"/>
      <c r="G139" s="40" t="n"/>
      <c r="H139" s="39" t="n"/>
      <c r="I139" s="40" t="n"/>
      <c r="J139" s="40" t="n"/>
      <c r="K139" s="39" t="n"/>
      <c r="L139" s="39" t="n"/>
      <c r="M139" s="39" t="n"/>
      <c r="N139" s="39" t="n"/>
      <c r="O139" s="40" t="n"/>
      <c r="P139" s="46" t="n"/>
      <c r="Q139" s="48" t="n"/>
      <c r="R139" s="40" t="n"/>
      <c r="S139" s="40" t="n"/>
      <c r="T139" s="39" t="n"/>
      <c r="U139" s="47" t="n"/>
      <c r="V139" s="39" t="n"/>
      <c r="W139" s="39" t="n"/>
      <c r="X139" s="39" t="n"/>
      <c r="Y139" s="39" t="n"/>
      <c r="Z139" s="40" t="n"/>
      <c r="AA139" s="40" t="n"/>
      <c r="AB139" s="46" t="n"/>
      <c r="AC139" s="39" t="n"/>
      <c r="AD139" s="39" t="n"/>
      <c r="AE139" s="39" t="n"/>
      <c r="AF139" s="39" t="n"/>
      <c r="AG139" s="39" t="n"/>
      <c r="AH139" s="40" t="n"/>
      <c r="AI139" s="42" t="n"/>
      <c r="AJ139" s="50" t="n"/>
      <c r="AK139" s="46" t="n"/>
      <c r="AL139" s="43" t="n"/>
      <c r="AM139" s="43" t="n"/>
      <c r="AN139" s="40" t="n"/>
      <c r="AO139" s="40" t="n"/>
      <c r="AP139" s="40" t="n"/>
      <c r="AQ139" s="40" t="n"/>
      <c r="AR139" s="40" t="n"/>
      <c r="AS139" s="47" t="n"/>
      <c r="AT139" s="40" t="n"/>
      <c r="AU139" s="40" t="n"/>
      <c r="AV139" s="40" t="n"/>
      <c r="AW139" s="40" t="n"/>
      <c r="AX139" s="47" t="n"/>
      <c r="AY139" s="39" t="n"/>
      <c r="AZ139" s="39" t="n"/>
      <c r="BA139" s="39" t="n"/>
      <c r="BB139" s="39" t="n"/>
      <c r="BC139" s="39" t="n"/>
      <c r="BD139" s="40" t="n"/>
      <c r="BE139" s="39" t="n"/>
      <c r="BF139" s="39" t="n"/>
      <c r="BG139" s="39" t="n"/>
      <c r="BH139" s="39" t="n"/>
      <c r="BI139" s="39" t="n"/>
      <c r="BJ139" s="39" t="n"/>
      <c r="BK139" s="39" t="n"/>
      <c r="BL139" s="39" t="n"/>
      <c r="BM139" s="39" t="n"/>
      <c r="BN139" s="39" t="n"/>
      <c r="BO139" s="39" t="n"/>
      <c r="BP139" s="40" t="n"/>
      <c r="BQ139" s="40" t="n"/>
      <c r="BR139" s="40" t="n"/>
      <c r="BS139" s="40" t="n"/>
      <c r="BT139" s="40" t="n"/>
      <c r="BU139" s="40" t="n"/>
      <c r="BV139" s="40" t="n"/>
      <c r="BW139" s="40" t="n"/>
      <c r="BX139" s="43" t="n"/>
      <c r="BY139" s="39" t="n"/>
      <c r="BZ139" s="39" t="n"/>
      <c r="CA139" s="39" t="n"/>
      <c r="CB139" s="39" t="n"/>
      <c r="CC139" s="39" t="n"/>
      <c r="CD139" s="39" t="n"/>
      <c r="CE139" s="39" t="n"/>
      <c r="CF139" s="39" t="n"/>
      <c r="CG139" s="47" t="n"/>
      <c r="CH139" s="47" t="n"/>
      <c r="CI139" s="47" t="n"/>
      <c r="CJ139" s="47" t="n"/>
    </row>
    <row r="140" ht="23" customHeight="1">
      <c r="A140" s="39" t="n"/>
      <c r="B140" s="39" t="n"/>
      <c r="C140" s="39" t="n"/>
      <c r="D140" s="40" t="n"/>
      <c r="E140" s="40" t="n"/>
      <c r="F140" s="39" t="n"/>
      <c r="G140" s="40" t="n"/>
      <c r="H140" s="39" t="n"/>
      <c r="I140" s="40" t="n"/>
      <c r="J140" s="40" t="n"/>
      <c r="K140" s="39" t="n"/>
      <c r="L140" s="39" t="n"/>
      <c r="M140" s="39" t="n"/>
      <c r="N140" s="39" t="n"/>
      <c r="O140" s="40" t="n"/>
      <c r="P140" s="46" t="n"/>
      <c r="Q140" s="48" t="n"/>
      <c r="R140" s="40" t="n"/>
      <c r="S140" s="40" t="n"/>
      <c r="T140" s="39" t="n"/>
      <c r="U140" s="47" t="n"/>
      <c r="V140" s="39" t="n"/>
      <c r="W140" s="39" t="n"/>
      <c r="X140" s="39" t="n"/>
      <c r="Y140" s="39" t="n"/>
      <c r="Z140" s="40" t="n"/>
      <c r="AA140" s="40" t="n"/>
      <c r="AB140" s="46" t="n"/>
      <c r="AC140" s="39" t="n"/>
      <c r="AD140" s="39" t="n"/>
      <c r="AE140" s="39" t="n"/>
      <c r="AF140" s="39" t="n"/>
      <c r="AG140" s="39" t="n"/>
      <c r="AH140" s="40" t="n"/>
      <c r="AI140" s="42" t="n"/>
      <c r="AJ140" s="50" t="n"/>
      <c r="AK140" s="46" t="n"/>
      <c r="AL140" s="43" t="n"/>
      <c r="AM140" s="43" t="n"/>
      <c r="AN140" s="40" t="n"/>
      <c r="AO140" s="40" t="n"/>
      <c r="AP140" s="40" t="n"/>
      <c r="AQ140" s="40" t="n"/>
      <c r="AR140" s="40" t="n"/>
      <c r="AS140" s="47" t="n"/>
      <c r="AT140" s="40" t="n"/>
      <c r="AU140" s="40" t="n"/>
      <c r="AV140" s="40" t="n"/>
      <c r="AW140" s="40" t="n"/>
      <c r="AX140" s="47" t="n"/>
      <c r="AY140" s="39" t="n"/>
      <c r="AZ140" s="39" t="n"/>
      <c r="BA140" s="39" t="n"/>
      <c r="BB140" s="39" t="n"/>
      <c r="BC140" s="39" t="n"/>
      <c r="BD140" s="40" t="n"/>
      <c r="BE140" s="39" t="n"/>
      <c r="BF140" s="39" t="n"/>
      <c r="BG140" s="39" t="n"/>
      <c r="BH140" s="39" t="n"/>
      <c r="BI140" s="39" t="n"/>
      <c r="BJ140" s="39" t="n"/>
      <c r="BK140" s="39" t="n"/>
      <c r="BL140" s="39" t="n"/>
      <c r="BM140" s="39" t="n"/>
      <c r="BN140" s="39" t="n"/>
      <c r="BO140" s="39" t="n"/>
      <c r="BP140" s="40" t="n"/>
      <c r="BQ140" s="40" t="n"/>
      <c r="BR140" s="40" t="n"/>
      <c r="BS140" s="40" t="n"/>
      <c r="BT140" s="40" t="n"/>
      <c r="BU140" s="40" t="n"/>
      <c r="BV140" s="40" t="n"/>
      <c r="BW140" s="40" t="n"/>
      <c r="BX140" s="43" t="n"/>
      <c r="BY140" s="39" t="n"/>
      <c r="BZ140" s="39" t="n"/>
      <c r="CA140" s="39" t="n"/>
      <c r="CB140" s="39" t="n"/>
      <c r="CC140" s="39" t="n"/>
      <c r="CD140" s="39" t="n"/>
      <c r="CE140" s="39" t="n"/>
      <c r="CF140" s="39" t="n"/>
      <c r="CG140" s="47" t="n"/>
      <c r="CH140" s="47" t="n"/>
      <c r="CI140" s="47" t="n"/>
      <c r="CJ140" s="47" t="n"/>
    </row>
    <row r="141" ht="23" customHeight="1">
      <c r="A141" s="39" t="n"/>
      <c r="B141" s="39" t="n"/>
      <c r="C141" s="39" t="n"/>
      <c r="D141" s="40" t="n"/>
      <c r="E141" s="40" t="n"/>
      <c r="F141" s="39" t="n"/>
      <c r="G141" s="40" t="n"/>
      <c r="H141" s="39" t="n"/>
      <c r="I141" s="40" t="n"/>
      <c r="J141" s="40" t="n"/>
      <c r="K141" s="39" t="n"/>
      <c r="L141" s="39" t="n"/>
      <c r="M141" s="39" t="n"/>
      <c r="N141" s="39" t="n"/>
      <c r="O141" s="40" t="n"/>
      <c r="P141" s="46" t="n"/>
      <c r="Q141" s="48" t="n"/>
      <c r="R141" s="40" t="n"/>
      <c r="S141" s="40" t="n"/>
      <c r="T141" s="39" t="n"/>
      <c r="U141" s="47" t="n"/>
      <c r="V141" s="39" t="n"/>
      <c r="W141" s="39" t="n"/>
      <c r="X141" s="39" t="n"/>
      <c r="Y141" s="39" t="n"/>
      <c r="Z141" s="40" t="n"/>
      <c r="AA141" s="40" t="n"/>
      <c r="AB141" s="46" t="n"/>
      <c r="AC141" s="39" t="n"/>
      <c r="AD141" s="39" t="n"/>
      <c r="AE141" s="39" t="n"/>
      <c r="AF141" s="39" t="n"/>
      <c r="AG141" s="39" t="n"/>
      <c r="AH141" s="40" t="n"/>
      <c r="AI141" s="42" t="n"/>
      <c r="AJ141" s="50" t="n"/>
      <c r="AK141" s="46" t="n"/>
      <c r="AL141" s="43" t="n"/>
      <c r="AM141" s="43" t="n"/>
      <c r="AN141" s="40" t="n"/>
      <c r="AO141" s="40" t="n"/>
      <c r="AP141" s="40" t="n"/>
      <c r="AQ141" s="40" t="n"/>
      <c r="AR141" s="40" t="n"/>
      <c r="AS141" s="47" t="n"/>
      <c r="AT141" s="40" t="n"/>
      <c r="AU141" s="40" t="n"/>
      <c r="AV141" s="40" t="n"/>
      <c r="AW141" s="40" t="n"/>
      <c r="AX141" s="47" t="n"/>
      <c r="AY141" s="39" t="n"/>
      <c r="AZ141" s="39" t="n"/>
      <c r="BA141" s="39" t="n"/>
      <c r="BB141" s="39" t="n"/>
      <c r="BC141" s="39" t="n"/>
      <c r="BD141" s="40" t="n"/>
      <c r="BE141" s="39" t="n"/>
      <c r="BF141" s="39" t="n"/>
      <c r="BG141" s="39" t="n"/>
      <c r="BH141" s="39" t="n"/>
      <c r="BI141" s="39" t="n"/>
      <c r="BJ141" s="39" t="n"/>
      <c r="BK141" s="39" t="n"/>
      <c r="BL141" s="39" t="n"/>
      <c r="BM141" s="39" t="n"/>
      <c r="BN141" s="39" t="n"/>
      <c r="BO141" s="39" t="n"/>
      <c r="BP141" s="40" t="n"/>
      <c r="BQ141" s="40" t="n"/>
      <c r="BR141" s="40" t="n"/>
      <c r="BS141" s="40" t="n"/>
      <c r="BT141" s="40" t="n"/>
      <c r="BU141" s="40" t="n"/>
      <c r="BV141" s="40" t="n"/>
      <c r="BW141" s="40" t="n"/>
      <c r="BX141" s="43" t="n"/>
      <c r="BY141" s="39" t="n"/>
      <c r="BZ141" s="39" t="n"/>
      <c r="CA141" s="39" t="n"/>
      <c r="CB141" s="39" t="n"/>
      <c r="CC141" s="39" t="n"/>
      <c r="CD141" s="39" t="n"/>
      <c r="CE141" s="39" t="n"/>
      <c r="CF141" s="39" t="n"/>
      <c r="CG141" s="47" t="n"/>
      <c r="CH141" s="47" t="n"/>
      <c r="CI141" s="47" t="n"/>
      <c r="CJ141" s="47" t="n"/>
    </row>
    <row r="142" ht="23" customHeight="1">
      <c r="A142" s="39" t="n"/>
      <c r="B142" s="39" t="n"/>
      <c r="C142" s="39" t="n"/>
      <c r="D142" s="40" t="n"/>
      <c r="E142" s="40" t="n"/>
      <c r="F142" s="39" t="n"/>
      <c r="G142" s="40" t="n"/>
      <c r="H142" s="39" t="n"/>
      <c r="I142" s="40" t="n"/>
      <c r="J142" s="40" t="n"/>
      <c r="K142" s="39" t="n"/>
      <c r="L142" s="39" t="n"/>
      <c r="M142" s="39" t="n"/>
      <c r="N142" s="39" t="n"/>
      <c r="O142" s="40" t="n"/>
      <c r="P142" s="46" t="n"/>
      <c r="Q142" s="48" t="n"/>
      <c r="R142" s="40" t="n"/>
      <c r="S142" s="40" t="n"/>
      <c r="T142" s="39" t="n"/>
      <c r="U142" s="47" t="n"/>
      <c r="V142" s="39" t="n"/>
      <c r="W142" s="39" t="n"/>
      <c r="X142" s="39" t="n"/>
      <c r="Y142" s="39" t="n"/>
      <c r="Z142" s="40" t="n"/>
      <c r="AA142" s="40" t="n"/>
      <c r="AB142" s="46" t="n"/>
      <c r="AC142" s="39" t="n"/>
      <c r="AD142" s="39" t="n"/>
      <c r="AE142" s="39" t="n"/>
      <c r="AF142" s="39" t="n"/>
      <c r="AG142" s="39" t="n"/>
      <c r="AH142" s="40" t="n"/>
      <c r="AI142" s="42" t="n"/>
      <c r="AJ142" s="50" t="n"/>
      <c r="AK142" s="46" t="n"/>
      <c r="AL142" s="43" t="n"/>
      <c r="AM142" s="43" t="n"/>
      <c r="AN142" s="40" t="n"/>
      <c r="AO142" s="40" t="n"/>
      <c r="AP142" s="40" t="n"/>
      <c r="AQ142" s="40" t="n"/>
      <c r="AR142" s="40" t="n"/>
      <c r="AS142" s="47" t="n"/>
      <c r="AT142" s="40" t="n"/>
      <c r="AU142" s="40" t="n"/>
      <c r="AV142" s="40" t="n"/>
      <c r="AW142" s="40" t="n"/>
      <c r="AX142" s="47" t="n"/>
      <c r="AY142" s="39" t="n"/>
      <c r="AZ142" s="39" t="n"/>
      <c r="BA142" s="39" t="n"/>
      <c r="BB142" s="39" t="n"/>
      <c r="BC142" s="39" t="n"/>
      <c r="BD142" s="40" t="n"/>
      <c r="BE142" s="39" t="n"/>
      <c r="BF142" s="39" t="n"/>
      <c r="BG142" s="39" t="n"/>
      <c r="BH142" s="39" t="n"/>
      <c r="BI142" s="39" t="n"/>
      <c r="BJ142" s="39" t="n"/>
      <c r="BK142" s="39" t="n"/>
      <c r="BL142" s="39" t="n"/>
      <c r="BM142" s="39" t="n"/>
      <c r="BN142" s="39" t="n"/>
      <c r="BO142" s="39" t="n"/>
      <c r="BP142" s="40" t="n"/>
      <c r="BQ142" s="40" t="n"/>
      <c r="BR142" s="40" t="n"/>
      <c r="BS142" s="40" t="n"/>
      <c r="BT142" s="40" t="n"/>
      <c r="BU142" s="40" t="n"/>
      <c r="BV142" s="40" t="n"/>
      <c r="BW142" s="40" t="n"/>
      <c r="BX142" s="43" t="n"/>
      <c r="BY142" s="39" t="n"/>
      <c r="BZ142" s="39" t="n"/>
      <c r="CA142" s="39" t="n"/>
      <c r="CB142" s="39" t="n"/>
      <c r="CC142" s="39" t="n"/>
      <c r="CD142" s="39" t="n"/>
      <c r="CE142" s="39" t="n"/>
      <c r="CF142" s="39" t="n"/>
      <c r="CG142" s="47" t="n"/>
      <c r="CH142" s="47" t="n"/>
      <c r="CI142" s="47" t="n"/>
      <c r="CJ142" s="47" t="n"/>
    </row>
    <row r="143" ht="23" customHeight="1">
      <c r="A143" s="39" t="n"/>
      <c r="B143" s="39" t="n"/>
      <c r="C143" s="39" t="n"/>
      <c r="D143" s="40" t="n"/>
      <c r="E143" s="40" t="n"/>
      <c r="F143" s="39" t="n"/>
      <c r="G143" s="40" t="n"/>
      <c r="H143" s="39" t="n"/>
      <c r="I143" s="40" t="n"/>
      <c r="J143" s="40" t="n"/>
      <c r="K143" s="39" t="n"/>
      <c r="L143" s="39" t="n"/>
      <c r="M143" s="39" t="n"/>
      <c r="N143" s="39" t="n"/>
      <c r="O143" s="40" t="n"/>
      <c r="P143" s="46" t="n"/>
      <c r="Q143" s="48" t="n"/>
      <c r="R143" s="40" t="n"/>
      <c r="S143" s="40" t="n"/>
      <c r="T143" s="39" t="n"/>
      <c r="U143" s="47" t="n"/>
      <c r="V143" s="39" t="n"/>
      <c r="W143" s="39" t="n"/>
      <c r="X143" s="39" t="n"/>
      <c r="Y143" s="39" t="n"/>
      <c r="Z143" s="40" t="n"/>
      <c r="AA143" s="40" t="n"/>
      <c r="AB143" s="46" t="n"/>
      <c r="AC143" s="39" t="n"/>
      <c r="AD143" s="39" t="n"/>
      <c r="AE143" s="39" t="n"/>
      <c r="AF143" s="39" t="n"/>
      <c r="AG143" s="39" t="n"/>
      <c r="AH143" s="40" t="n"/>
      <c r="AI143" s="42" t="n"/>
      <c r="AJ143" s="50" t="n"/>
      <c r="AK143" s="46" t="n"/>
      <c r="AL143" s="43" t="n"/>
      <c r="AM143" s="43" t="n"/>
      <c r="AN143" s="40" t="n"/>
      <c r="AO143" s="40" t="n"/>
      <c r="AP143" s="40" t="n"/>
      <c r="AQ143" s="40" t="n"/>
      <c r="AR143" s="40" t="n"/>
      <c r="AS143" s="47" t="n"/>
      <c r="AT143" s="40" t="n"/>
      <c r="AU143" s="40" t="n"/>
      <c r="AV143" s="40" t="n"/>
      <c r="AW143" s="40" t="n"/>
      <c r="AX143" s="47" t="n"/>
      <c r="AY143" s="39" t="n"/>
      <c r="AZ143" s="39" t="n"/>
      <c r="BA143" s="39" t="n"/>
      <c r="BB143" s="39" t="n"/>
      <c r="BC143" s="39" t="n"/>
      <c r="BD143" s="40" t="n"/>
      <c r="BE143" s="39" t="n"/>
      <c r="BF143" s="39" t="n"/>
      <c r="BG143" s="39" t="n"/>
      <c r="BH143" s="39" t="n"/>
      <c r="BI143" s="39" t="n"/>
      <c r="BJ143" s="39" t="n"/>
      <c r="BK143" s="39" t="n"/>
      <c r="BL143" s="39" t="n"/>
      <c r="BM143" s="39" t="n"/>
      <c r="BN143" s="39" t="n"/>
      <c r="BO143" s="39" t="n"/>
      <c r="BP143" s="40" t="n"/>
      <c r="BQ143" s="40" t="n"/>
      <c r="BR143" s="40" t="n"/>
      <c r="BS143" s="40" t="n"/>
      <c r="BT143" s="40" t="n"/>
      <c r="BU143" s="40" t="n"/>
      <c r="BV143" s="40" t="n"/>
      <c r="BW143" s="40" t="n"/>
      <c r="BX143" s="43" t="n"/>
      <c r="BY143" s="39" t="n"/>
      <c r="BZ143" s="39" t="n"/>
      <c r="CA143" s="39" t="n"/>
      <c r="CB143" s="39" t="n"/>
      <c r="CC143" s="39" t="n"/>
      <c r="CD143" s="39" t="n"/>
      <c r="CE143" s="39" t="n"/>
      <c r="CF143" s="39" t="n"/>
      <c r="CG143" s="47" t="n"/>
      <c r="CH143" s="47" t="n"/>
      <c r="CI143" s="47" t="n"/>
      <c r="CJ143" s="47" t="n"/>
    </row>
    <row r="144" ht="23" customHeight="1">
      <c r="A144" s="39" t="n"/>
      <c r="B144" s="39" t="n"/>
      <c r="C144" s="39" t="n"/>
      <c r="D144" s="40" t="n"/>
      <c r="E144" s="40" t="n"/>
      <c r="F144" s="39" t="n"/>
      <c r="G144" s="40" t="n"/>
      <c r="H144" s="39" t="n"/>
      <c r="I144" s="40" t="n"/>
      <c r="J144" s="40" t="n"/>
      <c r="K144" s="39" t="n"/>
      <c r="L144" s="39" t="n"/>
      <c r="M144" s="39" t="n"/>
      <c r="N144" s="39" t="n"/>
      <c r="O144" s="40" t="n"/>
      <c r="P144" s="46" t="n"/>
      <c r="Q144" s="48" t="n"/>
      <c r="R144" s="40" t="n"/>
      <c r="S144" s="40" t="n"/>
      <c r="T144" s="39" t="n"/>
      <c r="U144" s="47" t="n"/>
      <c r="V144" s="39" t="n"/>
      <c r="W144" s="39" t="n"/>
      <c r="X144" s="39" t="n"/>
      <c r="Y144" s="39" t="n"/>
      <c r="Z144" s="40" t="n"/>
      <c r="AA144" s="40" t="n"/>
      <c r="AB144" s="46" t="n"/>
      <c r="AC144" s="39" t="n"/>
      <c r="AD144" s="39" t="n"/>
      <c r="AE144" s="39" t="n"/>
      <c r="AF144" s="39" t="n"/>
      <c r="AG144" s="39" t="n"/>
      <c r="AH144" s="40" t="n"/>
      <c r="AI144" s="42" t="n"/>
      <c r="AJ144" s="50" t="n"/>
      <c r="AK144" s="46" t="n"/>
      <c r="AL144" s="43" t="n"/>
      <c r="AM144" s="43" t="n"/>
      <c r="AN144" s="40" t="n"/>
      <c r="AO144" s="40" t="n"/>
      <c r="AP144" s="40" t="n"/>
      <c r="AQ144" s="40" t="n"/>
      <c r="AR144" s="40" t="n"/>
      <c r="AS144" s="47" t="n"/>
      <c r="AT144" s="40" t="n"/>
      <c r="AU144" s="40" t="n"/>
      <c r="AV144" s="40" t="n"/>
      <c r="AW144" s="40" t="n"/>
      <c r="AX144" s="47" t="n"/>
      <c r="AY144" s="39" t="n"/>
      <c r="AZ144" s="39" t="n"/>
      <c r="BA144" s="39" t="n"/>
      <c r="BB144" s="39" t="n"/>
      <c r="BC144" s="39" t="n"/>
      <c r="BD144" s="40" t="n"/>
      <c r="BE144" s="39" t="n"/>
      <c r="BF144" s="39" t="n"/>
      <c r="BG144" s="39" t="n"/>
      <c r="BH144" s="39" t="n"/>
      <c r="BI144" s="39" t="n"/>
      <c r="BJ144" s="39" t="n"/>
      <c r="BK144" s="39" t="n"/>
      <c r="BL144" s="39" t="n"/>
      <c r="BM144" s="39" t="n"/>
      <c r="BN144" s="39" t="n"/>
      <c r="BO144" s="39" t="n"/>
      <c r="BP144" s="40" t="n"/>
      <c r="BQ144" s="40" t="n"/>
      <c r="BR144" s="40" t="n"/>
      <c r="BS144" s="40" t="n"/>
      <c r="BT144" s="40" t="n"/>
      <c r="BU144" s="40" t="n"/>
      <c r="BV144" s="40" t="n"/>
      <c r="BW144" s="40" t="n"/>
      <c r="BX144" s="43" t="n"/>
      <c r="BY144" s="39" t="n"/>
      <c r="BZ144" s="39" t="n"/>
      <c r="CA144" s="39" t="n"/>
      <c r="CB144" s="39" t="n"/>
      <c r="CC144" s="39" t="n"/>
      <c r="CD144" s="39" t="n"/>
      <c r="CE144" s="39" t="n"/>
      <c r="CF144" s="39" t="n"/>
      <c r="CG144" s="47" t="n"/>
      <c r="CH144" s="47" t="n"/>
      <c r="CI144" s="47" t="n"/>
      <c r="CJ144" s="47" t="n"/>
    </row>
    <row r="145" ht="23" customHeight="1">
      <c r="A145" s="39" t="n"/>
      <c r="B145" s="39" t="n"/>
      <c r="C145" s="39" t="n"/>
      <c r="D145" s="40" t="n"/>
      <c r="E145" s="40" t="n"/>
      <c r="F145" s="39" t="n"/>
      <c r="G145" s="40" t="n"/>
      <c r="H145" s="39" t="n"/>
      <c r="I145" s="40" t="n"/>
      <c r="J145" s="40" t="n"/>
      <c r="K145" s="39" t="n"/>
      <c r="L145" s="39" t="n"/>
      <c r="M145" s="39" t="n"/>
      <c r="N145" s="39" t="n"/>
      <c r="O145" s="40" t="n"/>
      <c r="P145" s="46" t="n"/>
      <c r="Q145" s="48" t="n"/>
      <c r="R145" s="40" t="n"/>
      <c r="S145" s="40" t="n"/>
      <c r="T145" s="39" t="n"/>
      <c r="U145" s="47" t="n"/>
      <c r="V145" s="39" t="n"/>
      <c r="W145" s="39" t="n"/>
      <c r="X145" s="39" t="n"/>
      <c r="Y145" s="39" t="n"/>
      <c r="Z145" s="40" t="n"/>
      <c r="AA145" s="40" t="n"/>
      <c r="AB145" s="46" t="n"/>
      <c r="AC145" s="39" t="n"/>
      <c r="AD145" s="39" t="n"/>
      <c r="AE145" s="39" t="n"/>
      <c r="AF145" s="39" t="n"/>
      <c r="AG145" s="39" t="n"/>
      <c r="AH145" s="40" t="n"/>
      <c r="AI145" s="42" t="n"/>
      <c r="AJ145" s="50" t="n"/>
      <c r="AK145" s="46" t="n"/>
      <c r="AL145" s="43" t="n"/>
      <c r="AM145" s="43" t="n"/>
      <c r="AN145" s="40" t="n"/>
      <c r="AO145" s="40" t="n"/>
      <c r="AP145" s="40" t="n"/>
      <c r="AQ145" s="40" t="n"/>
      <c r="AR145" s="40" t="n"/>
      <c r="AS145" s="47" t="n"/>
      <c r="AT145" s="40" t="n"/>
      <c r="AU145" s="40" t="n"/>
      <c r="AV145" s="40" t="n"/>
      <c r="AW145" s="40" t="n"/>
      <c r="AX145" s="47" t="n"/>
      <c r="AY145" s="39" t="n"/>
      <c r="AZ145" s="39" t="n"/>
      <c r="BA145" s="39" t="n"/>
      <c r="BB145" s="39" t="n"/>
      <c r="BC145" s="39" t="n"/>
      <c r="BD145" s="40" t="n"/>
      <c r="BE145" s="39" t="n"/>
      <c r="BF145" s="39" t="n"/>
      <c r="BG145" s="39" t="n"/>
      <c r="BH145" s="39" t="n"/>
      <c r="BI145" s="39" t="n"/>
      <c r="BJ145" s="39" t="n"/>
      <c r="BK145" s="39" t="n"/>
      <c r="BL145" s="39" t="n"/>
      <c r="BM145" s="39" t="n"/>
      <c r="BN145" s="39" t="n"/>
      <c r="BO145" s="39" t="n"/>
      <c r="BP145" s="40" t="n"/>
      <c r="BQ145" s="40" t="n"/>
      <c r="BR145" s="40" t="n"/>
      <c r="BS145" s="40" t="n"/>
      <c r="BT145" s="40" t="n"/>
      <c r="BU145" s="40" t="n"/>
      <c r="BV145" s="40" t="n"/>
      <c r="BW145" s="40" t="n"/>
      <c r="BX145" s="43" t="n"/>
      <c r="BY145" s="39" t="n"/>
      <c r="BZ145" s="39" t="n"/>
      <c r="CA145" s="39" t="n"/>
      <c r="CB145" s="39" t="n"/>
      <c r="CC145" s="39" t="n"/>
      <c r="CD145" s="39" t="n"/>
      <c r="CE145" s="39" t="n"/>
      <c r="CF145" s="39" t="n"/>
      <c r="CG145" s="47" t="n"/>
      <c r="CH145" s="47" t="n"/>
      <c r="CI145" s="47" t="n"/>
      <c r="CJ145" s="47" t="n"/>
    </row>
    <row r="146" ht="23" customHeight="1">
      <c r="A146" s="39" t="n"/>
      <c r="B146" s="39" t="n"/>
      <c r="C146" s="39" t="n"/>
      <c r="D146" s="40" t="n"/>
      <c r="E146" s="40" t="n"/>
      <c r="F146" s="39" t="n"/>
      <c r="G146" s="40" t="n"/>
      <c r="H146" s="39" t="n"/>
      <c r="I146" s="40" t="n"/>
      <c r="J146" s="40" t="n"/>
      <c r="K146" s="39" t="n"/>
      <c r="L146" s="39" t="n"/>
      <c r="M146" s="39" t="n"/>
      <c r="N146" s="39" t="n"/>
      <c r="O146" s="40" t="n"/>
      <c r="P146" s="46" t="n"/>
      <c r="Q146" s="48" t="n"/>
      <c r="R146" s="40" t="n"/>
      <c r="S146" s="40" t="n"/>
      <c r="T146" s="39" t="n"/>
      <c r="U146" s="47" t="n"/>
      <c r="V146" s="39" t="n"/>
      <c r="W146" s="39" t="n"/>
      <c r="X146" s="39" t="n"/>
      <c r="Y146" s="39" t="n"/>
      <c r="Z146" s="40" t="n"/>
      <c r="AA146" s="40" t="n"/>
      <c r="AB146" s="46" t="n"/>
      <c r="AC146" s="39" t="n"/>
      <c r="AD146" s="39" t="n"/>
      <c r="AE146" s="39" t="n"/>
      <c r="AF146" s="39" t="n"/>
      <c r="AG146" s="39" t="n"/>
      <c r="AH146" s="40" t="n"/>
      <c r="AI146" s="42" t="n"/>
      <c r="AJ146" s="50" t="n"/>
      <c r="AK146" s="46" t="n"/>
      <c r="AL146" s="43" t="n"/>
      <c r="AM146" s="43" t="n"/>
      <c r="AN146" s="40" t="n"/>
      <c r="AO146" s="40" t="n"/>
      <c r="AP146" s="40" t="n"/>
      <c r="AQ146" s="40" t="n"/>
      <c r="AR146" s="40" t="n"/>
      <c r="AS146" s="47" t="n"/>
      <c r="AT146" s="40" t="n"/>
      <c r="AU146" s="40" t="n"/>
      <c r="AV146" s="40" t="n"/>
      <c r="AW146" s="40" t="n"/>
      <c r="AX146" s="47" t="n"/>
      <c r="AY146" s="39" t="n"/>
      <c r="AZ146" s="39" t="n"/>
      <c r="BA146" s="39" t="n"/>
      <c r="BB146" s="39" t="n"/>
      <c r="BC146" s="39" t="n"/>
      <c r="BD146" s="40" t="n"/>
      <c r="BE146" s="39" t="n"/>
      <c r="BF146" s="39" t="n"/>
      <c r="BG146" s="39" t="n"/>
      <c r="BH146" s="39" t="n"/>
      <c r="BI146" s="39" t="n"/>
      <c r="BJ146" s="39" t="n"/>
      <c r="BK146" s="39" t="n"/>
      <c r="BL146" s="39" t="n"/>
      <c r="BM146" s="39" t="n"/>
      <c r="BN146" s="39" t="n"/>
      <c r="BO146" s="39" t="n"/>
      <c r="BP146" s="40" t="n"/>
      <c r="BQ146" s="40" t="n"/>
      <c r="BR146" s="40" t="n"/>
      <c r="BS146" s="40" t="n"/>
      <c r="BT146" s="40" t="n"/>
      <c r="BU146" s="40" t="n"/>
      <c r="BV146" s="40" t="n"/>
      <c r="BW146" s="40" t="n"/>
      <c r="BX146" s="43" t="n"/>
      <c r="BY146" s="39" t="n"/>
      <c r="BZ146" s="39" t="n"/>
      <c r="CA146" s="39" t="n"/>
      <c r="CB146" s="39" t="n"/>
      <c r="CC146" s="39" t="n"/>
      <c r="CD146" s="39" t="n"/>
      <c r="CE146" s="39" t="n"/>
      <c r="CF146" s="39" t="n"/>
      <c r="CG146" s="47" t="n"/>
      <c r="CH146" s="47" t="n"/>
      <c r="CI146" s="47" t="n"/>
      <c r="CJ146" s="47" t="n"/>
    </row>
    <row r="147" ht="23" customHeight="1">
      <c r="A147" s="39" t="n"/>
      <c r="B147" s="39" t="n"/>
      <c r="C147" s="39" t="n"/>
      <c r="D147" s="40" t="n"/>
      <c r="E147" s="40" t="n"/>
      <c r="F147" s="39" t="n"/>
      <c r="G147" s="40" t="n"/>
      <c r="H147" s="39" t="n"/>
      <c r="I147" s="40" t="n"/>
      <c r="J147" s="40" t="n"/>
      <c r="K147" s="39" t="n"/>
      <c r="L147" s="39" t="n"/>
      <c r="M147" s="39" t="n"/>
      <c r="N147" s="39" t="n"/>
      <c r="O147" s="40" t="n"/>
      <c r="P147" s="46" t="n"/>
      <c r="Q147" s="48" t="n"/>
      <c r="R147" s="40" t="n"/>
      <c r="S147" s="40" t="n"/>
      <c r="T147" s="39" t="n"/>
      <c r="U147" s="47" t="n"/>
      <c r="V147" s="39" t="n"/>
      <c r="W147" s="39" t="n"/>
      <c r="X147" s="39" t="n"/>
      <c r="Y147" s="39" t="n"/>
      <c r="Z147" s="40" t="n"/>
      <c r="AA147" s="40" t="n"/>
      <c r="AB147" s="46" t="n"/>
      <c r="AC147" s="39" t="n"/>
      <c r="AD147" s="39" t="n"/>
      <c r="AE147" s="39" t="n"/>
      <c r="AF147" s="39" t="n"/>
      <c r="AG147" s="39" t="n"/>
      <c r="AH147" s="40" t="n"/>
      <c r="AI147" s="42" t="n"/>
      <c r="AJ147" s="50" t="n"/>
      <c r="AK147" s="46" t="n"/>
      <c r="AL147" s="43" t="n"/>
      <c r="AM147" s="43" t="n"/>
      <c r="AN147" s="40" t="n"/>
      <c r="AO147" s="40" t="n"/>
      <c r="AP147" s="40" t="n"/>
      <c r="AQ147" s="40" t="n"/>
      <c r="AR147" s="40" t="n"/>
      <c r="AS147" s="47" t="n"/>
      <c r="AT147" s="40" t="n"/>
      <c r="AU147" s="40" t="n"/>
      <c r="AV147" s="40" t="n"/>
      <c r="AW147" s="40" t="n"/>
      <c r="AX147" s="47" t="n"/>
      <c r="AY147" s="39" t="n"/>
      <c r="AZ147" s="39" t="n"/>
      <c r="BA147" s="39" t="n"/>
      <c r="BB147" s="39" t="n"/>
      <c r="BC147" s="39" t="n"/>
      <c r="BD147" s="40" t="n"/>
      <c r="BE147" s="39" t="n"/>
      <c r="BF147" s="39" t="n"/>
      <c r="BG147" s="39" t="n"/>
      <c r="BH147" s="39" t="n"/>
      <c r="BI147" s="39" t="n"/>
      <c r="BJ147" s="39" t="n"/>
      <c r="BK147" s="39" t="n"/>
      <c r="BL147" s="39" t="n"/>
      <c r="BM147" s="39" t="n"/>
      <c r="BN147" s="39" t="n"/>
      <c r="BO147" s="39" t="n"/>
      <c r="BP147" s="40" t="n"/>
      <c r="BQ147" s="40" t="n"/>
      <c r="BR147" s="40" t="n"/>
      <c r="BS147" s="40" t="n"/>
      <c r="BT147" s="40" t="n"/>
      <c r="BU147" s="40" t="n"/>
      <c r="BV147" s="40" t="n"/>
      <c r="BW147" s="40" t="n"/>
      <c r="BX147" s="43" t="n"/>
      <c r="BY147" s="39" t="n"/>
      <c r="BZ147" s="39" t="n"/>
      <c r="CA147" s="39" t="n"/>
      <c r="CB147" s="39" t="n"/>
      <c r="CC147" s="39" t="n"/>
      <c r="CD147" s="39" t="n"/>
      <c r="CE147" s="39" t="n"/>
      <c r="CF147" s="39" t="n"/>
      <c r="CG147" s="47" t="n"/>
      <c r="CH147" s="47" t="n"/>
      <c r="CI147" s="47" t="n"/>
      <c r="CJ147" s="47" t="n"/>
    </row>
    <row r="148" ht="23" customHeight="1">
      <c r="A148" s="39" t="n"/>
      <c r="B148" s="39" t="n"/>
      <c r="C148" s="39" t="n"/>
      <c r="D148" s="40" t="n"/>
      <c r="E148" s="40" t="n"/>
      <c r="F148" s="39" t="n"/>
      <c r="G148" s="40" t="n"/>
      <c r="H148" s="39" t="n"/>
      <c r="I148" s="40" t="n"/>
      <c r="J148" s="40" t="n"/>
      <c r="K148" s="39" t="n"/>
      <c r="L148" s="39" t="n"/>
      <c r="M148" s="39" t="n"/>
      <c r="N148" s="39" t="n"/>
      <c r="O148" s="40" t="n"/>
      <c r="P148" s="46" t="n"/>
      <c r="Q148" s="48" t="n"/>
      <c r="R148" s="40" t="n"/>
      <c r="S148" s="40" t="n"/>
      <c r="T148" s="39" t="n"/>
      <c r="U148" s="47" t="n"/>
      <c r="V148" s="39" t="n"/>
      <c r="W148" s="39" t="n"/>
      <c r="X148" s="39" t="n"/>
      <c r="Y148" s="39" t="n"/>
      <c r="Z148" s="40" t="n"/>
      <c r="AA148" s="40" t="n"/>
      <c r="AB148" s="46" t="n"/>
      <c r="AC148" s="39" t="n"/>
      <c r="AD148" s="39" t="n"/>
      <c r="AE148" s="39" t="n"/>
      <c r="AF148" s="39" t="n"/>
      <c r="AG148" s="39" t="n"/>
      <c r="AH148" s="40" t="n"/>
      <c r="AI148" s="42" t="n"/>
      <c r="AJ148" s="50" t="n"/>
      <c r="AK148" s="46" t="n"/>
      <c r="AL148" s="43" t="n"/>
      <c r="AM148" s="43" t="n"/>
      <c r="AN148" s="40" t="n"/>
      <c r="AO148" s="40" t="n"/>
      <c r="AP148" s="40" t="n"/>
      <c r="AQ148" s="40" t="n"/>
      <c r="AR148" s="40" t="n"/>
      <c r="AS148" s="47" t="n"/>
      <c r="AT148" s="40" t="n"/>
      <c r="AU148" s="40" t="n"/>
      <c r="AV148" s="40" t="n"/>
      <c r="AW148" s="40" t="n"/>
      <c r="AX148" s="47" t="n"/>
      <c r="AY148" s="39" t="n"/>
      <c r="AZ148" s="39" t="n"/>
      <c r="BA148" s="39" t="n"/>
      <c r="BB148" s="39" t="n"/>
      <c r="BC148" s="39" t="n"/>
      <c r="BD148" s="40" t="n"/>
      <c r="BE148" s="39" t="n"/>
      <c r="BF148" s="39" t="n"/>
      <c r="BG148" s="39" t="n"/>
      <c r="BH148" s="39" t="n"/>
      <c r="BI148" s="39" t="n"/>
      <c r="BJ148" s="39" t="n"/>
      <c r="BK148" s="39" t="n"/>
      <c r="BL148" s="39" t="n"/>
      <c r="BM148" s="39" t="n"/>
      <c r="BN148" s="39" t="n"/>
      <c r="BO148" s="39" t="n"/>
      <c r="BP148" s="40" t="n"/>
      <c r="BQ148" s="40" t="n"/>
      <c r="BR148" s="40" t="n"/>
      <c r="BS148" s="40" t="n"/>
      <c r="BT148" s="40" t="n"/>
      <c r="BU148" s="40" t="n"/>
      <c r="BV148" s="40" t="n"/>
      <c r="BW148" s="40" t="n"/>
      <c r="BX148" s="43" t="n"/>
      <c r="BY148" s="39" t="n"/>
      <c r="BZ148" s="39" t="n"/>
      <c r="CA148" s="39" t="n"/>
      <c r="CB148" s="39" t="n"/>
      <c r="CC148" s="39" t="n"/>
      <c r="CD148" s="39" t="n"/>
      <c r="CE148" s="39" t="n"/>
      <c r="CF148" s="39" t="n"/>
      <c r="CG148" s="47" t="n"/>
      <c r="CH148" s="47" t="n"/>
      <c r="CI148" s="47" t="n"/>
      <c r="CJ148" s="47" t="n"/>
    </row>
    <row r="149" ht="23" customHeight="1">
      <c r="A149" s="39" t="n"/>
      <c r="B149" s="39" t="n"/>
      <c r="C149" s="39" t="n"/>
      <c r="D149" s="40" t="n"/>
      <c r="E149" s="40" t="n"/>
      <c r="F149" s="39" t="n"/>
      <c r="G149" s="40" t="n"/>
      <c r="H149" s="39" t="n"/>
      <c r="I149" s="40" t="n"/>
      <c r="J149" s="40" t="n"/>
      <c r="K149" s="39" t="n"/>
      <c r="L149" s="39" t="n"/>
      <c r="M149" s="39" t="n"/>
      <c r="N149" s="39" t="n"/>
      <c r="O149" s="40" t="n"/>
      <c r="P149" s="46" t="n"/>
      <c r="Q149" s="48" t="n"/>
      <c r="R149" s="40" t="n"/>
      <c r="S149" s="40" t="n"/>
      <c r="T149" s="39" t="n"/>
      <c r="U149" s="47" t="n"/>
      <c r="V149" s="39" t="n"/>
      <c r="W149" s="39" t="n"/>
      <c r="X149" s="39" t="n"/>
      <c r="Y149" s="39" t="n"/>
      <c r="Z149" s="40" t="n"/>
      <c r="AA149" s="40" t="n"/>
      <c r="AB149" s="46" t="n"/>
      <c r="AC149" s="39" t="n"/>
      <c r="AD149" s="39" t="n"/>
      <c r="AE149" s="39" t="n"/>
      <c r="AF149" s="39" t="n"/>
      <c r="AG149" s="39" t="n"/>
      <c r="AH149" s="40" t="n"/>
      <c r="AI149" s="42" t="n"/>
      <c r="AJ149" s="50" t="n"/>
      <c r="AK149" s="46" t="n"/>
      <c r="AL149" s="43" t="n"/>
      <c r="AM149" s="43" t="n"/>
      <c r="AN149" s="40" t="n"/>
      <c r="AO149" s="40" t="n"/>
      <c r="AP149" s="40" t="n"/>
      <c r="AQ149" s="40" t="n"/>
      <c r="AR149" s="40" t="n"/>
      <c r="AS149" s="47" t="n"/>
      <c r="AT149" s="40" t="n"/>
      <c r="AU149" s="40" t="n"/>
      <c r="AV149" s="40" t="n"/>
      <c r="AW149" s="40" t="n"/>
      <c r="AX149" s="47" t="n"/>
      <c r="AY149" s="39" t="n"/>
      <c r="AZ149" s="39" t="n"/>
      <c r="BA149" s="39" t="n"/>
      <c r="BB149" s="39" t="n"/>
      <c r="BC149" s="39" t="n"/>
      <c r="BD149" s="40" t="n"/>
      <c r="BE149" s="39" t="n"/>
      <c r="BF149" s="39" t="n"/>
      <c r="BG149" s="39" t="n"/>
      <c r="BH149" s="39" t="n"/>
      <c r="BI149" s="39" t="n"/>
      <c r="BJ149" s="39" t="n"/>
      <c r="BK149" s="39" t="n"/>
      <c r="BL149" s="39" t="n"/>
      <c r="BM149" s="39" t="n"/>
      <c r="BN149" s="39" t="n"/>
      <c r="BO149" s="39" t="n"/>
      <c r="BP149" s="40" t="n"/>
      <c r="BQ149" s="40" t="n"/>
      <c r="BR149" s="40" t="n"/>
      <c r="BS149" s="40" t="n"/>
      <c r="BT149" s="40" t="n"/>
      <c r="BU149" s="40" t="n"/>
      <c r="BV149" s="40" t="n"/>
      <c r="BW149" s="40" t="n"/>
      <c r="BX149" s="43" t="n"/>
      <c r="BY149" s="39" t="n"/>
      <c r="BZ149" s="39" t="n"/>
      <c r="CA149" s="39" t="n"/>
      <c r="CB149" s="39" t="n"/>
      <c r="CC149" s="39" t="n"/>
      <c r="CD149" s="39" t="n"/>
      <c r="CE149" s="39" t="n"/>
      <c r="CF149" s="39" t="n"/>
      <c r="CG149" s="47" t="n"/>
      <c r="CH149" s="47" t="n"/>
      <c r="CI149" s="47" t="n"/>
      <c r="CJ149" s="47" t="n"/>
    </row>
    <row r="150" ht="23" customHeight="1">
      <c r="A150" s="39" t="n"/>
      <c r="B150" s="39" t="n"/>
      <c r="C150" s="39" t="n"/>
      <c r="D150" s="40" t="n"/>
      <c r="E150" s="40" t="n"/>
      <c r="F150" s="39" t="n"/>
      <c r="G150" s="40" t="n"/>
      <c r="H150" s="39" t="n"/>
      <c r="I150" s="40" t="n"/>
      <c r="J150" s="40" t="n"/>
      <c r="K150" s="39" t="n"/>
      <c r="L150" s="39" t="n"/>
      <c r="M150" s="39" t="n"/>
      <c r="N150" s="39" t="n"/>
      <c r="O150" s="40" t="n"/>
      <c r="P150" s="46" t="n"/>
      <c r="Q150" s="48" t="n"/>
      <c r="R150" s="40" t="n"/>
      <c r="S150" s="40" t="n"/>
      <c r="T150" s="39" t="n"/>
      <c r="U150" s="47" t="n"/>
      <c r="V150" s="39" t="n"/>
      <c r="W150" s="39" t="n"/>
      <c r="X150" s="39" t="n"/>
      <c r="Y150" s="39" t="n"/>
      <c r="Z150" s="40" t="n"/>
      <c r="AA150" s="40" t="n"/>
      <c r="AB150" s="46" t="n"/>
      <c r="AC150" s="39" t="n"/>
      <c r="AD150" s="39" t="n"/>
      <c r="AE150" s="39" t="n"/>
      <c r="AF150" s="39" t="n"/>
      <c r="AG150" s="39" t="n"/>
      <c r="AH150" s="40" t="n"/>
      <c r="AI150" s="42" t="n"/>
      <c r="AJ150" s="50" t="n"/>
      <c r="AK150" s="46" t="n"/>
      <c r="AL150" s="43" t="n"/>
      <c r="AM150" s="43" t="n"/>
      <c r="AN150" s="40" t="n"/>
      <c r="AO150" s="40" t="n"/>
      <c r="AP150" s="40" t="n"/>
      <c r="AQ150" s="40" t="n"/>
      <c r="AR150" s="40" t="n"/>
      <c r="AS150" s="47" t="n"/>
      <c r="AT150" s="40" t="n"/>
      <c r="AU150" s="40" t="n"/>
      <c r="AV150" s="40" t="n"/>
      <c r="AW150" s="40" t="n"/>
      <c r="AX150" s="47" t="n"/>
      <c r="AY150" s="39" t="n"/>
      <c r="AZ150" s="39" t="n"/>
      <c r="BA150" s="39" t="n"/>
      <c r="BB150" s="39" t="n"/>
      <c r="BC150" s="39" t="n"/>
      <c r="BD150" s="40" t="n"/>
      <c r="BE150" s="39" t="n"/>
      <c r="BF150" s="39" t="n"/>
      <c r="BG150" s="39" t="n"/>
      <c r="BH150" s="39" t="n"/>
      <c r="BI150" s="39" t="n"/>
      <c r="BJ150" s="39" t="n"/>
      <c r="BK150" s="39" t="n"/>
      <c r="BL150" s="39" t="n"/>
      <c r="BM150" s="39" t="n"/>
      <c r="BN150" s="39" t="n"/>
      <c r="BO150" s="39" t="n"/>
      <c r="BP150" s="40" t="n"/>
      <c r="BQ150" s="40" t="n"/>
      <c r="BR150" s="40" t="n"/>
      <c r="BS150" s="40" t="n"/>
      <c r="BT150" s="40" t="n"/>
      <c r="BU150" s="40" t="n"/>
      <c r="BV150" s="40" t="n"/>
      <c r="BW150" s="40" t="n"/>
      <c r="BX150" s="43" t="n"/>
      <c r="BY150" s="39" t="n"/>
      <c r="BZ150" s="39" t="n"/>
      <c r="CA150" s="39" t="n"/>
      <c r="CB150" s="39" t="n"/>
      <c r="CC150" s="39" t="n"/>
      <c r="CD150" s="39" t="n"/>
      <c r="CE150" s="39" t="n"/>
      <c r="CF150" s="39" t="n"/>
      <c r="CG150" s="47" t="n"/>
      <c r="CH150" s="47" t="n"/>
      <c r="CI150" s="47" t="n"/>
      <c r="CJ150" s="47" t="n"/>
    </row>
    <row r="151" ht="23" customHeight="1">
      <c r="A151" s="39" t="n"/>
      <c r="B151" s="39" t="n"/>
      <c r="C151" s="39" t="n"/>
      <c r="D151" s="40" t="n"/>
      <c r="E151" s="40" t="n"/>
      <c r="F151" s="39" t="n"/>
      <c r="G151" s="40" t="n"/>
      <c r="H151" s="39" t="n"/>
      <c r="I151" s="40" t="n"/>
      <c r="J151" s="40" t="n"/>
      <c r="K151" s="39" t="n"/>
      <c r="L151" s="39" t="n"/>
      <c r="M151" s="39" t="n"/>
      <c r="N151" s="39" t="n"/>
      <c r="O151" s="40" t="n"/>
      <c r="P151" s="46" t="n"/>
      <c r="Q151" s="48" t="n"/>
      <c r="R151" s="40" t="n"/>
      <c r="S151" s="40" t="n"/>
      <c r="T151" s="39" t="n"/>
      <c r="U151" s="47" t="n"/>
      <c r="V151" s="39" t="n"/>
      <c r="W151" s="39" t="n"/>
      <c r="X151" s="39" t="n"/>
      <c r="Y151" s="39" t="n"/>
      <c r="Z151" s="40" t="n"/>
      <c r="AA151" s="40" t="n"/>
      <c r="AB151" s="46" t="n"/>
      <c r="AC151" s="39" t="n"/>
      <c r="AD151" s="39" t="n"/>
      <c r="AE151" s="39" t="n"/>
      <c r="AF151" s="39" t="n"/>
      <c r="AG151" s="39" t="n"/>
      <c r="AH151" s="40" t="n"/>
      <c r="AI151" s="42" t="n"/>
      <c r="AJ151" s="50" t="n"/>
      <c r="AK151" s="46" t="n"/>
      <c r="AL151" s="43" t="n"/>
      <c r="AM151" s="43" t="n"/>
      <c r="AN151" s="40" t="n"/>
      <c r="AO151" s="40" t="n"/>
      <c r="AP151" s="40" t="n"/>
      <c r="AQ151" s="40" t="n"/>
      <c r="AR151" s="40" t="n"/>
      <c r="AS151" s="47" t="n"/>
      <c r="AT151" s="40" t="n"/>
      <c r="AU151" s="40" t="n"/>
      <c r="AV151" s="40" t="n"/>
      <c r="AW151" s="40" t="n"/>
      <c r="AX151" s="47" t="n"/>
      <c r="AY151" s="39" t="n"/>
      <c r="AZ151" s="39" t="n"/>
      <c r="BA151" s="39" t="n"/>
      <c r="BB151" s="39" t="n"/>
      <c r="BC151" s="39" t="n"/>
      <c r="BD151" s="40" t="n"/>
      <c r="BE151" s="39" t="n"/>
      <c r="BF151" s="39" t="n"/>
      <c r="BG151" s="39" t="n"/>
      <c r="BH151" s="39" t="n"/>
      <c r="BI151" s="39" t="n"/>
      <c r="BJ151" s="39" t="n"/>
      <c r="BK151" s="39" t="n"/>
      <c r="BL151" s="39" t="n"/>
      <c r="BM151" s="39" t="n"/>
      <c r="BN151" s="39" t="n"/>
      <c r="BO151" s="39" t="n"/>
      <c r="BP151" s="40" t="n"/>
      <c r="BQ151" s="40" t="n"/>
      <c r="BR151" s="40" t="n"/>
      <c r="BS151" s="40" t="n"/>
      <c r="BT151" s="40" t="n"/>
      <c r="BU151" s="40" t="n"/>
      <c r="BV151" s="40" t="n"/>
      <c r="BW151" s="40" t="n"/>
      <c r="BX151" s="43" t="n"/>
      <c r="BY151" s="39" t="n"/>
      <c r="BZ151" s="39" t="n"/>
      <c r="CA151" s="39" t="n"/>
      <c r="CB151" s="39" t="n"/>
      <c r="CC151" s="39" t="n"/>
      <c r="CD151" s="39" t="n"/>
      <c r="CE151" s="39" t="n"/>
      <c r="CF151" s="39" t="n"/>
      <c r="CG151" s="47" t="n"/>
      <c r="CH151" s="47" t="n"/>
      <c r="CI151" s="47" t="n"/>
      <c r="CJ151" s="47" t="n"/>
    </row>
    <row r="152" ht="23" customHeight="1">
      <c r="A152" s="39" t="n"/>
      <c r="B152" s="39" t="n"/>
      <c r="C152" s="39" t="n"/>
      <c r="D152" s="40" t="n"/>
      <c r="E152" s="40" t="n"/>
      <c r="F152" s="39" t="n"/>
      <c r="G152" s="40" t="n"/>
      <c r="H152" s="39" t="n"/>
      <c r="I152" s="40" t="n"/>
      <c r="J152" s="40" t="n"/>
      <c r="K152" s="39" t="n"/>
      <c r="L152" s="39" t="n"/>
      <c r="M152" s="39" t="n"/>
      <c r="N152" s="39" t="n"/>
      <c r="O152" s="40" t="n"/>
      <c r="P152" s="46" t="n"/>
      <c r="Q152" s="48" t="n"/>
      <c r="R152" s="40" t="n"/>
      <c r="S152" s="40" t="n"/>
      <c r="T152" s="39" t="n"/>
      <c r="U152" s="47" t="n"/>
      <c r="V152" s="39" t="n"/>
      <c r="W152" s="39" t="n"/>
      <c r="X152" s="39" t="n"/>
      <c r="Y152" s="39" t="n"/>
      <c r="Z152" s="40" t="n"/>
      <c r="AA152" s="40" t="n"/>
      <c r="AB152" s="46" t="n"/>
      <c r="AC152" s="39" t="n"/>
      <c r="AD152" s="39" t="n"/>
      <c r="AE152" s="39" t="n"/>
      <c r="AF152" s="39" t="n"/>
      <c r="AG152" s="39" t="n"/>
      <c r="AH152" s="40" t="n"/>
      <c r="AI152" s="42" t="n"/>
      <c r="AJ152" s="50" t="n"/>
      <c r="AK152" s="46" t="n"/>
      <c r="AL152" s="43" t="n"/>
      <c r="AM152" s="43" t="n"/>
      <c r="AN152" s="40" t="n"/>
      <c r="AO152" s="40" t="n"/>
      <c r="AP152" s="40" t="n"/>
      <c r="AQ152" s="40" t="n"/>
      <c r="AR152" s="40" t="n"/>
      <c r="AS152" s="47" t="n"/>
      <c r="AT152" s="40" t="n"/>
      <c r="AU152" s="40" t="n"/>
      <c r="AV152" s="40" t="n"/>
      <c r="AW152" s="40" t="n"/>
      <c r="AX152" s="47" t="n"/>
      <c r="AY152" s="39" t="n"/>
      <c r="AZ152" s="39" t="n"/>
      <c r="BA152" s="39" t="n"/>
      <c r="BB152" s="39" t="n"/>
      <c r="BC152" s="39" t="n"/>
      <c r="BD152" s="40" t="n"/>
      <c r="BE152" s="39" t="n"/>
      <c r="BF152" s="39" t="n"/>
      <c r="BG152" s="39" t="n"/>
      <c r="BH152" s="39" t="n"/>
      <c r="BI152" s="39" t="n"/>
      <c r="BJ152" s="39" t="n"/>
      <c r="BK152" s="39" t="n"/>
      <c r="BL152" s="39" t="n"/>
      <c r="BM152" s="39" t="n"/>
      <c r="BN152" s="39" t="n"/>
      <c r="BO152" s="39" t="n"/>
      <c r="BP152" s="40" t="n"/>
      <c r="BQ152" s="40" t="n"/>
      <c r="BR152" s="40" t="n"/>
      <c r="BS152" s="40" t="n"/>
      <c r="BT152" s="40" t="n"/>
      <c r="BU152" s="40" t="n"/>
      <c r="BV152" s="40" t="n"/>
      <c r="BW152" s="40" t="n"/>
      <c r="BX152" s="43" t="n"/>
      <c r="BY152" s="39" t="n"/>
      <c r="BZ152" s="39" t="n"/>
      <c r="CA152" s="39" t="n"/>
      <c r="CB152" s="39" t="n"/>
      <c r="CC152" s="39" t="n"/>
      <c r="CD152" s="39" t="n"/>
      <c r="CE152" s="39" t="n"/>
      <c r="CF152" s="39" t="n"/>
      <c r="CG152" s="47" t="n"/>
      <c r="CH152" s="47" t="n"/>
      <c r="CI152" s="47" t="n"/>
      <c r="CJ152" s="47" t="n"/>
    </row>
    <row r="153" ht="23" customHeight="1">
      <c r="A153" s="39" t="n"/>
      <c r="B153" s="39" t="n"/>
      <c r="C153" s="39" t="n"/>
      <c r="D153" s="40" t="n"/>
      <c r="E153" s="40" t="n"/>
      <c r="F153" s="39" t="n"/>
      <c r="G153" s="40" t="n"/>
      <c r="H153" s="39" t="n"/>
      <c r="I153" s="40" t="n"/>
      <c r="J153" s="40" t="n"/>
      <c r="K153" s="39" t="n"/>
      <c r="L153" s="39" t="n"/>
      <c r="M153" s="39" t="n"/>
      <c r="N153" s="39" t="n"/>
      <c r="O153" s="40" t="n"/>
      <c r="P153" s="46" t="n"/>
      <c r="Q153" s="48" t="n"/>
      <c r="R153" s="40" t="n"/>
      <c r="S153" s="40" t="n"/>
      <c r="T153" s="39" t="n"/>
      <c r="U153" s="47" t="n"/>
      <c r="V153" s="39" t="n"/>
      <c r="W153" s="39" t="n"/>
      <c r="X153" s="39" t="n"/>
      <c r="Y153" s="39" t="n"/>
      <c r="Z153" s="40" t="n"/>
      <c r="AA153" s="40" t="n"/>
      <c r="AB153" s="46" t="n"/>
      <c r="AC153" s="39" t="n"/>
      <c r="AD153" s="39" t="n"/>
      <c r="AE153" s="39" t="n"/>
      <c r="AF153" s="39" t="n"/>
      <c r="AG153" s="39" t="n"/>
      <c r="AH153" s="40" t="n"/>
      <c r="AI153" s="42" t="n"/>
      <c r="AJ153" s="50" t="n"/>
      <c r="AK153" s="46" t="n"/>
      <c r="AL153" s="43" t="n"/>
      <c r="AM153" s="43" t="n"/>
      <c r="AN153" s="40" t="n"/>
      <c r="AO153" s="40" t="n"/>
      <c r="AP153" s="40" t="n"/>
      <c r="AQ153" s="40" t="n"/>
      <c r="AR153" s="40" t="n"/>
      <c r="AS153" s="47" t="n"/>
      <c r="AT153" s="40" t="n"/>
      <c r="AU153" s="40" t="n"/>
      <c r="AV153" s="40" t="n"/>
      <c r="AW153" s="40" t="n"/>
      <c r="AX153" s="47" t="n"/>
      <c r="AY153" s="39" t="n"/>
      <c r="AZ153" s="39" t="n"/>
      <c r="BA153" s="39" t="n"/>
      <c r="BB153" s="39" t="n"/>
      <c r="BC153" s="39" t="n"/>
      <c r="BD153" s="40" t="n"/>
      <c r="BE153" s="39" t="n"/>
      <c r="BF153" s="39" t="n"/>
      <c r="BG153" s="39" t="n"/>
      <c r="BH153" s="39" t="n"/>
      <c r="BI153" s="39" t="n"/>
      <c r="BJ153" s="39" t="n"/>
      <c r="BK153" s="39" t="n"/>
      <c r="BL153" s="39" t="n"/>
      <c r="BM153" s="39" t="n"/>
      <c r="BN153" s="39" t="n"/>
      <c r="BO153" s="39" t="n"/>
      <c r="BP153" s="40" t="n"/>
      <c r="BQ153" s="40" t="n"/>
      <c r="BR153" s="40" t="n"/>
      <c r="BS153" s="40" t="n"/>
      <c r="BT153" s="40" t="n"/>
      <c r="BU153" s="40" t="n"/>
      <c r="BV153" s="40" t="n"/>
      <c r="BW153" s="40" t="n"/>
      <c r="BX153" s="43" t="n"/>
      <c r="BY153" s="39" t="n"/>
      <c r="BZ153" s="39" t="n"/>
      <c r="CA153" s="39" t="n"/>
      <c r="CB153" s="39" t="n"/>
      <c r="CC153" s="39" t="n"/>
      <c r="CD153" s="39" t="n"/>
      <c r="CE153" s="39" t="n"/>
      <c r="CF153" s="39" t="n"/>
      <c r="CG153" s="47" t="n"/>
      <c r="CH153" s="47" t="n"/>
      <c r="CI153" s="47" t="n"/>
      <c r="CJ153" s="47" t="n"/>
    </row>
    <row r="154" ht="23" customHeight="1">
      <c r="A154" s="39" t="n"/>
      <c r="B154" s="39" t="n"/>
      <c r="C154" s="39" t="n"/>
      <c r="D154" s="40" t="n"/>
      <c r="E154" s="40" t="n"/>
      <c r="F154" s="39" t="n"/>
      <c r="G154" s="40" t="n"/>
      <c r="H154" s="39" t="n"/>
      <c r="I154" s="40" t="n"/>
      <c r="J154" s="40" t="n"/>
      <c r="K154" s="39" t="n"/>
      <c r="L154" s="39" t="n"/>
      <c r="M154" s="39" t="n"/>
      <c r="N154" s="39" t="n"/>
      <c r="O154" s="40" t="n"/>
      <c r="P154" s="46" t="n"/>
      <c r="Q154" s="48" t="n"/>
      <c r="R154" s="40" t="n"/>
      <c r="S154" s="40" t="n"/>
      <c r="T154" s="39" t="n"/>
      <c r="U154" s="47" t="n"/>
      <c r="V154" s="39" t="n"/>
      <c r="W154" s="39" t="n"/>
      <c r="X154" s="39" t="n"/>
      <c r="Y154" s="39" t="n"/>
      <c r="Z154" s="40" t="n"/>
      <c r="AA154" s="40" t="n"/>
      <c r="AB154" s="46" t="n"/>
      <c r="AC154" s="39" t="n"/>
      <c r="AD154" s="39" t="n"/>
      <c r="AE154" s="39" t="n"/>
      <c r="AF154" s="39" t="n"/>
      <c r="AG154" s="39" t="n"/>
      <c r="AH154" s="40" t="n"/>
      <c r="AI154" s="42" t="n"/>
      <c r="AJ154" s="50" t="n"/>
      <c r="AK154" s="46" t="n"/>
      <c r="AL154" s="43" t="n"/>
      <c r="AM154" s="43" t="n"/>
      <c r="AN154" s="40" t="n"/>
      <c r="AO154" s="40" t="n"/>
      <c r="AP154" s="40" t="n"/>
      <c r="AQ154" s="40" t="n"/>
      <c r="AR154" s="40" t="n"/>
      <c r="AS154" s="47" t="n"/>
      <c r="AT154" s="40" t="n"/>
      <c r="AU154" s="40" t="n"/>
      <c r="AV154" s="40" t="n"/>
      <c r="AW154" s="40" t="n"/>
      <c r="AX154" s="47" t="n"/>
      <c r="AY154" s="39" t="n"/>
      <c r="AZ154" s="39" t="n"/>
      <c r="BA154" s="39" t="n"/>
      <c r="BB154" s="39" t="n"/>
      <c r="BC154" s="39" t="n"/>
      <c r="BD154" s="40" t="n"/>
      <c r="BE154" s="39" t="n"/>
      <c r="BF154" s="39" t="n"/>
      <c r="BG154" s="39" t="n"/>
      <c r="BH154" s="39" t="n"/>
      <c r="BI154" s="39" t="n"/>
      <c r="BJ154" s="39" t="n"/>
      <c r="BK154" s="39" t="n"/>
      <c r="BL154" s="39" t="n"/>
      <c r="BM154" s="39" t="n"/>
      <c r="BN154" s="39" t="n"/>
      <c r="BO154" s="39" t="n"/>
      <c r="BP154" s="40" t="n"/>
      <c r="BQ154" s="40" t="n"/>
      <c r="BR154" s="40" t="n"/>
      <c r="BS154" s="40" t="n"/>
      <c r="BT154" s="40" t="n"/>
      <c r="BU154" s="40" t="n"/>
      <c r="BV154" s="40" t="n"/>
      <c r="BW154" s="40" t="n"/>
      <c r="BX154" s="43" t="n"/>
      <c r="BY154" s="39" t="n"/>
      <c r="BZ154" s="39" t="n"/>
      <c r="CA154" s="39" t="n"/>
      <c r="CB154" s="39" t="n"/>
      <c r="CC154" s="39" t="n"/>
      <c r="CD154" s="39" t="n"/>
      <c r="CE154" s="39" t="n"/>
      <c r="CF154" s="39" t="n"/>
      <c r="CG154" s="47" t="n"/>
      <c r="CH154" s="47" t="n"/>
      <c r="CI154" s="47" t="n"/>
      <c r="CJ154" s="47" t="n"/>
    </row>
    <row r="155" ht="23" customHeight="1">
      <c r="A155" s="39" t="n"/>
      <c r="B155" s="39" t="n"/>
      <c r="C155" s="39" t="n"/>
      <c r="D155" s="40" t="n"/>
      <c r="E155" s="40" t="n"/>
      <c r="F155" s="39" t="n"/>
      <c r="G155" s="40" t="n"/>
      <c r="H155" s="39" t="n"/>
      <c r="I155" s="40" t="n"/>
      <c r="J155" s="40" t="n"/>
      <c r="K155" s="39" t="n"/>
      <c r="L155" s="39" t="n"/>
      <c r="M155" s="39" t="n"/>
      <c r="N155" s="39" t="n"/>
      <c r="O155" s="40" t="n"/>
      <c r="P155" s="46" t="n"/>
      <c r="Q155" s="48" t="n"/>
      <c r="R155" s="40" t="n"/>
      <c r="S155" s="40" t="n"/>
      <c r="T155" s="39" t="n"/>
      <c r="U155" s="47" t="n"/>
      <c r="V155" s="39" t="n"/>
      <c r="W155" s="39" t="n"/>
      <c r="X155" s="39" t="n"/>
      <c r="Y155" s="39" t="n"/>
      <c r="Z155" s="40" t="n"/>
      <c r="AA155" s="40" t="n"/>
      <c r="AB155" s="46" t="n"/>
      <c r="AC155" s="39" t="n"/>
      <c r="AD155" s="39" t="n"/>
      <c r="AE155" s="39" t="n"/>
      <c r="AF155" s="39" t="n"/>
      <c r="AG155" s="39" t="n"/>
      <c r="AH155" s="40" t="n"/>
      <c r="AI155" s="42" t="n"/>
      <c r="AJ155" s="50" t="n"/>
      <c r="AK155" s="46" t="n"/>
      <c r="AL155" s="43" t="n"/>
      <c r="AM155" s="43" t="n"/>
      <c r="AN155" s="40" t="n"/>
      <c r="AO155" s="40" t="n"/>
      <c r="AP155" s="40" t="n"/>
      <c r="AQ155" s="40" t="n"/>
      <c r="AR155" s="40" t="n"/>
      <c r="AS155" s="47" t="n"/>
      <c r="AT155" s="40" t="n"/>
      <c r="AU155" s="40" t="n"/>
      <c r="AV155" s="40" t="n"/>
      <c r="AW155" s="40" t="n"/>
      <c r="AX155" s="47" t="n"/>
      <c r="AY155" s="39" t="n"/>
      <c r="AZ155" s="39" t="n"/>
      <c r="BA155" s="39" t="n"/>
      <c r="BB155" s="39" t="n"/>
      <c r="BC155" s="39" t="n"/>
      <c r="BD155" s="40" t="n"/>
      <c r="BE155" s="39" t="n"/>
      <c r="BF155" s="39" t="n"/>
      <c r="BG155" s="39" t="n"/>
      <c r="BH155" s="39" t="n"/>
      <c r="BI155" s="39" t="n"/>
      <c r="BJ155" s="39" t="n"/>
      <c r="BK155" s="39" t="n"/>
      <c r="BL155" s="39" t="n"/>
      <c r="BM155" s="39" t="n"/>
      <c r="BN155" s="39" t="n"/>
      <c r="BO155" s="39" t="n"/>
      <c r="BP155" s="40" t="n"/>
      <c r="BQ155" s="40" t="n"/>
      <c r="BR155" s="40" t="n"/>
      <c r="BS155" s="40" t="n"/>
      <c r="BT155" s="40" t="n"/>
      <c r="BU155" s="40" t="n"/>
      <c r="BV155" s="40" t="n"/>
      <c r="BW155" s="40" t="n"/>
      <c r="BX155" s="43" t="n"/>
      <c r="BY155" s="39" t="n"/>
      <c r="BZ155" s="39" t="n"/>
      <c r="CA155" s="39" t="n"/>
      <c r="CB155" s="39" t="n"/>
      <c r="CC155" s="39" t="n"/>
      <c r="CD155" s="39" t="n"/>
      <c r="CE155" s="39" t="n"/>
      <c r="CF155" s="39" t="n"/>
      <c r="CG155" s="47" t="n"/>
      <c r="CH155" s="47" t="n"/>
      <c r="CI155" s="47" t="n"/>
      <c r="CJ155" s="47" t="n"/>
    </row>
    <row r="156" ht="23" customHeight="1">
      <c r="A156" s="39" t="n"/>
      <c r="B156" s="39" t="n"/>
      <c r="C156" s="39" t="n"/>
      <c r="D156" s="40" t="n"/>
      <c r="E156" s="40" t="n"/>
      <c r="F156" s="39" t="n"/>
      <c r="G156" s="40" t="n"/>
      <c r="H156" s="39" t="n"/>
      <c r="I156" s="40" t="n"/>
      <c r="J156" s="40" t="n"/>
      <c r="K156" s="39" t="n"/>
      <c r="L156" s="39" t="n"/>
      <c r="M156" s="39" t="n"/>
      <c r="N156" s="39" t="n"/>
      <c r="O156" s="40" t="n"/>
      <c r="P156" s="46" t="n"/>
      <c r="Q156" s="48" t="n"/>
      <c r="R156" s="40" t="n"/>
      <c r="S156" s="40" t="n"/>
      <c r="T156" s="39" t="n"/>
      <c r="U156" s="47" t="n"/>
      <c r="V156" s="39" t="n"/>
      <c r="W156" s="39" t="n"/>
      <c r="X156" s="39" t="n"/>
      <c r="Y156" s="39" t="n"/>
      <c r="Z156" s="40" t="n"/>
      <c r="AA156" s="40" t="n"/>
      <c r="AB156" s="46" t="n"/>
      <c r="AC156" s="39" t="n"/>
      <c r="AD156" s="39" t="n"/>
      <c r="AE156" s="39" t="n"/>
      <c r="AF156" s="39" t="n"/>
      <c r="AG156" s="39" t="n"/>
      <c r="AH156" s="40" t="n"/>
      <c r="AI156" s="42" t="n"/>
      <c r="AJ156" s="50" t="n"/>
      <c r="AK156" s="46" t="n"/>
      <c r="AL156" s="43" t="n"/>
      <c r="AM156" s="43" t="n"/>
      <c r="AN156" s="40" t="n"/>
      <c r="AO156" s="40" t="n"/>
      <c r="AP156" s="40" t="n"/>
      <c r="AQ156" s="40" t="n"/>
      <c r="AR156" s="40" t="n"/>
      <c r="AS156" s="47" t="n"/>
      <c r="AT156" s="40" t="n"/>
      <c r="AU156" s="40" t="n"/>
      <c r="AV156" s="40" t="n"/>
      <c r="AW156" s="40" t="n"/>
      <c r="AX156" s="47" t="n"/>
      <c r="AY156" s="39" t="n"/>
      <c r="AZ156" s="39" t="n"/>
      <c r="BA156" s="39" t="n"/>
      <c r="BB156" s="39" t="n"/>
      <c r="BC156" s="39" t="n"/>
      <c r="BD156" s="40" t="n"/>
      <c r="BE156" s="39" t="n"/>
      <c r="BF156" s="39" t="n"/>
      <c r="BG156" s="39" t="n"/>
      <c r="BH156" s="39" t="n"/>
      <c r="BI156" s="39" t="n"/>
      <c r="BJ156" s="39" t="n"/>
      <c r="BK156" s="39" t="n"/>
      <c r="BL156" s="39" t="n"/>
      <c r="BM156" s="39" t="n"/>
      <c r="BN156" s="39" t="n"/>
      <c r="BO156" s="39" t="n"/>
      <c r="BP156" s="40" t="n"/>
      <c r="BQ156" s="40" t="n"/>
      <c r="BR156" s="40" t="n"/>
      <c r="BS156" s="40" t="n"/>
      <c r="BT156" s="40" t="n"/>
      <c r="BU156" s="40" t="n"/>
      <c r="BV156" s="40" t="n"/>
      <c r="BW156" s="40" t="n"/>
      <c r="BX156" s="43" t="n"/>
      <c r="BY156" s="39" t="n"/>
      <c r="BZ156" s="39" t="n"/>
      <c r="CA156" s="39" t="n"/>
      <c r="CB156" s="39" t="n"/>
      <c r="CC156" s="39" t="n"/>
      <c r="CD156" s="39" t="n"/>
      <c r="CE156" s="39" t="n"/>
      <c r="CF156" s="39" t="n"/>
      <c r="CG156" s="47" t="n"/>
      <c r="CH156" s="47" t="n"/>
      <c r="CI156" s="47" t="n"/>
      <c r="CJ156" s="47" t="n"/>
    </row>
    <row r="157" ht="23" customHeight="1">
      <c r="A157" s="39" t="n"/>
      <c r="B157" s="39" t="n"/>
      <c r="C157" s="39" t="n"/>
      <c r="D157" s="40" t="n"/>
      <c r="E157" s="40" t="n"/>
      <c r="F157" s="39" t="n"/>
      <c r="G157" s="40" t="n"/>
      <c r="H157" s="39" t="n"/>
      <c r="I157" s="40" t="n"/>
      <c r="J157" s="40" t="n"/>
      <c r="K157" s="39" t="n"/>
      <c r="L157" s="39" t="n"/>
      <c r="M157" s="39" t="n"/>
      <c r="N157" s="39" t="n"/>
      <c r="O157" s="40" t="n"/>
      <c r="P157" s="46" t="n"/>
      <c r="Q157" s="48" t="n"/>
      <c r="R157" s="40" t="n"/>
      <c r="S157" s="40" t="n"/>
      <c r="T157" s="39" t="n"/>
      <c r="U157" s="47" t="n"/>
      <c r="V157" s="39" t="n"/>
      <c r="W157" s="39" t="n"/>
      <c r="X157" s="39" t="n"/>
      <c r="Y157" s="39" t="n"/>
      <c r="Z157" s="40" t="n"/>
      <c r="AA157" s="40" t="n"/>
      <c r="AB157" s="46" t="n"/>
      <c r="AC157" s="39" t="n"/>
      <c r="AD157" s="39" t="n"/>
      <c r="AE157" s="39" t="n"/>
      <c r="AF157" s="39" t="n"/>
      <c r="AG157" s="39" t="n"/>
      <c r="AH157" s="40" t="n"/>
      <c r="AI157" s="42" t="n"/>
      <c r="AJ157" s="50" t="n"/>
      <c r="AK157" s="46" t="n"/>
      <c r="AL157" s="43" t="n"/>
      <c r="AM157" s="43" t="n"/>
      <c r="AN157" s="40" t="n"/>
      <c r="AO157" s="40" t="n"/>
      <c r="AP157" s="40" t="n"/>
      <c r="AQ157" s="40" t="n"/>
      <c r="AR157" s="40" t="n"/>
      <c r="AS157" s="47" t="n"/>
      <c r="AT157" s="40" t="n"/>
      <c r="AU157" s="40" t="n"/>
      <c r="AV157" s="40" t="n"/>
      <c r="AW157" s="40" t="n"/>
      <c r="AX157" s="47" t="n"/>
      <c r="AY157" s="39" t="n"/>
      <c r="AZ157" s="39" t="n"/>
      <c r="BA157" s="39" t="n"/>
      <c r="BB157" s="39" t="n"/>
      <c r="BC157" s="39" t="n"/>
      <c r="BD157" s="40" t="n"/>
      <c r="BE157" s="39" t="n"/>
      <c r="BF157" s="39" t="n"/>
      <c r="BG157" s="39" t="n"/>
      <c r="BH157" s="39" t="n"/>
      <c r="BI157" s="39" t="n"/>
      <c r="BJ157" s="39" t="n"/>
      <c r="BK157" s="39" t="n"/>
      <c r="BL157" s="39" t="n"/>
      <c r="BM157" s="39" t="n"/>
      <c r="BN157" s="39" t="n"/>
      <c r="BO157" s="39" t="n"/>
      <c r="BP157" s="40" t="n"/>
      <c r="BQ157" s="40" t="n"/>
      <c r="BR157" s="40" t="n"/>
      <c r="BS157" s="40" t="n"/>
      <c r="BT157" s="40" t="n"/>
      <c r="BU157" s="40" t="n"/>
      <c r="BV157" s="40" t="n"/>
      <c r="BW157" s="40" t="n"/>
      <c r="BX157" s="43" t="n"/>
      <c r="BY157" s="39" t="n"/>
      <c r="BZ157" s="39" t="n"/>
      <c r="CA157" s="39" t="n"/>
      <c r="CB157" s="39" t="n"/>
      <c r="CC157" s="39" t="n"/>
      <c r="CD157" s="39" t="n"/>
      <c r="CE157" s="39" t="n"/>
      <c r="CF157" s="39" t="n"/>
      <c r="CG157" s="47" t="n"/>
      <c r="CH157" s="47" t="n"/>
      <c r="CI157" s="47" t="n"/>
      <c r="CJ157" s="47" t="n"/>
    </row>
    <row r="158" ht="23" customHeight="1">
      <c r="A158" s="39" t="n"/>
      <c r="B158" s="39" t="n"/>
      <c r="C158" s="39" t="n"/>
      <c r="D158" s="40" t="n"/>
      <c r="E158" s="40" t="n"/>
      <c r="F158" s="39" t="n"/>
      <c r="G158" s="40" t="n"/>
      <c r="H158" s="39" t="n"/>
      <c r="I158" s="40" t="n"/>
      <c r="J158" s="40" t="n"/>
      <c r="K158" s="39" t="n"/>
      <c r="L158" s="39" t="n"/>
      <c r="M158" s="39" t="n"/>
      <c r="N158" s="39" t="n"/>
      <c r="O158" s="40" t="n"/>
      <c r="P158" s="46" t="n"/>
      <c r="Q158" s="48" t="n"/>
      <c r="R158" s="40" t="n"/>
      <c r="S158" s="40" t="n"/>
      <c r="T158" s="39" t="n"/>
      <c r="U158" s="47" t="n"/>
      <c r="V158" s="39" t="n"/>
      <c r="W158" s="39" t="n"/>
      <c r="X158" s="39" t="n"/>
      <c r="Y158" s="39" t="n"/>
      <c r="Z158" s="40" t="n"/>
      <c r="AA158" s="40" t="n"/>
      <c r="AB158" s="46" t="n"/>
      <c r="AC158" s="39" t="n"/>
      <c r="AD158" s="39" t="n"/>
      <c r="AE158" s="39" t="n"/>
      <c r="AF158" s="39" t="n"/>
      <c r="AG158" s="39" t="n"/>
      <c r="AH158" s="40" t="n"/>
      <c r="AI158" s="42" t="n"/>
      <c r="AJ158" s="50" t="n"/>
      <c r="AK158" s="46" t="n"/>
      <c r="AL158" s="43" t="n"/>
      <c r="AM158" s="43" t="n"/>
      <c r="AN158" s="40" t="n"/>
      <c r="AO158" s="40" t="n"/>
      <c r="AP158" s="40" t="n"/>
      <c r="AQ158" s="40" t="n"/>
      <c r="AR158" s="40" t="n"/>
      <c r="AS158" s="47" t="n"/>
      <c r="AT158" s="40" t="n"/>
      <c r="AU158" s="40" t="n"/>
      <c r="AV158" s="40" t="n"/>
      <c r="AW158" s="40" t="n"/>
      <c r="AX158" s="47" t="n"/>
      <c r="AY158" s="39" t="n"/>
      <c r="AZ158" s="39" t="n"/>
      <c r="BA158" s="39" t="n"/>
      <c r="BB158" s="39" t="n"/>
      <c r="BC158" s="39" t="n"/>
      <c r="BD158" s="40" t="n"/>
      <c r="BE158" s="39" t="n"/>
      <c r="BF158" s="39" t="n"/>
      <c r="BG158" s="39" t="n"/>
      <c r="BH158" s="39" t="n"/>
      <c r="BI158" s="39" t="n"/>
      <c r="BJ158" s="39" t="n"/>
      <c r="BK158" s="39" t="n"/>
      <c r="BL158" s="39" t="n"/>
      <c r="BM158" s="39" t="n"/>
      <c r="BN158" s="39" t="n"/>
      <c r="BO158" s="39" t="n"/>
      <c r="BP158" s="40" t="n"/>
      <c r="BQ158" s="40" t="n"/>
      <c r="BR158" s="40" t="n"/>
      <c r="BS158" s="40" t="n"/>
      <c r="BT158" s="40" t="n"/>
      <c r="BU158" s="40" t="n"/>
      <c r="BV158" s="40" t="n"/>
      <c r="BW158" s="40" t="n"/>
      <c r="BX158" s="43" t="n"/>
      <c r="BY158" s="39" t="n"/>
      <c r="BZ158" s="39" t="n"/>
      <c r="CA158" s="39" t="n"/>
      <c r="CB158" s="39" t="n"/>
      <c r="CC158" s="39" t="n"/>
      <c r="CD158" s="39" t="n"/>
      <c r="CE158" s="39" t="n"/>
      <c r="CF158" s="39" t="n"/>
      <c r="CG158" s="47" t="n"/>
      <c r="CH158" s="47" t="n"/>
      <c r="CI158" s="47" t="n"/>
      <c r="CJ158" s="47" t="n"/>
    </row>
    <row r="159" ht="23" customHeight="1">
      <c r="A159" s="39" t="n"/>
      <c r="B159" s="39" t="n"/>
      <c r="C159" s="39" t="n"/>
      <c r="D159" s="40" t="n"/>
      <c r="E159" s="40" t="n"/>
      <c r="F159" s="39" t="n"/>
      <c r="G159" s="40" t="n"/>
      <c r="H159" s="39" t="n"/>
      <c r="I159" s="40" t="n"/>
      <c r="J159" s="40" t="n"/>
      <c r="K159" s="39" t="n"/>
      <c r="L159" s="39" t="n"/>
      <c r="M159" s="39" t="n"/>
      <c r="N159" s="39" t="n"/>
      <c r="O159" s="40" t="n"/>
      <c r="P159" s="46" t="n"/>
      <c r="Q159" s="48" t="n"/>
      <c r="R159" s="40" t="n"/>
      <c r="S159" s="40" t="n"/>
      <c r="T159" s="39" t="n"/>
      <c r="U159" s="47" t="n"/>
      <c r="V159" s="39" t="n"/>
      <c r="W159" s="39" t="n"/>
      <c r="X159" s="39" t="n"/>
      <c r="Y159" s="39" t="n"/>
      <c r="Z159" s="40" t="n"/>
      <c r="AA159" s="40" t="n"/>
      <c r="AB159" s="46" t="n"/>
      <c r="AC159" s="39" t="n"/>
      <c r="AD159" s="39" t="n"/>
      <c r="AE159" s="39" t="n"/>
      <c r="AF159" s="39" t="n"/>
      <c r="AG159" s="39" t="n"/>
      <c r="AH159" s="40" t="n"/>
      <c r="AI159" s="42" t="n"/>
      <c r="AJ159" s="50" t="n"/>
      <c r="AK159" s="46" t="n"/>
      <c r="AL159" s="43" t="n"/>
      <c r="AM159" s="43" t="n"/>
      <c r="AN159" s="40" t="n"/>
      <c r="AO159" s="40" t="n"/>
      <c r="AP159" s="40" t="n"/>
      <c r="AQ159" s="40" t="n"/>
      <c r="AR159" s="40" t="n"/>
      <c r="AS159" s="47" t="n"/>
      <c r="AT159" s="40" t="n"/>
      <c r="AU159" s="40" t="n"/>
      <c r="AV159" s="40" t="n"/>
      <c r="AW159" s="40" t="n"/>
      <c r="AX159" s="47" t="n"/>
      <c r="AY159" s="39" t="n"/>
      <c r="AZ159" s="39" t="n"/>
      <c r="BA159" s="39" t="n"/>
      <c r="BB159" s="39" t="n"/>
      <c r="BC159" s="39" t="n"/>
      <c r="BD159" s="40" t="n"/>
      <c r="BE159" s="39" t="n"/>
      <c r="BF159" s="39" t="n"/>
      <c r="BG159" s="39" t="n"/>
      <c r="BH159" s="39" t="n"/>
      <c r="BI159" s="39" t="n"/>
      <c r="BJ159" s="39" t="n"/>
      <c r="BK159" s="39" t="n"/>
      <c r="BL159" s="39" t="n"/>
      <c r="BM159" s="39" t="n"/>
      <c r="BN159" s="39" t="n"/>
      <c r="BO159" s="39" t="n"/>
      <c r="BP159" s="40" t="n"/>
      <c r="BQ159" s="40" t="n"/>
      <c r="BR159" s="40" t="n"/>
      <c r="BS159" s="40" t="n"/>
      <c r="BT159" s="40" t="n"/>
      <c r="BU159" s="40" t="n"/>
      <c r="BV159" s="40" t="n"/>
      <c r="BW159" s="40" t="n"/>
      <c r="BX159" s="43" t="n"/>
      <c r="BY159" s="39" t="n"/>
      <c r="BZ159" s="39" t="n"/>
      <c r="CA159" s="39" t="n"/>
      <c r="CB159" s="39" t="n"/>
      <c r="CC159" s="39" t="n"/>
      <c r="CD159" s="39" t="n"/>
      <c r="CE159" s="39" t="n"/>
      <c r="CF159" s="39" t="n"/>
      <c r="CG159" s="47" t="n"/>
      <c r="CH159" s="47" t="n"/>
      <c r="CI159" s="47" t="n"/>
      <c r="CJ159" s="47" t="n"/>
    </row>
    <row r="160" ht="23" customHeight="1">
      <c r="A160" s="39" t="n"/>
      <c r="B160" s="39" t="n"/>
      <c r="C160" s="39" t="n"/>
      <c r="D160" s="40" t="n"/>
      <c r="E160" s="40" t="n"/>
      <c r="F160" s="39" t="n"/>
      <c r="G160" s="40" t="n"/>
      <c r="H160" s="39" t="n"/>
      <c r="I160" s="40" t="n"/>
      <c r="J160" s="40" t="n"/>
      <c r="K160" s="39" t="n"/>
      <c r="L160" s="39" t="n"/>
      <c r="M160" s="39" t="n"/>
      <c r="N160" s="39" t="n"/>
      <c r="O160" s="40" t="n"/>
      <c r="P160" s="46" t="n"/>
      <c r="Q160" s="48" t="n"/>
      <c r="R160" s="40" t="n"/>
      <c r="S160" s="40" t="n"/>
      <c r="T160" s="39" t="n"/>
      <c r="U160" s="47" t="n"/>
      <c r="V160" s="39" t="n"/>
      <c r="W160" s="39" t="n"/>
      <c r="X160" s="39" t="n"/>
      <c r="Y160" s="39" t="n"/>
      <c r="Z160" s="40" t="n"/>
      <c r="AA160" s="40" t="n"/>
      <c r="AB160" s="46" t="n"/>
      <c r="AC160" s="39" t="n"/>
      <c r="AD160" s="39" t="n"/>
      <c r="AE160" s="39" t="n"/>
      <c r="AF160" s="39" t="n"/>
      <c r="AG160" s="39" t="n"/>
      <c r="AH160" s="40" t="n"/>
      <c r="AI160" s="42" t="n"/>
      <c r="AJ160" s="50" t="n"/>
      <c r="AK160" s="46" t="n"/>
      <c r="AL160" s="43" t="n"/>
      <c r="AM160" s="43" t="n"/>
      <c r="AN160" s="40" t="n"/>
      <c r="AO160" s="40" t="n"/>
      <c r="AP160" s="40" t="n"/>
      <c r="AQ160" s="40" t="n"/>
      <c r="AR160" s="40" t="n"/>
      <c r="AS160" s="47" t="n"/>
      <c r="AT160" s="40" t="n"/>
      <c r="AU160" s="40" t="n"/>
      <c r="AV160" s="40" t="n"/>
      <c r="AW160" s="40" t="n"/>
      <c r="AX160" s="47" t="n"/>
      <c r="AY160" s="39" t="n"/>
      <c r="AZ160" s="39" t="n"/>
      <c r="BA160" s="39" t="n"/>
      <c r="BB160" s="39" t="n"/>
      <c r="BC160" s="39" t="n"/>
      <c r="BD160" s="40" t="n"/>
      <c r="BE160" s="39" t="n"/>
      <c r="BF160" s="39" t="n"/>
      <c r="BG160" s="39" t="n"/>
      <c r="BH160" s="39" t="n"/>
      <c r="BI160" s="39" t="n"/>
      <c r="BJ160" s="39" t="n"/>
      <c r="BK160" s="39" t="n"/>
      <c r="BL160" s="39" t="n"/>
      <c r="BM160" s="39" t="n"/>
      <c r="BN160" s="39" t="n"/>
      <c r="BO160" s="39" t="n"/>
      <c r="BP160" s="40" t="n"/>
      <c r="BQ160" s="40" t="n"/>
      <c r="BR160" s="40" t="n"/>
      <c r="BS160" s="40" t="n"/>
      <c r="BT160" s="40" t="n"/>
      <c r="BU160" s="40" t="n"/>
      <c r="BV160" s="40" t="n"/>
      <c r="BW160" s="40" t="n"/>
      <c r="BX160" s="43" t="n"/>
      <c r="BY160" s="39" t="n"/>
      <c r="BZ160" s="39" t="n"/>
      <c r="CA160" s="39" t="n"/>
      <c r="CB160" s="39" t="n"/>
      <c r="CC160" s="39" t="n"/>
      <c r="CD160" s="39" t="n"/>
      <c r="CE160" s="39" t="n"/>
      <c r="CF160" s="39" t="n"/>
      <c r="CG160" s="47" t="n"/>
      <c r="CH160" s="47" t="n"/>
      <c r="CI160" s="47" t="n"/>
      <c r="CJ160" s="47" t="n"/>
    </row>
    <row r="161" ht="23" customHeight="1">
      <c r="A161" s="39" t="n"/>
      <c r="B161" s="39" t="n"/>
      <c r="C161" s="39" t="n"/>
      <c r="D161" s="40" t="n"/>
      <c r="E161" s="40" t="n"/>
      <c r="F161" s="39" t="n"/>
      <c r="G161" s="40" t="n"/>
      <c r="H161" s="39" t="n"/>
      <c r="I161" s="40" t="n"/>
      <c r="J161" s="40" t="n"/>
      <c r="K161" s="39" t="n"/>
      <c r="L161" s="39" t="n"/>
      <c r="M161" s="39" t="n"/>
      <c r="N161" s="39" t="n"/>
      <c r="O161" s="40" t="n"/>
      <c r="P161" s="46" t="n"/>
      <c r="Q161" s="48" t="n"/>
      <c r="R161" s="40" t="n"/>
      <c r="S161" s="40" t="n"/>
      <c r="T161" s="39" t="n"/>
      <c r="U161" s="47" t="n"/>
      <c r="V161" s="39" t="n"/>
      <c r="W161" s="39" t="n"/>
      <c r="X161" s="39" t="n"/>
      <c r="Y161" s="39" t="n"/>
      <c r="Z161" s="40" t="n"/>
      <c r="AA161" s="40" t="n"/>
      <c r="AB161" s="46" t="n"/>
      <c r="AC161" s="39" t="n"/>
      <c r="AD161" s="39" t="n"/>
      <c r="AE161" s="39" t="n"/>
      <c r="AF161" s="39" t="n"/>
      <c r="AG161" s="39" t="n"/>
      <c r="AH161" s="40" t="n"/>
      <c r="AI161" s="42" t="n"/>
      <c r="AJ161" s="50" t="n"/>
      <c r="AK161" s="46" t="n"/>
      <c r="AL161" s="43" t="n"/>
      <c r="AM161" s="43" t="n"/>
      <c r="AN161" s="40" t="n"/>
      <c r="AO161" s="40" t="n"/>
      <c r="AP161" s="40" t="n"/>
      <c r="AQ161" s="40" t="n"/>
      <c r="AR161" s="40" t="n"/>
      <c r="AS161" s="47" t="n"/>
      <c r="AT161" s="40" t="n"/>
      <c r="AU161" s="40" t="n"/>
      <c r="AV161" s="40" t="n"/>
      <c r="AW161" s="40" t="n"/>
      <c r="AX161" s="47" t="n"/>
      <c r="AY161" s="39" t="n"/>
      <c r="AZ161" s="39" t="n"/>
      <c r="BA161" s="39" t="n"/>
      <c r="BB161" s="39" t="n"/>
      <c r="BC161" s="39" t="n"/>
      <c r="BD161" s="40" t="n"/>
      <c r="BE161" s="39" t="n"/>
      <c r="BF161" s="39" t="n"/>
      <c r="BG161" s="39" t="n"/>
      <c r="BH161" s="39" t="n"/>
      <c r="BI161" s="39" t="n"/>
      <c r="BJ161" s="39" t="n"/>
      <c r="BK161" s="39" t="n"/>
      <c r="BL161" s="39" t="n"/>
      <c r="BM161" s="39" t="n"/>
      <c r="BN161" s="39" t="n"/>
      <c r="BO161" s="39" t="n"/>
      <c r="BP161" s="40" t="n"/>
      <c r="BQ161" s="40" t="n"/>
      <c r="BR161" s="40" t="n"/>
      <c r="BS161" s="40" t="n"/>
      <c r="BT161" s="40" t="n"/>
      <c r="BU161" s="40" t="n"/>
      <c r="BV161" s="40" t="n"/>
      <c r="BW161" s="40" t="n"/>
      <c r="BX161" s="43" t="n"/>
      <c r="BY161" s="39" t="n"/>
      <c r="BZ161" s="39" t="n"/>
      <c r="CA161" s="39" t="n"/>
      <c r="CB161" s="39" t="n"/>
      <c r="CC161" s="39" t="n"/>
      <c r="CD161" s="39" t="n"/>
      <c r="CE161" s="39" t="n"/>
      <c r="CF161" s="39" t="n"/>
      <c r="CG161" s="47" t="n"/>
      <c r="CH161" s="47" t="n"/>
      <c r="CI161" s="47" t="n"/>
      <c r="CJ161" s="47" t="n"/>
    </row>
    <row r="162" ht="23" customHeight="1">
      <c r="A162" s="39" t="n"/>
      <c r="B162" s="39" t="n"/>
      <c r="C162" s="39" t="n"/>
      <c r="D162" s="40" t="n"/>
      <c r="E162" s="40" t="n"/>
      <c r="F162" s="39" t="n"/>
      <c r="G162" s="40" t="n"/>
      <c r="H162" s="39" t="n"/>
      <c r="I162" s="40" t="n"/>
      <c r="J162" s="40" t="n"/>
      <c r="K162" s="39" t="n"/>
      <c r="L162" s="39" t="n"/>
      <c r="M162" s="39" t="n"/>
      <c r="N162" s="39" t="n"/>
      <c r="O162" s="40" t="n"/>
      <c r="P162" s="46" t="n"/>
      <c r="Q162" s="48" t="n"/>
      <c r="R162" s="40" t="n"/>
      <c r="S162" s="40" t="n"/>
      <c r="T162" s="39" t="n"/>
      <c r="U162" s="47" t="n"/>
      <c r="V162" s="39" t="n"/>
      <c r="W162" s="39" t="n"/>
      <c r="X162" s="39" t="n"/>
      <c r="Y162" s="39" t="n"/>
      <c r="Z162" s="40" t="n"/>
      <c r="AA162" s="40" t="n"/>
      <c r="AB162" s="46" t="n"/>
      <c r="AC162" s="39" t="n"/>
      <c r="AD162" s="39" t="n"/>
      <c r="AE162" s="39" t="n"/>
      <c r="AF162" s="39" t="n"/>
      <c r="AG162" s="39" t="n"/>
      <c r="AH162" s="40" t="n"/>
      <c r="AI162" s="42" t="n"/>
      <c r="AJ162" s="50" t="n"/>
      <c r="AK162" s="46" t="n"/>
      <c r="AL162" s="43" t="n"/>
      <c r="AM162" s="43" t="n"/>
      <c r="AN162" s="40" t="n"/>
      <c r="AO162" s="40" t="n"/>
      <c r="AP162" s="40" t="n"/>
      <c r="AQ162" s="40" t="n"/>
      <c r="AR162" s="40" t="n"/>
      <c r="AS162" s="47" t="n"/>
      <c r="AT162" s="40" t="n"/>
      <c r="AU162" s="40" t="n"/>
      <c r="AV162" s="40" t="n"/>
      <c r="AW162" s="40" t="n"/>
      <c r="AX162" s="47" t="n"/>
      <c r="AY162" s="39" t="n"/>
      <c r="AZ162" s="39" t="n"/>
      <c r="BA162" s="39" t="n"/>
      <c r="BB162" s="39" t="n"/>
      <c r="BC162" s="39" t="n"/>
      <c r="BD162" s="40" t="n"/>
      <c r="BE162" s="39" t="n"/>
      <c r="BF162" s="39" t="n"/>
      <c r="BG162" s="39" t="n"/>
      <c r="BH162" s="39" t="n"/>
      <c r="BI162" s="39" t="n"/>
      <c r="BJ162" s="39" t="n"/>
      <c r="BK162" s="39" t="n"/>
      <c r="BL162" s="39" t="n"/>
      <c r="BM162" s="39" t="n"/>
      <c r="BN162" s="39" t="n"/>
      <c r="BO162" s="39" t="n"/>
      <c r="BP162" s="40" t="n"/>
      <c r="BQ162" s="40" t="n"/>
      <c r="BR162" s="40" t="n"/>
      <c r="BS162" s="40" t="n"/>
      <c r="BT162" s="40" t="n"/>
      <c r="BU162" s="40" t="n"/>
      <c r="BV162" s="40" t="n"/>
      <c r="BW162" s="40" t="n"/>
      <c r="BX162" s="43" t="n"/>
      <c r="BY162" s="39" t="n"/>
      <c r="BZ162" s="39" t="n"/>
      <c r="CA162" s="39" t="n"/>
      <c r="CB162" s="39" t="n"/>
      <c r="CC162" s="39" t="n"/>
      <c r="CD162" s="39" t="n"/>
      <c r="CE162" s="39" t="n"/>
      <c r="CF162" s="39" t="n"/>
      <c r="CG162" s="47" t="n"/>
      <c r="CH162" s="47" t="n"/>
      <c r="CI162" s="47" t="n"/>
      <c r="CJ162" s="47" t="n"/>
    </row>
    <row r="163" ht="23" customHeight="1">
      <c r="A163" s="39" t="n"/>
      <c r="B163" s="39" t="n"/>
      <c r="C163" s="39" t="n"/>
      <c r="D163" s="40" t="n"/>
      <c r="E163" s="40" t="n"/>
      <c r="F163" s="39" t="n"/>
      <c r="G163" s="40" t="n"/>
      <c r="H163" s="39" t="n"/>
      <c r="I163" s="40" t="n"/>
      <c r="J163" s="40" t="n"/>
      <c r="K163" s="39" t="n"/>
      <c r="L163" s="39" t="n"/>
      <c r="M163" s="39" t="n"/>
      <c r="N163" s="39" t="n"/>
      <c r="O163" s="40" t="n"/>
      <c r="P163" s="46" t="n"/>
      <c r="Q163" s="48" t="n"/>
      <c r="R163" s="40" t="n"/>
      <c r="S163" s="40" t="n"/>
      <c r="T163" s="39" t="n"/>
      <c r="U163" s="47" t="n"/>
      <c r="V163" s="39" t="n"/>
      <c r="W163" s="39" t="n"/>
      <c r="X163" s="39" t="n"/>
      <c r="Y163" s="39" t="n"/>
      <c r="Z163" s="40" t="n"/>
      <c r="AA163" s="40" t="n"/>
      <c r="AB163" s="46" t="n"/>
      <c r="AC163" s="39" t="n"/>
      <c r="AD163" s="39" t="n"/>
      <c r="AE163" s="39" t="n"/>
      <c r="AF163" s="39" t="n"/>
      <c r="AG163" s="39" t="n"/>
      <c r="AH163" s="40" t="n"/>
      <c r="AI163" s="42" t="n"/>
      <c r="AJ163" s="50" t="n"/>
      <c r="AK163" s="46" t="n"/>
      <c r="AL163" s="43" t="n"/>
      <c r="AM163" s="43" t="n"/>
      <c r="AN163" s="40" t="n"/>
      <c r="AO163" s="40" t="n"/>
      <c r="AP163" s="40" t="n"/>
      <c r="AQ163" s="40" t="n"/>
      <c r="AR163" s="40" t="n"/>
      <c r="AS163" s="47" t="n"/>
      <c r="AT163" s="40" t="n"/>
      <c r="AU163" s="40" t="n"/>
      <c r="AV163" s="40" t="n"/>
      <c r="AW163" s="40" t="n"/>
      <c r="AX163" s="47" t="n"/>
      <c r="AY163" s="39" t="n"/>
      <c r="AZ163" s="39" t="n"/>
      <c r="BA163" s="39" t="n"/>
      <c r="BB163" s="39" t="n"/>
      <c r="BC163" s="39" t="n"/>
      <c r="BD163" s="40" t="n"/>
      <c r="BE163" s="39" t="n"/>
      <c r="BF163" s="39" t="n"/>
      <c r="BG163" s="39" t="n"/>
      <c r="BH163" s="39" t="n"/>
      <c r="BI163" s="39" t="n"/>
      <c r="BJ163" s="39" t="n"/>
      <c r="BK163" s="39" t="n"/>
      <c r="BL163" s="39" t="n"/>
      <c r="BM163" s="39" t="n"/>
      <c r="BN163" s="39" t="n"/>
      <c r="BO163" s="39" t="n"/>
      <c r="BP163" s="40" t="n"/>
      <c r="BQ163" s="40" t="n"/>
      <c r="BR163" s="40" t="n"/>
      <c r="BS163" s="40" t="n"/>
      <c r="BT163" s="40" t="n"/>
      <c r="BU163" s="40" t="n"/>
      <c r="BV163" s="40" t="n"/>
      <c r="BW163" s="40" t="n"/>
      <c r="BX163" s="43" t="n"/>
      <c r="BY163" s="39" t="n"/>
      <c r="BZ163" s="39" t="n"/>
      <c r="CA163" s="39" t="n"/>
      <c r="CB163" s="39" t="n"/>
      <c r="CC163" s="39" t="n"/>
      <c r="CD163" s="39" t="n"/>
      <c r="CE163" s="39" t="n"/>
      <c r="CF163" s="39" t="n"/>
      <c r="CG163" s="47" t="n"/>
      <c r="CH163" s="47" t="n"/>
      <c r="CI163" s="47" t="n"/>
      <c r="CJ163" s="47" t="n"/>
    </row>
    <row r="164" ht="23" customHeight="1">
      <c r="A164" s="39" t="n"/>
      <c r="B164" s="39" t="n"/>
      <c r="C164" s="39" t="n"/>
      <c r="D164" s="40" t="n"/>
      <c r="E164" s="40" t="n"/>
      <c r="F164" s="39" t="n"/>
      <c r="G164" s="40" t="n"/>
      <c r="H164" s="39" t="n"/>
      <c r="I164" s="40" t="n"/>
      <c r="J164" s="40" t="n"/>
      <c r="K164" s="39" t="n"/>
      <c r="L164" s="39" t="n"/>
      <c r="M164" s="39" t="n"/>
      <c r="N164" s="39" t="n"/>
      <c r="O164" s="40" t="n"/>
      <c r="P164" s="46" t="n"/>
      <c r="Q164" s="48" t="n"/>
      <c r="R164" s="40" t="n"/>
      <c r="S164" s="40" t="n"/>
      <c r="T164" s="39" t="n"/>
      <c r="U164" s="47" t="n"/>
      <c r="V164" s="39" t="n"/>
      <c r="W164" s="39" t="n"/>
      <c r="X164" s="39" t="n"/>
      <c r="Y164" s="39" t="n"/>
      <c r="Z164" s="40" t="n"/>
      <c r="AA164" s="40" t="n"/>
      <c r="AB164" s="46" t="n"/>
      <c r="AC164" s="39" t="n"/>
      <c r="AD164" s="39" t="n"/>
      <c r="AE164" s="39" t="n"/>
      <c r="AF164" s="39" t="n"/>
      <c r="AG164" s="39" t="n"/>
      <c r="AH164" s="40" t="n"/>
      <c r="AI164" s="42" t="n"/>
      <c r="AJ164" s="50" t="n"/>
      <c r="AK164" s="46" t="n"/>
      <c r="AL164" s="43" t="n"/>
      <c r="AM164" s="43" t="n"/>
      <c r="AN164" s="40" t="n"/>
      <c r="AO164" s="40" t="n"/>
      <c r="AP164" s="40" t="n"/>
      <c r="AQ164" s="40" t="n"/>
      <c r="AR164" s="40" t="n"/>
      <c r="AS164" s="47" t="n"/>
      <c r="AT164" s="40" t="n"/>
      <c r="AU164" s="40" t="n"/>
      <c r="AV164" s="40" t="n"/>
      <c r="AW164" s="40" t="n"/>
      <c r="AX164" s="47" t="n"/>
      <c r="AY164" s="39" t="n"/>
      <c r="AZ164" s="39" t="n"/>
      <c r="BA164" s="39" t="n"/>
      <c r="BB164" s="39" t="n"/>
      <c r="BC164" s="39" t="n"/>
      <c r="BD164" s="40" t="n"/>
      <c r="BE164" s="39" t="n"/>
      <c r="BF164" s="39" t="n"/>
      <c r="BG164" s="39" t="n"/>
      <c r="BH164" s="39" t="n"/>
      <c r="BI164" s="39" t="n"/>
      <c r="BJ164" s="39" t="n"/>
      <c r="BK164" s="39" t="n"/>
      <c r="BL164" s="39" t="n"/>
      <c r="BM164" s="39" t="n"/>
      <c r="BN164" s="39" t="n"/>
      <c r="BO164" s="39" t="n"/>
      <c r="BP164" s="40" t="n"/>
      <c r="BQ164" s="40" t="n"/>
      <c r="BR164" s="40" t="n"/>
      <c r="BS164" s="40" t="n"/>
      <c r="BT164" s="40" t="n"/>
      <c r="BU164" s="40" t="n"/>
      <c r="BV164" s="40" t="n"/>
      <c r="BW164" s="40" t="n"/>
      <c r="BX164" s="43" t="n"/>
      <c r="BY164" s="39" t="n"/>
      <c r="BZ164" s="39" t="n"/>
      <c r="CA164" s="39" t="n"/>
      <c r="CB164" s="39" t="n"/>
      <c r="CC164" s="39" t="n"/>
      <c r="CD164" s="39" t="n"/>
      <c r="CE164" s="39" t="n"/>
      <c r="CF164" s="39" t="n"/>
      <c r="CG164" s="47" t="n"/>
      <c r="CH164" s="47" t="n"/>
      <c r="CI164" s="47" t="n"/>
      <c r="CJ164" s="47" t="n"/>
    </row>
    <row r="165" ht="23" customHeight="1">
      <c r="A165" s="39" t="n"/>
      <c r="B165" s="39" t="n"/>
      <c r="C165" s="39" t="n"/>
      <c r="D165" s="40" t="n"/>
      <c r="E165" s="40" t="n"/>
      <c r="F165" s="39" t="n"/>
      <c r="G165" s="40" t="n"/>
      <c r="H165" s="39" t="n"/>
      <c r="I165" s="40" t="n"/>
      <c r="J165" s="40" t="n"/>
      <c r="K165" s="39" t="n"/>
      <c r="L165" s="39" t="n"/>
      <c r="M165" s="39" t="n"/>
      <c r="N165" s="39" t="n"/>
      <c r="O165" s="40" t="n"/>
      <c r="P165" s="46" t="n"/>
      <c r="Q165" s="48" t="n"/>
      <c r="R165" s="40" t="n"/>
      <c r="S165" s="40" t="n"/>
      <c r="T165" s="39" t="n"/>
      <c r="U165" s="47" t="n"/>
      <c r="V165" s="39" t="n"/>
      <c r="W165" s="39" t="n"/>
      <c r="X165" s="39" t="n"/>
      <c r="Y165" s="39" t="n"/>
      <c r="Z165" s="40" t="n"/>
      <c r="AA165" s="40" t="n"/>
      <c r="AB165" s="46" t="n"/>
      <c r="AC165" s="39" t="n"/>
      <c r="AD165" s="39" t="n"/>
      <c r="AE165" s="39" t="n"/>
      <c r="AF165" s="39" t="n"/>
      <c r="AG165" s="39" t="n"/>
      <c r="AH165" s="40" t="n"/>
      <c r="AI165" s="42" t="n"/>
      <c r="AJ165" s="50" t="n"/>
      <c r="AK165" s="46" t="n"/>
      <c r="AL165" s="43" t="n"/>
      <c r="AM165" s="43" t="n"/>
      <c r="AN165" s="40" t="n"/>
      <c r="AO165" s="40" t="n"/>
      <c r="AP165" s="40" t="n"/>
      <c r="AQ165" s="40" t="n"/>
      <c r="AR165" s="40" t="n"/>
      <c r="AS165" s="47" t="n"/>
      <c r="AT165" s="40" t="n"/>
      <c r="AU165" s="40" t="n"/>
      <c r="AV165" s="40" t="n"/>
      <c r="AW165" s="40" t="n"/>
      <c r="AX165" s="47" t="n"/>
      <c r="AY165" s="39" t="n"/>
      <c r="AZ165" s="39" t="n"/>
      <c r="BA165" s="39" t="n"/>
      <c r="BB165" s="39" t="n"/>
      <c r="BC165" s="39" t="n"/>
      <c r="BD165" s="40" t="n"/>
      <c r="BE165" s="39" t="n"/>
      <c r="BF165" s="39" t="n"/>
      <c r="BG165" s="39" t="n"/>
      <c r="BH165" s="39" t="n"/>
      <c r="BI165" s="39" t="n"/>
      <c r="BJ165" s="39" t="n"/>
      <c r="BK165" s="39" t="n"/>
      <c r="BL165" s="39" t="n"/>
      <c r="BM165" s="39" t="n"/>
      <c r="BN165" s="39" t="n"/>
      <c r="BO165" s="39" t="n"/>
      <c r="BP165" s="40" t="n"/>
      <c r="BQ165" s="40" t="n"/>
      <c r="BR165" s="40" t="n"/>
      <c r="BS165" s="40" t="n"/>
      <c r="BT165" s="40" t="n"/>
      <c r="BU165" s="40" t="n"/>
      <c r="BV165" s="40" t="n"/>
      <c r="BW165" s="40" t="n"/>
      <c r="BX165" s="43" t="n"/>
      <c r="BY165" s="39" t="n"/>
      <c r="BZ165" s="39" t="n"/>
      <c r="CA165" s="39" t="n"/>
      <c r="CB165" s="39" t="n"/>
      <c r="CC165" s="39" t="n"/>
      <c r="CD165" s="39" t="n"/>
      <c r="CE165" s="39" t="n"/>
      <c r="CF165" s="39" t="n"/>
      <c r="CG165" s="47" t="n"/>
      <c r="CH165" s="47" t="n"/>
      <c r="CI165" s="47" t="n"/>
      <c r="CJ165" s="47" t="n"/>
    </row>
    <row r="166" ht="23" customHeight="1">
      <c r="A166" s="39" t="n"/>
      <c r="B166" s="39" t="n"/>
      <c r="C166" s="39" t="n"/>
      <c r="D166" s="40" t="n"/>
      <c r="E166" s="40" t="n"/>
      <c r="F166" s="39" t="n"/>
      <c r="G166" s="40" t="n"/>
      <c r="H166" s="39" t="n"/>
      <c r="I166" s="40" t="n"/>
      <c r="J166" s="40" t="n"/>
      <c r="K166" s="39" t="n"/>
      <c r="L166" s="39" t="n"/>
      <c r="M166" s="39" t="n"/>
      <c r="N166" s="39" t="n"/>
      <c r="O166" s="40" t="n"/>
      <c r="P166" s="46" t="n"/>
      <c r="Q166" s="48" t="n"/>
      <c r="R166" s="40" t="n"/>
      <c r="S166" s="40" t="n"/>
      <c r="T166" s="39" t="n"/>
      <c r="U166" s="47" t="n"/>
      <c r="V166" s="39" t="n"/>
      <c r="W166" s="39" t="n"/>
      <c r="X166" s="39" t="n"/>
      <c r="Y166" s="39" t="n"/>
      <c r="Z166" s="40" t="n"/>
      <c r="AA166" s="40" t="n"/>
      <c r="AB166" s="46" t="n"/>
      <c r="AC166" s="39" t="n"/>
      <c r="AD166" s="39" t="n"/>
      <c r="AE166" s="39" t="n"/>
      <c r="AF166" s="39" t="n"/>
      <c r="AG166" s="39" t="n"/>
      <c r="AH166" s="40" t="n"/>
      <c r="AI166" s="42" t="n"/>
      <c r="AJ166" s="50" t="n"/>
      <c r="AK166" s="46" t="n"/>
      <c r="AL166" s="43" t="n"/>
      <c r="AM166" s="43" t="n"/>
      <c r="AN166" s="40" t="n"/>
      <c r="AO166" s="40" t="n"/>
      <c r="AP166" s="40" t="n"/>
      <c r="AQ166" s="40" t="n"/>
      <c r="AR166" s="40" t="n"/>
      <c r="AS166" s="47" t="n"/>
      <c r="AT166" s="40" t="n"/>
      <c r="AU166" s="40" t="n"/>
      <c r="AV166" s="40" t="n"/>
      <c r="AW166" s="40" t="n"/>
      <c r="AX166" s="47" t="n"/>
      <c r="AY166" s="39" t="n"/>
      <c r="AZ166" s="39" t="n"/>
      <c r="BA166" s="39" t="n"/>
      <c r="BB166" s="39" t="n"/>
      <c r="BC166" s="39" t="n"/>
      <c r="BD166" s="40" t="n"/>
      <c r="BE166" s="39" t="n"/>
      <c r="BF166" s="39" t="n"/>
      <c r="BG166" s="39" t="n"/>
      <c r="BH166" s="39" t="n"/>
      <c r="BI166" s="39" t="n"/>
      <c r="BJ166" s="39" t="n"/>
      <c r="BK166" s="39" t="n"/>
      <c r="BL166" s="39" t="n"/>
      <c r="BM166" s="39" t="n"/>
      <c r="BN166" s="39" t="n"/>
      <c r="BO166" s="39" t="n"/>
      <c r="BP166" s="40" t="n"/>
      <c r="BQ166" s="40" t="n"/>
      <c r="BR166" s="40" t="n"/>
      <c r="BS166" s="40" t="n"/>
      <c r="BT166" s="40" t="n"/>
      <c r="BU166" s="40" t="n"/>
      <c r="BV166" s="40" t="n"/>
      <c r="BW166" s="40" t="n"/>
      <c r="BX166" s="43" t="n"/>
      <c r="BY166" s="39" t="n"/>
      <c r="BZ166" s="39" t="n"/>
      <c r="CA166" s="39" t="n"/>
      <c r="CB166" s="39" t="n"/>
      <c r="CC166" s="39" t="n"/>
      <c r="CD166" s="39" t="n"/>
      <c r="CE166" s="39" t="n"/>
      <c r="CF166" s="39" t="n"/>
      <c r="CG166" s="47" t="n"/>
      <c r="CH166" s="47" t="n"/>
      <c r="CI166" s="47" t="n"/>
      <c r="CJ166" s="47" t="n"/>
    </row>
    <row r="167" ht="23" customHeight="1">
      <c r="A167" s="39" t="n"/>
      <c r="B167" s="39" t="n"/>
      <c r="C167" s="39" t="n"/>
      <c r="D167" s="40" t="n"/>
      <c r="E167" s="40" t="n"/>
      <c r="F167" s="39" t="n"/>
      <c r="G167" s="40" t="n"/>
      <c r="H167" s="39" t="n"/>
      <c r="I167" s="40" t="n"/>
      <c r="J167" s="40" t="n"/>
      <c r="K167" s="39" t="n"/>
      <c r="L167" s="39" t="n"/>
      <c r="M167" s="39" t="n"/>
      <c r="N167" s="39" t="n"/>
      <c r="O167" s="40" t="n"/>
      <c r="P167" s="46" t="n"/>
      <c r="Q167" s="48" t="n"/>
      <c r="R167" s="40" t="n"/>
      <c r="S167" s="40" t="n"/>
      <c r="T167" s="39" t="n"/>
      <c r="U167" s="47" t="n"/>
      <c r="V167" s="39" t="n"/>
      <c r="W167" s="39" t="n"/>
      <c r="X167" s="39" t="n"/>
      <c r="Y167" s="39" t="n"/>
      <c r="Z167" s="40" t="n"/>
      <c r="AA167" s="40" t="n"/>
      <c r="AB167" s="46" t="n"/>
      <c r="AC167" s="39" t="n"/>
      <c r="AD167" s="39" t="n"/>
      <c r="AE167" s="39" t="n"/>
      <c r="AF167" s="39" t="n"/>
      <c r="AG167" s="39" t="n"/>
      <c r="AH167" s="40" t="n"/>
      <c r="AI167" s="42" t="n"/>
      <c r="AJ167" s="50" t="n"/>
      <c r="AK167" s="46" t="n"/>
      <c r="AL167" s="43" t="n"/>
      <c r="AM167" s="43" t="n"/>
      <c r="AN167" s="40" t="n"/>
      <c r="AO167" s="40" t="n"/>
      <c r="AP167" s="40" t="n"/>
      <c r="AQ167" s="40" t="n"/>
      <c r="AR167" s="40" t="n"/>
      <c r="AS167" s="47" t="n"/>
      <c r="AT167" s="40" t="n"/>
      <c r="AU167" s="40" t="n"/>
      <c r="AV167" s="40" t="n"/>
      <c r="AW167" s="40" t="n"/>
      <c r="AX167" s="47" t="n"/>
      <c r="AY167" s="39" t="n"/>
      <c r="AZ167" s="39" t="n"/>
      <c r="BA167" s="39" t="n"/>
      <c r="BB167" s="39" t="n"/>
      <c r="BC167" s="39" t="n"/>
      <c r="BD167" s="40" t="n"/>
      <c r="BE167" s="39" t="n"/>
      <c r="BF167" s="39" t="n"/>
      <c r="BG167" s="39" t="n"/>
      <c r="BH167" s="39" t="n"/>
      <c r="BI167" s="39" t="n"/>
      <c r="BJ167" s="39" t="n"/>
      <c r="BK167" s="39" t="n"/>
      <c r="BL167" s="39" t="n"/>
      <c r="BM167" s="39" t="n"/>
      <c r="BN167" s="39" t="n"/>
      <c r="BO167" s="39" t="n"/>
      <c r="BP167" s="40" t="n"/>
      <c r="BQ167" s="40" t="n"/>
      <c r="BR167" s="40" t="n"/>
      <c r="BS167" s="40" t="n"/>
      <c r="BT167" s="40" t="n"/>
      <c r="BU167" s="40" t="n"/>
      <c r="BV167" s="40" t="n"/>
      <c r="BW167" s="40" t="n"/>
      <c r="BX167" s="43" t="n"/>
      <c r="BY167" s="39" t="n"/>
      <c r="BZ167" s="39" t="n"/>
      <c r="CA167" s="39" t="n"/>
      <c r="CB167" s="39" t="n"/>
      <c r="CC167" s="39" t="n"/>
      <c r="CD167" s="39" t="n"/>
      <c r="CE167" s="39" t="n"/>
      <c r="CF167" s="39" t="n"/>
      <c r="CG167" s="47" t="n"/>
      <c r="CH167" s="47" t="n"/>
      <c r="CI167" s="47" t="n"/>
      <c r="CJ167" s="47" t="n"/>
    </row>
    <row r="168" ht="23" customHeight="1">
      <c r="A168" s="39" t="n"/>
      <c r="B168" s="39" t="n"/>
      <c r="C168" s="39" t="n"/>
      <c r="D168" s="40" t="n"/>
      <c r="E168" s="40" t="n"/>
      <c r="F168" s="39" t="n"/>
      <c r="G168" s="40" t="n"/>
      <c r="H168" s="39" t="n"/>
      <c r="I168" s="40" t="n"/>
      <c r="J168" s="40" t="n"/>
      <c r="K168" s="39" t="n"/>
      <c r="L168" s="39" t="n"/>
      <c r="M168" s="39" t="n"/>
      <c r="N168" s="39" t="n"/>
      <c r="O168" s="40" t="n"/>
      <c r="P168" s="46" t="n"/>
      <c r="Q168" s="48" t="n"/>
      <c r="R168" s="40" t="n"/>
      <c r="S168" s="40" t="n"/>
      <c r="T168" s="39" t="n"/>
      <c r="U168" s="47" t="n"/>
      <c r="V168" s="39" t="n"/>
      <c r="W168" s="39" t="n"/>
      <c r="X168" s="39" t="n"/>
      <c r="Y168" s="39" t="n"/>
      <c r="Z168" s="40" t="n"/>
      <c r="AA168" s="40" t="n"/>
      <c r="AB168" s="46" t="n"/>
      <c r="AC168" s="39" t="n"/>
      <c r="AD168" s="39" t="n"/>
      <c r="AE168" s="39" t="n"/>
      <c r="AF168" s="39" t="n"/>
      <c r="AG168" s="39" t="n"/>
      <c r="AH168" s="40" t="n"/>
      <c r="AI168" s="42" t="n"/>
      <c r="AJ168" s="50" t="n"/>
      <c r="AK168" s="46" t="n"/>
      <c r="AL168" s="43" t="n"/>
      <c r="AM168" s="43" t="n"/>
      <c r="AN168" s="40" t="n"/>
      <c r="AO168" s="40" t="n"/>
      <c r="AP168" s="40" t="n"/>
      <c r="AQ168" s="40" t="n"/>
      <c r="AR168" s="40" t="n"/>
      <c r="AS168" s="47" t="n"/>
      <c r="AT168" s="40" t="n"/>
      <c r="AU168" s="40" t="n"/>
      <c r="AV168" s="40" t="n"/>
      <c r="AW168" s="40" t="n"/>
      <c r="AX168" s="47" t="n"/>
      <c r="AY168" s="39" t="n"/>
      <c r="AZ168" s="39" t="n"/>
      <c r="BA168" s="39" t="n"/>
      <c r="BB168" s="39" t="n"/>
      <c r="BC168" s="39" t="n"/>
      <c r="BD168" s="40" t="n"/>
      <c r="BE168" s="39" t="n"/>
      <c r="BF168" s="39" t="n"/>
      <c r="BG168" s="39" t="n"/>
      <c r="BH168" s="39" t="n"/>
      <c r="BI168" s="39" t="n"/>
      <c r="BJ168" s="39" t="n"/>
      <c r="BK168" s="39" t="n"/>
      <c r="BL168" s="39" t="n"/>
      <c r="BM168" s="39" t="n"/>
      <c r="BN168" s="39" t="n"/>
      <c r="BO168" s="39" t="n"/>
      <c r="BP168" s="40" t="n"/>
      <c r="BQ168" s="40" t="n"/>
      <c r="BR168" s="40" t="n"/>
      <c r="BS168" s="40" t="n"/>
      <c r="BT168" s="40" t="n"/>
      <c r="BU168" s="40" t="n"/>
      <c r="BV168" s="40" t="n"/>
      <c r="BW168" s="40" t="n"/>
      <c r="BX168" s="43" t="n"/>
      <c r="BY168" s="39" t="n"/>
      <c r="BZ168" s="39" t="n"/>
      <c r="CA168" s="39" t="n"/>
      <c r="CB168" s="39" t="n"/>
      <c r="CC168" s="39" t="n"/>
      <c r="CD168" s="39" t="n"/>
      <c r="CE168" s="39" t="n"/>
      <c r="CF168" s="39" t="n"/>
      <c r="CG168" s="47" t="n"/>
      <c r="CH168" s="47" t="n"/>
      <c r="CI168" s="47" t="n"/>
      <c r="CJ168" s="47" t="n"/>
    </row>
    <row r="169" ht="23" customHeight="1">
      <c r="A169" s="39" t="n"/>
      <c r="B169" s="39" t="n"/>
      <c r="C169" s="39" t="n"/>
      <c r="D169" s="40" t="n"/>
      <c r="E169" s="40" t="n"/>
      <c r="F169" s="39" t="n"/>
      <c r="G169" s="40" t="n"/>
      <c r="H169" s="39" t="n"/>
      <c r="I169" s="40" t="n"/>
      <c r="J169" s="40" t="n"/>
      <c r="K169" s="39" t="n"/>
      <c r="L169" s="39" t="n"/>
      <c r="M169" s="39" t="n"/>
      <c r="N169" s="39" t="n"/>
      <c r="O169" s="40" t="n"/>
      <c r="P169" s="46" t="n"/>
      <c r="Q169" s="48" t="n"/>
      <c r="R169" s="40" t="n"/>
      <c r="S169" s="40" t="n"/>
      <c r="T169" s="39" t="n"/>
      <c r="U169" s="47" t="n"/>
      <c r="V169" s="39" t="n"/>
      <c r="W169" s="39" t="n"/>
      <c r="X169" s="39" t="n"/>
      <c r="Y169" s="39" t="n"/>
      <c r="Z169" s="40" t="n"/>
      <c r="AA169" s="40" t="n"/>
      <c r="AB169" s="46" t="n"/>
      <c r="AC169" s="39" t="n"/>
      <c r="AD169" s="39" t="n"/>
      <c r="AE169" s="39" t="n"/>
      <c r="AF169" s="39" t="n"/>
      <c r="AG169" s="39" t="n"/>
      <c r="AH169" s="40" t="n"/>
      <c r="AI169" s="42" t="n"/>
      <c r="AJ169" s="50" t="n"/>
      <c r="AK169" s="46" t="n"/>
      <c r="AL169" s="43" t="n"/>
      <c r="AM169" s="43" t="n"/>
      <c r="AN169" s="40" t="n"/>
      <c r="AO169" s="40" t="n"/>
      <c r="AP169" s="40" t="n"/>
      <c r="AQ169" s="40" t="n"/>
      <c r="AR169" s="40" t="n"/>
      <c r="AS169" s="47" t="n"/>
      <c r="AT169" s="40" t="n"/>
      <c r="AU169" s="40" t="n"/>
      <c r="AV169" s="40" t="n"/>
      <c r="AW169" s="40" t="n"/>
      <c r="AX169" s="47" t="n"/>
      <c r="AY169" s="39" t="n"/>
      <c r="AZ169" s="39" t="n"/>
      <c r="BA169" s="39" t="n"/>
      <c r="BB169" s="39" t="n"/>
      <c r="BC169" s="39" t="n"/>
      <c r="BD169" s="40" t="n"/>
      <c r="BE169" s="39" t="n"/>
      <c r="BF169" s="39" t="n"/>
      <c r="BG169" s="39" t="n"/>
      <c r="BH169" s="39" t="n"/>
      <c r="BI169" s="39" t="n"/>
      <c r="BJ169" s="39" t="n"/>
      <c r="BK169" s="39" t="n"/>
      <c r="BL169" s="39" t="n"/>
      <c r="BM169" s="39" t="n"/>
      <c r="BN169" s="39" t="n"/>
      <c r="BO169" s="39" t="n"/>
      <c r="BP169" s="40" t="n"/>
      <c r="BQ169" s="40" t="n"/>
      <c r="BR169" s="40" t="n"/>
      <c r="BS169" s="40" t="n"/>
      <c r="BT169" s="40" t="n"/>
      <c r="BU169" s="40" t="n"/>
      <c r="BV169" s="40" t="n"/>
      <c r="BW169" s="40" t="n"/>
      <c r="BX169" s="43" t="n"/>
      <c r="BY169" s="39" t="n"/>
      <c r="BZ169" s="39" t="n"/>
      <c r="CA169" s="39" t="n"/>
      <c r="CB169" s="39" t="n"/>
      <c r="CC169" s="39" t="n"/>
      <c r="CD169" s="39" t="n"/>
      <c r="CE169" s="39" t="n"/>
      <c r="CF169" s="39" t="n"/>
      <c r="CG169" s="47" t="n"/>
      <c r="CH169" s="47" t="n"/>
      <c r="CI169" s="47" t="n"/>
      <c r="CJ169" s="47" t="n"/>
    </row>
    <row r="170" ht="23" customHeight="1">
      <c r="A170" s="39" t="n"/>
      <c r="B170" s="39" t="n"/>
      <c r="C170" s="39" t="n"/>
      <c r="D170" s="40" t="n"/>
      <c r="E170" s="40" t="n"/>
      <c r="F170" s="39" t="n"/>
      <c r="G170" s="40" t="n"/>
      <c r="H170" s="39" t="n"/>
      <c r="I170" s="40" t="n"/>
      <c r="J170" s="40" t="n"/>
      <c r="K170" s="39" t="n"/>
      <c r="L170" s="39" t="n"/>
      <c r="M170" s="39" t="n"/>
      <c r="N170" s="39" t="n"/>
      <c r="O170" s="40" t="n"/>
      <c r="P170" s="46" t="n"/>
      <c r="Q170" s="48" t="n"/>
      <c r="R170" s="40" t="n"/>
      <c r="S170" s="40" t="n"/>
      <c r="T170" s="39" t="n"/>
      <c r="U170" s="47" t="n"/>
      <c r="V170" s="39" t="n"/>
      <c r="W170" s="39" t="n"/>
      <c r="X170" s="39" t="n"/>
      <c r="Y170" s="39" t="n"/>
      <c r="Z170" s="40" t="n"/>
      <c r="AA170" s="40" t="n"/>
      <c r="AB170" s="46" t="n"/>
      <c r="AC170" s="39" t="n"/>
      <c r="AD170" s="39" t="n"/>
      <c r="AE170" s="39" t="n"/>
      <c r="AF170" s="39" t="n"/>
      <c r="AG170" s="39" t="n"/>
      <c r="AH170" s="40" t="n"/>
      <c r="AI170" s="42" t="n"/>
      <c r="AJ170" s="50" t="n"/>
      <c r="AK170" s="46" t="n"/>
      <c r="AL170" s="43" t="n"/>
      <c r="AM170" s="43" t="n"/>
      <c r="AN170" s="40" t="n"/>
      <c r="AO170" s="40" t="n"/>
      <c r="AP170" s="40" t="n"/>
      <c r="AQ170" s="40" t="n"/>
      <c r="AR170" s="40" t="n"/>
      <c r="AS170" s="47" t="n"/>
      <c r="AT170" s="40" t="n"/>
      <c r="AU170" s="40" t="n"/>
      <c r="AV170" s="40" t="n"/>
      <c r="AW170" s="40" t="n"/>
      <c r="AX170" s="47" t="n"/>
      <c r="AY170" s="39" t="n"/>
      <c r="AZ170" s="39" t="n"/>
      <c r="BA170" s="39" t="n"/>
      <c r="BB170" s="39" t="n"/>
      <c r="BC170" s="39" t="n"/>
      <c r="BD170" s="40" t="n"/>
      <c r="BE170" s="39" t="n"/>
      <c r="BF170" s="39" t="n"/>
      <c r="BG170" s="39" t="n"/>
      <c r="BH170" s="39" t="n"/>
      <c r="BI170" s="39" t="n"/>
      <c r="BJ170" s="39" t="n"/>
      <c r="BK170" s="39" t="n"/>
      <c r="BL170" s="39" t="n"/>
      <c r="BM170" s="39" t="n"/>
      <c r="BN170" s="39" t="n"/>
      <c r="BO170" s="39" t="n"/>
      <c r="BP170" s="40" t="n"/>
      <c r="BQ170" s="40" t="n"/>
      <c r="BR170" s="40" t="n"/>
      <c r="BS170" s="40" t="n"/>
      <c r="BT170" s="40" t="n"/>
      <c r="BU170" s="40" t="n"/>
      <c r="BV170" s="40" t="n"/>
      <c r="BW170" s="40" t="n"/>
      <c r="BX170" s="43" t="n"/>
      <c r="BY170" s="39" t="n"/>
      <c r="BZ170" s="39" t="n"/>
      <c r="CA170" s="39" t="n"/>
      <c r="CB170" s="39" t="n"/>
      <c r="CC170" s="39" t="n"/>
      <c r="CD170" s="39" t="n"/>
      <c r="CE170" s="39" t="n"/>
      <c r="CF170" s="39" t="n"/>
      <c r="CG170" s="47" t="n"/>
      <c r="CH170" s="47" t="n"/>
      <c r="CI170" s="47" t="n"/>
      <c r="CJ170" s="47" t="n"/>
    </row>
    <row r="171" ht="23" customHeight="1">
      <c r="A171" s="39" t="n"/>
      <c r="B171" s="39" t="n"/>
      <c r="C171" s="39" t="n"/>
      <c r="D171" s="40" t="n"/>
      <c r="E171" s="40" t="n"/>
      <c r="F171" s="39" t="n"/>
      <c r="G171" s="40" t="n"/>
      <c r="H171" s="39" t="n"/>
      <c r="I171" s="40" t="n"/>
      <c r="J171" s="40" t="n"/>
      <c r="K171" s="39" t="n"/>
      <c r="L171" s="39" t="n"/>
      <c r="M171" s="39" t="n"/>
      <c r="N171" s="39" t="n"/>
      <c r="O171" s="40" t="n"/>
      <c r="P171" s="46" t="n"/>
      <c r="Q171" s="48" t="n"/>
      <c r="R171" s="40" t="n"/>
      <c r="S171" s="40" t="n"/>
      <c r="T171" s="39" t="n"/>
      <c r="U171" s="47" t="n"/>
      <c r="V171" s="39" t="n"/>
      <c r="W171" s="39" t="n"/>
      <c r="X171" s="39" t="n"/>
      <c r="Y171" s="39" t="n"/>
      <c r="Z171" s="40" t="n"/>
      <c r="AA171" s="40" t="n"/>
      <c r="AB171" s="46" t="n"/>
      <c r="AC171" s="39" t="n"/>
      <c r="AD171" s="39" t="n"/>
      <c r="AE171" s="39" t="n"/>
      <c r="AF171" s="39" t="n"/>
      <c r="AG171" s="39" t="n"/>
      <c r="AH171" s="40" t="n"/>
      <c r="AI171" s="42" t="n"/>
      <c r="AJ171" s="50" t="n"/>
      <c r="AK171" s="46" t="n"/>
      <c r="AL171" s="43" t="n"/>
      <c r="AM171" s="43" t="n"/>
      <c r="AN171" s="40" t="n"/>
      <c r="AO171" s="40" t="n"/>
      <c r="AP171" s="40" t="n"/>
      <c r="AQ171" s="40" t="n"/>
      <c r="AR171" s="40" t="n"/>
      <c r="AS171" s="47" t="n"/>
      <c r="AT171" s="40" t="n"/>
      <c r="AU171" s="40" t="n"/>
      <c r="AV171" s="40" t="n"/>
      <c r="AW171" s="40" t="n"/>
      <c r="AX171" s="47" t="n"/>
      <c r="AY171" s="39" t="n"/>
      <c r="AZ171" s="39" t="n"/>
      <c r="BA171" s="39" t="n"/>
      <c r="BB171" s="39" t="n"/>
      <c r="BC171" s="39" t="n"/>
      <c r="BD171" s="40" t="n"/>
      <c r="BE171" s="39" t="n"/>
      <c r="BF171" s="39" t="n"/>
      <c r="BG171" s="39" t="n"/>
      <c r="BH171" s="39" t="n"/>
      <c r="BI171" s="39" t="n"/>
      <c r="BJ171" s="39" t="n"/>
      <c r="BK171" s="39" t="n"/>
      <c r="BL171" s="39" t="n"/>
      <c r="BM171" s="39" t="n"/>
      <c r="BN171" s="39" t="n"/>
      <c r="BO171" s="39" t="n"/>
      <c r="BP171" s="40" t="n"/>
      <c r="BQ171" s="40" t="n"/>
      <c r="BR171" s="40" t="n"/>
      <c r="BS171" s="40" t="n"/>
      <c r="BT171" s="40" t="n"/>
      <c r="BU171" s="40" t="n"/>
      <c r="BV171" s="40" t="n"/>
      <c r="BW171" s="40" t="n"/>
      <c r="BX171" s="43" t="n"/>
      <c r="BY171" s="39" t="n"/>
      <c r="BZ171" s="39" t="n"/>
      <c r="CA171" s="39" t="n"/>
      <c r="CB171" s="39" t="n"/>
      <c r="CC171" s="39" t="n"/>
      <c r="CD171" s="39" t="n"/>
      <c r="CE171" s="39" t="n"/>
      <c r="CF171" s="39" t="n"/>
      <c r="CG171" s="47" t="n"/>
      <c r="CH171" s="47" t="n"/>
      <c r="CI171" s="47" t="n"/>
      <c r="CJ171" s="47" t="n"/>
    </row>
    <row r="172" ht="23" customHeight="1">
      <c r="A172" s="39" t="n"/>
      <c r="B172" s="39" t="n"/>
      <c r="C172" s="39" t="n"/>
      <c r="D172" s="40" t="n"/>
      <c r="E172" s="40" t="n"/>
      <c r="F172" s="39" t="n"/>
      <c r="G172" s="40" t="n"/>
      <c r="H172" s="39" t="n"/>
      <c r="I172" s="40" t="n"/>
      <c r="J172" s="40" t="n"/>
      <c r="K172" s="39" t="n"/>
      <c r="L172" s="39" t="n"/>
      <c r="M172" s="39" t="n"/>
      <c r="N172" s="39" t="n"/>
      <c r="O172" s="40" t="n"/>
      <c r="P172" s="46" t="n"/>
      <c r="Q172" s="48" t="n"/>
      <c r="R172" s="40" t="n"/>
      <c r="S172" s="40" t="n"/>
      <c r="T172" s="39" t="n"/>
      <c r="U172" s="47" t="n"/>
      <c r="V172" s="39" t="n"/>
      <c r="W172" s="39" t="n"/>
      <c r="X172" s="39" t="n"/>
      <c r="Y172" s="39" t="n"/>
      <c r="Z172" s="40" t="n"/>
      <c r="AA172" s="40" t="n"/>
      <c r="AB172" s="46" t="n"/>
      <c r="AC172" s="39" t="n"/>
      <c r="AD172" s="39" t="n"/>
      <c r="AE172" s="39" t="n"/>
      <c r="AF172" s="39" t="n"/>
      <c r="AG172" s="39" t="n"/>
      <c r="AH172" s="40" t="n"/>
      <c r="AI172" s="42" t="n"/>
      <c r="AJ172" s="50" t="n"/>
      <c r="AK172" s="46" t="n"/>
      <c r="AL172" s="43" t="n"/>
      <c r="AM172" s="43" t="n"/>
      <c r="AN172" s="40" t="n"/>
      <c r="AO172" s="40" t="n"/>
      <c r="AP172" s="40" t="n"/>
      <c r="AQ172" s="40" t="n"/>
      <c r="AR172" s="40" t="n"/>
      <c r="AS172" s="47" t="n"/>
      <c r="AT172" s="40" t="n"/>
      <c r="AU172" s="40" t="n"/>
      <c r="AV172" s="40" t="n"/>
      <c r="AW172" s="40" t="n"/>
      <c r="AX172" s="47" t="n"/>
      <c r="AY172" s="39" t="n"/>
      <c r="AZ172" s="39" t="n"/>
      <c r="BA172" s="39" t="n"/>
      <c r="BB172" s="39" t="n"/>
      <c r="BC172" s="39" t="n"/>
      <c r="BD172" s="40" t="n"/>
      <c r="BE172" s="39" t="n"/>
      <c r="BF172" s="39" t="n"/>
      <c r="BG172" s="39" t="n"/>
      <c r="BH172" s="39" t="n"/>
      <c r="BI172" s="39" t="n"/>
      <c r="BJ172" s="39" t="n"/>
      <c r="BK172" s="39" t="n"/>
      <c r="BL172" s="39" t="n"/>
      <c r="BM172" s="39" t="n"/>
      <c r="BN172" s="39" t="n"/>
      <c r="BO172" s="39" t="n"/>
      <c r="BP172" s="40" t="n"/>
      <c r="BQ172" s="40" t="n"/>
      <c r="BR172" s="40" t="n"/>
      <c r="BS172" s="40" t="n"/>
      <c r="BT172" s="40" t="n"/>
      <c r="BU172" s="40" t="n"/>
      <c r="BV172" s="40" t="n"/>
      <c r="BW172" s="40" t="n"/>
      <c r="BX172" s="43" t="n"/>
      <c r="BY172" s="39" t="n"/>
      <c r="BZ172" s="39" t="n"/>
      <c r="CA172" s="39" t="n"/>
      <c r="CB172" s="39" t="n"/>
      <c r="CC172" s="39" t="n"/>
      <c r="CD172" s="39" t="n"/>
      <c r="CE172" s="39" t="n"/>
      <c r="CF172" s="39" t="n"/>
      <c r="CG172" s="47" t="n"/>
      <c r="CH172" s="47" t="n"/>
      <c r="CI172" s="47" t="n"/>
      <c r="CJ172" s="47" t="n"/>
    </row>
    <row r="173" ht="23" customHeight="1">
      <c r="A173" s="39" t="n"/>
      <c r="B173" s="39" t="n"/>
      <c r="C173" s="39" t="n"/>
      <c r="D173" s="40" t="n"/>
      <c r="E173" s="40" t="n"/>
      <c r="F173" s="39" t="n"/>
      <c r="G173" s="40" t="n"/>
      <c r="H173" s="39" t="n"/>
      <c r="I173" s="40" t="n"/>
      <c r="J173" s="40" t="n"/>
      <c r="K173" s="39" t="n"/>
      <c r="L173" s="39" t="n"/>
      <c r="M173" s="39" t="n"/>
      <c r="N173" s="39" t="n"/>
      <c r="O173" s="40" t="n"/>
      <c r="P173" s="46" t="n"/>
      <c r="Q173" s="48" t="n"/>
      <c r="R173" s="40" t="n"/>
      <c r="S173" s="40" t="n"/>
      <c r="T173" s="39" t="n"/>
      <c r="U173" s="47" t="n"/>
      <c r="V173" s="39" t="n"/>
      <c r="W173" s="39" t="n"/>
      <c r="X173" s="39" t="n"/>
      <c r="Y173" s="39" t="n"/>
      <c r="Z173" s="40" t="n"/>
      <c r="AA173" s="40" t="n"/>
      <c r="AB173" s="46" t="n"/>
      <c r="AC173" s="39" t="n"/>
      <c r="AD173" s="39" t="n"/>
      <c r="AE173" s="39" t="n"/>
      <c r="AF173" s="39" t="n"/>
      <c r="AG173" s="39" t="n"/>
      <c r="AH173" s="40" t="n"/>
      <c r="AI173" s="42" t="n"/>
      <c r="AJ173" s="50" t="n"/>
      <c r="AK173" s="46" t="n"/>
      <c r="AL173" s="43" t="n"/>
      <c r="AM173" s="43" t="n"/>
      <c r="AN173" s="40" t="n"/>
      <c r="AO173" s="40" t="n"/>
      <c r="AP173" s="40" t="n"/>
      <c r="AQ173" s="40" t="n"/>
      <c r="AR173" s="40" t="n"/>
      <c r="AS173" s="47" t="n"/>
      <c r="AT173" s="40" t="n"/>
      <c r="AU173" s="40" t="n"/>
      <c r="AV173" s="40" t="n"/>
      <c r="AW173" s="40" t="n"/>
      <c r="AX173" s="47" t="n"/>
      <c r="AY173" s="39" t="n"/>
      <c r="AZ173" s="39" t="n"/>
      <c r="BA173" s="39" t="n"/>
      <c r="BB173" s="39" t="n"/>
      <c r="BC173" s="39" t="n"/>
      <c r="BD173" s="40" t="n"/>
      <c r="BE173" s="39" t="n"/>
      <c r="BF173" s="39" t="n"/>
      <c r="BG173" s="39" t="n"/>
      <c r="BH173" s="39" t="n"/>
      <c r="BI173" s="39" t="n"/>
      <c r="BJ173" s="39" t="n"/>
      <c r="BK173" s="39" t="n"/>
      <c r="BL173" s="39" t="n"/>
      <c r="BM173" s="39" t="n"/>
      <c r="BN173" s="39" t="n"/>
      <c r="BO173" s="39" t="n"/>
      <c r="BP173" s="40" t="n"/>
      <c r="BQ173" s="40" t="n"/>
      <c r="BR173" s="40" t="n"/>
      <c r="BS173" s="40" t="n"/>
      <c r="BT173" s="40" t="n"/>
      <c r="BU173" s="40" t="n"/>
      <c r="BV173" s="40" t="n"/>
      <c r="BW173" s="40" t="n"/>
      <c r="BX173" s="43" t="n"/>
      <c r="BY173" s="39" t="n"/>
      <c r="BZ173" s="39" t="n"/>
      <c r="CA173" s="39" t="n"/>
      <c r="CB173" s="39" t="n"/>
      <c r="CC173" s="39" t="n"/>
      <c r="CD173" s="39" t="n"/>
      <c r="CE173" s="39" t="n"/>
      <c r="CF173" s="39" t="n"/>
      <c r="CG173" s="47" t="n"/>
      <c r="CH173" s="47" t="n"/>
      <c r="CI173" s="47" t="n"/>
      <c r="CJ173" s="47" t="n"/>
    </row>
    <row r="174" ht="23" customHeight="1">
      <c r="A174" s="39" t="n"/>
      <c r="B174" s="39" t="n"/>
      <c r="C174" s="39" t="n"/>
      <c r="D174" s="40" t="n"/>
      <c r="E174" s="40" t="n"/>
      <c r="F174" s="39" t="n"/>
      <c r="G174" s="40" t="n"/>
      <c r="H174" s="39" t="n"/>
      <c r="I174" s="40" t="n"/>
      <c r="J174" s="40" t="n"/>
      <c r="K174" s="39" t="n"/>
      <c r="L174" s="39" t="n"/>
      <c r="M174" s="39" t="n"/>
      <c r="N174" s="39" t="n"/>
      <c r="O174" s="40" t="n"/>
      <c r="P174" s="46" t="n"/>
      <c r="Q174" s="48" t="n"/>
      <c r="R174" s="40" t="n"/>
      <c r="S174" s="40" t="n"/>
      <c r="T174" s="39" t="n"/>
      <c r="U174" s="47" t="n"/>
      <c r="V174" s="39" t="n"/>
      <c r="W174" s="39" t="n"/>
      <c r="X174" s="39" t="n"/>
      <c r="Y174" s="39" t="n"/>
      <c r="Z174" s="40" t="n"/>
      <c r="AA174" s="40" t="n"/>
      <c r="AB174" s="46" t="n"/>
      <c r="AC174" s="39" t="n"/>
      <c r="AD174" s="39" t="n"/>
      <c r="AE174" s="39" t="n"/>
      <c r="AF174" s="39" t="n"/>
      <c r="AG174" s="39" t="n"/>
      <c r="AH174" s="40" t="n"/>
      <c r="AI174" s="42" t="n"/>
      <c r="AJ174" s="50" t="n"/>
      <c r="AK174" s="46" t="n"/>
      <c r="AL174" s="43" t="n"/>
      <c r="AM174" s="43" t="n"/>
      <c r="AN174" s="40" t="n"/>
      <c r="AO174" s="40" t="n"/>
      <c r="AP174" s="40" t="n"/>
      <c r="AQ174" s="40" t="n"/>
      <c r="AR174" s="40" t="n"/>
      <c r="AS174" s="47" t="n"/>
      <c r="AT174" s="40" t="n"/>
      <c r="AU174" s="40" t="n"/>
      <c r="AV174" s="40" t="n"/>
      <c r="AW174" s="40" t="n"/>
      <c r="AX174" s="47" t="n"/>
      <c r="AY174" s="39" t="n"/>
      <c r="AZ174" s="39" t="n"/>
      <c r="BA174" s="39" t="n"/>
      <c r="BB174" s="39" t="n"/>
      <c r="BC174" s="39" t="n"/>
      <c r="BD174" s="40" t="n"/>
      <c r="BE174" s="39" t="n"/>
      <c r="BF174" s="39" t="n"/>
      <c r="BG174" s="39" t="n"/>
      <c r="BH174" s="39" t="n"/>
      <c r="BI174" s="39" t="n"/>
      <c r="BJ174" s="39" t="n"/>
      <c r="BK174" s="39" t="n"/>
      <c r="BL174" s="39" t="n"/>
      <c r="BM174" s="39" t="n"/>
      <c r="BN174" s="39" t="n"/>
      <c r="BO174" s="39" t="n"/>
      <c r="BP174" s="40" t="n"/>
      <c r="BQ174" s="40" t="n"/>
      <c r="BR174" s="40" t="n"/>
      <c r="BS174" s="40" t="n"/>
      <c r="BT174" s="40" t="n"/>
      <c r="BU174" s="40" t="n"/>
      <c r="BV174" s="40" t="n"/>
      <c r="BW174" s="40" t="n"/>
      <c r="BX174" s="43" t="n"/>
      <c r="BY174" s="39" t="n"/>
      <c r="BZ174" s="39" t="n"/>
      <c r="CA174" s="39" t="n"/>
      <c r="CB174" s="39" t="n"/>
      <c r="CC174" s="39" t="n"/>
      <c r="CD174" s="39" t="n"/>
      <c r="CE174" s="39" t="n"/>
      <c r="CF174" s="39" t="n"/>
      <c r="CG174" s="47" t="n"/>
      <c r="CH174" s="47" t="n"/>
      <c r="CI174" s="47" t="n"/>
      <c r="CJ174" s="47" t="n"/>
    </row>
    <row r="175" ht="23" customHeight="1">
      <c r="A175" s="39" t="n"/>
      <c r="B175" s="39" t="n"/>
      <c r="C175" s="39" t="n"/>
      <c r="D175" s="40" t="n"/>
      <c r="E175" s="40" t="n"/>
      <c r="F175" s="39" t="n"/>
      <c r="G175" s="40" t="n"/>
      <c r="H175" s="39" t="n"/>
      <c r="I175" s="40" t="n"/>
      <c r="J175" s="40" t="n"/>
      <c r="K175" s="39" t="n"/>
      <c r="L175" s="39" t="n"/>
      <c r="M175" s="39" t="n"/>
      <c r="N175" s="39" t="n"/>
      <c r="O175" s="40" t="n"/>
      <c r="P175" s="46" t="n"/>
      <c r="Q175" s="48" t="n"/>
      <c r="R175" s="40" t="n"/>
      <c r="S175" s="40" t="n"/>
      <c r="T175" s="39" t="n"/>
      <c r="U175" s="47" t="n"/>
      <c r="V175" s="39" t="n"/>
      <c r="W175" s="39" t="n"/>
      <c r="X175" s="39" t="n"/>
      <c r="Y175" s="39" t="n"/>
      <c r="Z175" s="40" t="n"/>
      <c r="AA175" s="40" t="n"/>
      <c r="AB175" s="46" t="n"/>
      <c r="AC175" s="39" t="n"/>
      <c r="AD175" s="39" t="n"/>
      <c r="AE175" s="39" t="n"/>
      <c r="AF175" s="39" t="n"/>
      <c r="AG175" s="39" t="n"/>
      <c r="AH175" s="40" t="n"/>
      <c r="AI175" s="42" t="n"/>
      <c r="AJ175" s="50" t="n"/>
      <c r="AK175" s="46" t="n"/>
      <c r="AL175" s="43" t="n"/>
      <c r="AM175" s="43" t="n"/>
      <c r="AN175" s="40" t="n"/>
      <c r="AO175" s="40" t="n"/>
      <c r="AP175" s="40" t="n"/>
      <c r="AQ175" s="40" t="n"/>
      <c r="AR175" s="40" t="n"/>
      <c r="AS175" s="47" t="n"/>
      <c r="AT175" s="40" t="n"/>
      <c r="AU175" s="40" t="n"/>
      <c r="AV175" s="40" t="n"/>
      <c r="AW175" s="40" t="n"/>
      <c r="AX175" s="47" t="n"/>
      <c r="AY175" s="39" t="n"/>
      <c r="AZ175" s="39" t="n"/>
      <c r="BA175" s="39" t="n"/>
      <c r="BB175" s="39" t="n"/>
      <c r="BC175" s="39" t="n"/>
      <c r="BD175" s="40" t="n"/>
      <c r="BE175" s="39" t="n"/>
      <c r="BF175" s="39" t="n"/>
      <c r="BG175" s="39" t="n"/>
      <c r="BH175" s="39" t="n"/>
      <c r="BI175" s="39" t="n"/>
      <c r="BJ175" s="39" t="n"/>
      <c r="BK175" s="39" t="n"/>
      <c r="BL175" s="39" t="n"/>
      <c r="BM175" s="39" t="n"/>
      <c r="BN175" s="39" t="n"/>
      <c r="BO175" s="39" t="n"/>
      <c r="BP175" s="40" t="n"/>
      <c r="BQ175" s="40" t="n"/>
      <c r="BR175" s="40" t="n"/>
      <c r="BS175" s="40" t="n"/>
      <c r="BT175" s="40" t="n"/>
      <c r="BU175" s="40" t="n"/>
      <c r="BV175" s="40" t="n"/>
      <c r="BW175" s="40" t="n"/>
      <c r="BX175" s="43" t="n"/>
      <c r="BY175" s="39" t="n"/>
      <c r="BZ175" s="39" t="n"/>
      <c r="CA175" s="39" t="n"/>
      <c r="CB175" s="39" t="n"/>
      <c r="CC175" s="39" t="n"/>
      <c r="CD175" s="39" t="n"/>
      <c r="CE175" s="39" t="n"/>
      <c r="CF175" s="39" t="n"/>
      <c r="CG175" s="47" t="n"/>
      <c r="CH175" s="47" t="n"/>
      <c r="CI175" s="47" t="n"/>
      <c r="CJ175" s="47" t="n"/>
    </row>
    <row r="176" ht="23" customHeight="1">
      <c r="A176" s="39" t="n"/>
      <c r="B176" s="39" t="n"/>
      <c r="C176" s="39" t="n"/>
      <c r="D176" s="40" t="n"/>
      <c r="E176" s="40" t="n"/>
      <c r="F176" s="39" t="n"/>
      <c r="G176" s="40" t="n"/>
      <c r="H176" s="39" t="n"/>
      <c r="I176" s="40" t="n"/>
      <c r="J176" s="40" t="n"/>
      <c r="K176" s="39" t="n"/>
      <c r="L176" s="39" t="n"/>
      <c r="M176" s="39" t="n"/>
      <c r="N176" s="39" t="n"/>
      <c r="O176" s="40" t="n"/>
      <c r="P176" s="46" t="n"/>
      <c r="Q176" s="48" t="n"/>
      <c r="R176" s="40" t="n"/>
      <c r="S176" s="40" t="n"/>
      <c r="T176" s="39" t="n"/>
      <c r="U176" s="47" t="n"/>
      <c r="V176" s="39" t="n"/>
      <c r="W176" s="39" t="n"/>
      <c r="X176" s="39" t="n"/>
      <c r="Y176" s="39" t="n"/>
      <c r="Z176" s="40" t="n"/>
      <c r="AA176" s="40" t="n"/>
      <c r="AB176" s="46" t="n"/>
      <c r="AC176" s="39" t="n"/>
      <c r="AD176" s="39" t="n"/>
      <c r="AE176" s="39" t="n"/>
      <c r="AF176" s="39" t="n"/>
      <c r="AG176" s="39" t="n"/>
      <c r="AH176" s="40" t="n"/>
      <c r="AI176" s="42" t="n"/>
      <c r="AJ176" s="50" t="n"/>
      <c r="AK176" s="46" t="n"/>
      <c r="AL176" s="43" t="n"/>
      <c r="AM176" s="43" t="n"/>
      <c r="AN176" s="40" t="n"/>
      <c r="AO176" s="40" t="n"/>
      <c r="AP176" s="40" t="n"/>
      <c r="AQ176" s="40" t="n"/>
      <c r="AR176" s="40" t="n"/>
      <c r="AS176" s="47" t="n"/>
      <c r="AT176" s="40" t="n"/>
      <c r="AU176" s="40" t="n"/>
      <c r="AV176" s="40" t="n"/>
      <c r="AW176" s="40" t="n"/>
      <c r="AX176" s="47" t="n"/>
      <c r="AY176" s="39" t="n"/>
      <c r="AZ176" s="39" t="n"/>
      <c r="BA176" s="39" t="n"/>
      <c r="BB176" s="39" t="n"/>
      <c r="BC176" s="39" t="n"/>
      <c r="BD176" s="40" t="n"/>
      <c r="BE176" s="39" t="n"/>
      <c r="BF176" s="39" t="n"/>
      <c r="BG176" s="39" t="n"/>
      <c r="BH176" s="39" t="n"/>
      <c r="BI176" s="39" t="n"/>
      <c r="BJ176" s="39" t="n"/>
      <c r="BK176" s="39" t="n"/>
      <c r="BL176" s="39" t="n"/>
      <c r="BM176" s="39" t="n"/>
      <c r="BN176" s="39" t="n"/>
      <c r="BO176" s="39" t="n"/>
      <c r="BP176" s="40" t="n"/>
      <c r="BQ176" s="40" t="n"/>
      <c r="BR176" s="40" t="n"/>
      <c r="BS176" s="40" t="n"/>
      <c r="BT176" s="40" t="n"/>
      <c r="BU176" s="40" t="n"/>
      <c r="BV176" s="40" t="n"/>
      <c r="BW176" s="40" t="n"/>
      <c r="BX176" s="43" t="n"/>
      <c r="BY176" s="39" t="n"/>
      <c r="BZ176" s="39" t="n"/>
      <c r="CA176" s="39" t="n"/>
      <c r="CB176" s="39" t="n"/>
      <c r="CC176" s="39" t="n"/>
      <c r="CD176" s="39" t="n"/>
      <c r="CE176" s="39" t="n"/>
      <c r="CF176" s="39" t="n"/>
      <c r="CG176" s="47" t="n"/>
      <c r="CH176" s="47" t="n"/>
      <c r="CI176" s="47" t="n"/>
      <c r="CJ176" s="47" t="n"/>
    </row>
    <row r="177" ht="23" customHeight="1">
      <c r="A177" s="39" t="n"/>
      <c r="B177" s="39" t="n"/>
      <c r="C177" s="39" t="n"/>
      <c r="D177" s="40" t="n"/>
      <c r="E177" s="40" t="n"/>
      <c r="F177" s="39" t="n"/>
      <c r="G177" s="40" t="n"/>
      <c r="H177" s="39" t="n"/>
      <c r="I177" s="40" t="n"/>
      <c r="J177" s="40" t="n"/>
      <c r="K177" s="39" t="n"/>
      <c r="L177" s="39" t="n"/>
      <c r="M177" s="39" t="n"/>
      <c r="N177" s="39" t="n"/>
      <c r="O177" s="40" t="n"/>
      <c r="P177" s="46" t="n"/>
      <c r="Q177" s="48" t="n"/>
      <c r="R177" s="40" t="n"/>
      <c r="S177" s="40" t="n"/>
      <c r="T177" s="39" t="n"/>
      <c r="U177" s="47" t="n"/>
      <c r="V177" s="39" t="n"/>
      <c r="W177" s="39" t="n"/>
      <c r="X177" s="39" t="n"/>
      <c r="Y177" s="39" t="n"/>
      <c r="Z177" s="40" t="n"/>
      <c r="AA177" s="40" t="n"/>
      <c r="AB177" s="46" t="n"/>
      <c r="AC177" s="39" t="n"/>
      <c r="AD177" s="39" t="n"/>
      <c r="AE177" s="39" t="n"/>
      <c r="AF177" s="39" t="n"/>
      <c r="AG177" s="39" t="n"/>
      <c r="AH177" s="40" t="n"/>
      <c r="AI177" s="42" t="n"/>
      <c r="AJ177" s="50" t="n"/>
      <c r="AK177" s="46" t="n"/>
      <c r="AL177" s="43" t="n"/>
      <c r="AM177" s="43" t="n"/>
      <c r="AN177" s="40" t="n"/>
      <c r="AO177" s="40" t="n"/>
      <c r="AP177" s="40" t="n"/>
      <c r="AQ177" s="40" t="n"/>
      <c r="AR177" s="40" t="n"/>
      <c r="AS177" s="47" t="n"/>
      <c r="AT177" s="40" t="n"/>
      <c r="AU177" s="40" t="n"/>
      <c r="AV177" s="40" t="n"/>
      <c r="AW177" s="40" t="n"/>
      <c r="AX177" s="47" t="n"/>
      <c r="AY177" s="39" t="n"/>
      <c r="AZ177" s="39" t="n"/>
      <c r="BA177" s="39" t="n"/>
      <c r="BB177" s="39" t="n"/>
      <c r="BC177" s="39" t="n"/>
      <c r="BD177" s="40" t="n"/>
      <c r="BE177" s="39" t="n"/>
      <c r="BF177" s="39" t="n"/>
      <c r="BG177" s="39" t="n"/>
      <c r="BH177" s="39" t="n"/>
      <c r="BI177" s="39" t="n"/>
      <c r="BJ177" s="39" t="n"/>
      <c r="BK177" s="39" t="n"/>
      <c r="BL177" s="39" t="n"/>
      <c r="BM177" s="39" t="n"/>
      <c r="BN177" s="39" t="n"/>
      <c r="BO177" s="39" t="n"/>
      <c r="BP177" s="40" t="n"/>
      <c r="BQ177" s="40" t="n"/>
      <c r="BR177" s="40" t="n"/>
      <c r="BS177" s="40" t="n"/>
      <c r="BT177" s="40" t="n"/>
      <c r="BU177" s="40" t="n"/>
      <c r="BV177" s="40" t="n"/>
      <c r="BW177" s="40" t="n"/>
      <c r="BX177" s="43" t="n"/>
      <c r="BY177" s="39" t="n"/>
      <c r="BZ177" s="39" t="n"/>
      <c r="CA177" s="39" t="n"/>
      <c r="CB177" s="39" t="n"/>
      <c r="CC177" s="39" t="n"/>
      <c r="CD177" s="39" t="n"/>
      <c r="CE177" s="39" t="n"/>
      <c r="CF177" s="39" t="n"/>
      <c r="CG177" s="47" t="n"/>
      <c r="CH177" s="47" t="n"/>
      <c r="CI177" s="47" t="n"/>
      <c r="CJ177" s="47" t="n"/>
    </row>
    <row r="178" ht="23" customHeight="1">
      <c r="A178" s="39" t="n"/>
      <c r="B178" s="39" t="n"/>
      <c r="C178" s="39" t="n"/>
      <c r="D178" s="40" t="n"/>
      <c r="E178" s="40" t="n"/>
      <c r="F178" s="39" t="n"/>
      <c r="G178" s="40" t="n"/>
      <c r="H178" s="39" t="n"/>
      <c r="I178" s="40" t="n"/>
      <c r="J178" s="40" t="n"/>
      <c r="K178" s="39" t="n"/>
      <c r="L178" s="39" t="n"/>
      <c r="M178" s="39" t="n"/>
      <c r="N178" s="39" t="n"/>
      <c r="O178" s="40" t="n"/>
      <c r="P178" s="46" t="n"/>
      <c r="Q178" s="48" t="n"/>
      <c r="R178" s="40" t="n"/>
      <c r="S178" s="40" t="n"/>
      <c r="T178" s="39" t="n"/>
      <c r="U178" s="47" t="n"/>
      <c r="V178" s="39" t="n"/>
      <c r="W178" s="39" t="n"/>
      <c r="X178" s="39" t="n"/>
      <c r="Y178" s="39" t="n"/>
      <c r="Z178" s="40" t="n"/>
      <c r="AA178" s="40" t="n"/>
      <c r="AB178" s="46" t="n"/>
      <c r="AC178" s="39" t="n"/>
      <c r="AD178" s="39" t="n"/>
      <c r="AE178" s="39" t="n"/>
      <c r="AF178" s="39" t="n"/>
      <c r="AG178" s="39" t="n"/>
      <c r="AH178" s="40" t="n"/>
      <c r="AI178" s="42" t="n"/>
      <c r="AJ178" s="50" t="n"/>
      <c r="AK178" s="46" t="n"/>
      <c r="AL178" s="43" t="n"/>
      <c r="AM178" s="43" t="n"/>
      <c r="AN178" s="40" t="n"/>
      <c r="AO178" s="40" t="n"/>
      <c r="AP178" s="40" t="n"/>
      <c r="AQ178" s="40" t="n"/>
      <c r="AR178" s="40" t="n"/>
      <c r="AS178" s="47" t="n"/>
      <c r="AT178" s="40" t="n"/>
      <c r="AU178" s="40" t="n"/>
      <c r="AV178" s="40" t="n"/>
      <c r="AW178" s="40" t="n"/>
      <c r="AX178" s="47" t="n"/>
      <c r="AY178" s="39" t="n"/>
      <c r="AZ178" s="39" t="n"/>
      <c r="BA178" s="39" t="n"/>
      <c r="BB178" s="39" t="n"/>
      <c r="BC178" s="39" t="n"/>
      <c r="BD178" s="40" t="n"/>
      <c r="BE178" s="39" t="n"/>
      <c r="BF178" s="39" t="n"/>
      <c r="BG178" s="39" t="n"/>
      <c r="BH178" s="39" t="n"/>
      <c r="BI178" s="39" t="n"/>
      <c r="BJ178" s="39" t="n"/>
      <c r="BK178" s="39" t="n"/>
      <c r="BL178" s="39" t="n"/>
      <c r="BM178" s="39" t="n"/>
      <c r="BN178" s="39" t="n"/>
      <c r="BO178" s="39" t="n"/>
      <c r="BP178" s="40" t="n"/>
      <c r="BQ178" s="40" t="n"/>
      <c r="BR178" s="40" t="n"/>
      <c r="BS178" s="40" t="n"/>
      <c r="BT178" s="40" t="n"/>
      <c r="BU178" s="40" t="n"/>
      <c r="BV178" s="40" t="n"/>
      <c r="BW178" s="40" t="n"/>
      <c r="BX178" s="43" t="n"/>
      <c r="BY178" s="39" t="n"/>
      <c r="BZ178" s="39" t="n"/>
      <c r="CA178" s="39" t="n"/>
      <c r="CB178" s="39" t="n"/>
      <c r="CC178" s="39" t="n"/>
      <c r="CD178" s="39" t="n"/>
      <c r="CE178" s="39" t="n"/>
      <c r="CF178" s="39" t="n"/>
      <c r="CG178" s="47" t="n"/>
      <c r="CH178" s="47" t="n"/>
      <c r="CI178" s="47" t="n"/>
      <c r="CJ178" s="47" t="n"/>
    </row>
    <row r="179" ht="23" customHeight="1">
      <c r="A179" s="39" t="n"/>
      <c r="B179" s="39" t="n"/>
      <c r="C179" s="39" t="n"/>
      <c r="D179" s="40" t="n"/>
      <c r="E179" s="40" t="n"/>
      <c r="F179" s="39" t="n"/>
      <c r="G179" s="40" t="n"/>
      <c r="H179" s="39" t="n"/>
      <c r="I179" s="40" t="n"/>
      <c r="J179" s="40" t="n"/>
      <c r="K179" s="39" t="n"/>
      <c r="L179" s="39" t="n"/>
      <c r="M179" s="39" t="n"/>
      <c r="N179" s="39" t="n"/>
      <c r="O179" s="40" t="n"/>
      <c r="P179" s="46" t="n"/>
      <c r="Q179" s="48" t="n"/>
      <c r="R179" s="40" t="n"/>
      <c r="S179" s="40" t="n"/>
      <c r="T179" s="39" t="n"/>
      <c r="U179" s="47" t="n"/>
      <c r="V179" s="39" t="n"/>
      <c r="W179" s="39" t="n"/>
      <c r="X179" s="39" t="n"/>
      <c r="Y179" s="39" t="n"/>
      <c r="Z179" s="40" t="n"/>
      <c r="AA179" s="40" t="n"/>
      <c r="AB179" s="46" t="n"/>
      <c r="AC179" s="39" t="n"/>
      <c r="AD179" s="39" t="n"/>
      <c r="AE179" s="39" t="n"/>
      <c r="AF179" s="39" t="n"/>
      <c r="AG179" s="39" t="n"/>
      <c r="AH179" s="40" t="n"/>
      <c r="AI179" s="42" t="n"/>
      <c r="AJ179" s="50" t="n"/>
      <c r="AK179" s="46" t="n"/>
      <c r="AL179" s="43" t="n"/>
      <c r="AM179" s="43" t="n"/>
      <c r="AN179" s="40" t="n"/>
      <c r="AO179" s="40" t="n"/>
      <c r="AP179" s="40" t="n"/>
      <c r="AQ179" s="40" t="n"/>
      <c r="AR179" s="40" t="n"/>
      <c r="AS179" s="47" t="n"/>
      <c r="AT179" s="40" t="n"/>
      <c r="AU179" s="40" t="n"/>
      <c r="AV179" s="40" t="n"/>
      <c r="AW179" s="40" t="n"/>
      <c r="AX179" s="47" t="n"/>
      <c r="AY179" s="39" t="n"/>
      <c r="AZ179" s="39" t="n"/>
      <c r="BA179" s="39" t="n"/>
      <c r="BB179" s="39" t="n"/>
      <c r="BC179" s="39" t="n"/>
      <c r="BD179" s="40" t="n"/>
      <c r="BE179" s="39" t="n"/>
      <c r="BF179" s="39" t="n"/>
      <c r="BG179" s="39" t="n"/>
      <c r="BH179" s="39" t="n"/>
      <c r="BI179" s="39" t="n"/>
      <c r="BJ179" s="39" t="n"/>
      <c r="BK179" s="39" t="n"/>
      <c r="BL179" s="39" t="n"/>
      <c r="BM179" s="39" t="n"/>
      <c r="BN179" s="39" t="n"/>
      <c r="BO179" s="39" t="n"/>
      <c r="BP179" s="40" t="n"/>
      <c r="BQ179" s="40" t="n"/>
      <c r="BR179" s="40" t="n"/>
      <c r="BS179" s="40" t="n"/>
      <c r="BT179" s="40" t="n"/>
      <c r="BU179" s="40" t="n"/>
      <c r="BV179" s="40" t="n"/>
      <c r="BW179" s="40" t="n"/>
      <c r="BX179" s="43" t="n"/>
      <c r="BY179" s="39" t="n"/>
      <c r="BZ179" s="39" t="n"/>
      <c r="CA179" s="39" t="n"/>
      <c r="CB179" s="39" t="n"/>
      <c r="CC179" s="39" t="n"/>
      <c r="CD179" s="39" t="n"/>
      <c r="CE179" s="39" t="n"/>
      <c r="CF179" s="39" t="n"/>
      <c r="CG179" s="47" t="n"/>
      <c r="CH179" s="47" t="n"/>
      <c r="CI179" s="47" t="n"/>
      <c r="CJ179" s="47" t="n"/>
    </row>
    <row r="180" ht="23" customHeight="1">
      <c r="A180" s="39" t="n"/>
      <c r="B180" s="39" t="n"/>
      <c r="C180" s="39" t="n"/>
      <c r="D180" s="40" t="n"/>
      <c r="E180" s="40" t="n"/>
      <c r="F180" s="39" t="n"/>
      <c r="G180" s="40" t="n"/>
      <c r="H180" s="39" t="n"/>
      <c r="I180" s="40" t="n"/>
      <c r="J180" s="40" t="n"/>
      <c r="K180" s="39" t="n"/>
      <c r="L180" s="39" t="n"/>
      <c r="M180" s="39" t="n"/>
      <c r="N180" s="39" t="n"/>
      <c r="O180" s="40" t="n"/>
      <c r="P180" s="46" t="n"/>
      <c r="Q180" s="48" t="n"/>
      <c r="R180" s="40" t="n"/>
      <c r="S180" s="40" t="n"/>
      <c r="T180" s="39" t="n"/>
      <c r="U180" s="47" t="n"/>
      <c r="V180" s="39" t="n"/>
      <c r="W180" s="39" t="n"/>
      <c r="X180" s="39" t="n"/>
      <c r="Y180" s="39" t="n"/>
      <c r="Z180" s="40" t="n"/>
      <c r="AA180" s="40" t="n"/>
      <c r="AB180" s="46" t="n"/>
      <c r="AC180" s="39" t="n"/>
      <c r="AD180" s="39" t="n"/>
      <c r="AE180" s="39" t="n"/>
      <c r="AF180" s="39" t="n"/>
      <c r="AG180" s="39" t="n"/>
      <c r="AH180" s="40" t="n"/>
      <c r="AI180" s="42" t="n"/>
      <c r="AJ180" s="50" t="n"/>
      <c r="AK180" s="46" t="n"/>
      <c r="AL180" s="43" t="n"/>
      <c r="AM180" s="43" t="n"/>
      <c r="AN180" s="40" t="n"/>
      <c r="AO180" s="40" t="n"/>
      <c r="AP180" s="40" t="n"/>
      <c r="AQ180" s="40" t="n"/>
      <c r="AR180" s="40" t="n"/>
      <c r="AS180" s="47" t="n"/>
      <c r="AT180" s="40" t="n"/>
      <c r="AU180" s="40" t="n"/>
      <c r="AV180" s="40" t="n"/>
      <c r="AW180" s="40" t="n"/>
      <c r="AX180" s="47" t="n"/>
      <c r="AY180" s="39" t="n"/>
      <c r="AZ180" s="39" t="n"/>
      <c r="BA180" s="39" t="n"/>
      <c r="BB180" s="39" t="n"/>
      <c r="BC180" s="39" t="n"/>
      <c r="BD180" s="40" t="n"/>
      <c r="BE180" s="39" t="n"/>
      <c r="BF180" s="39" t="n"/>
      <c r="BG180" s="39" t="n"/>
      <c r="BH180" s="39" t="n"/>
      <c r="BI180" s="39" t="n"/>
      <c r="BJ180" s="39" t="n"/>
      <c r="BK180" s="39" t="n"/>
      <c r="BL180" s="39" t="n"/>
      <c r="BM180" s="39" t="n"/>
      <c r="BN180" s="39" t="n"/>
      <c r="BO180" s="39" t="n"/>
      <c r="BP180" s="40" t="n"/>
      <c r="BQ180" s="40" t="n"/>
      <c r="BR180" s="40" t="n"/>
      <c r="BS180" s="40" t="n"/>
      <c r="BT180" s="40" t="n"/>
      <c r="BU180" s="40" t="n"/>
      <c r="BV180" s="40" t="n"/>
      <c r="BW180" s="40" t="n"/>
      <c r="BX180" s="43" t="n"/>
      <c r="BY180" s="39" t="n"/>
      <c r="BZ180" s="39" t="n"/>
      <c r="CA180" s="39" t="n"/>
      <c r="CB180" s="39" t="n"/>
      <c r="CC180" s="39" t="n"/>
      <c r="CD180" s="39" t="n"/>
      <c r="CE180" s="39" t="n"/>
      <c r="CF180" s="39" t="n"/>
      <c r="CG180" s="47" t="n"/>
      <c r="CH180" s="47" t="n"/>
      <c r="CI180" s="47" t="n"/>
      <c r="CJ180" s="47" t="n"/>
    </row>
    <row r="181" ht="23" customHeight="1">
      <c r="A181" s="39" t="n"/>
      <c r="B181" s="39" t="n"/>
      <c r="C181" s="39" t="n"/>
      <c r="D181" s="40" t="n"/>
      <c r="E181" s="40" t="n"/>
      <c r="F181" s="39" t="n"/>
      <c r="G181" s="40" t="n"/>
      <c r="H181" s="39" t="n"/>
      <c r="I181" s="40" t="n"/>
      <c r="J181" s="40" t="n"/>
      <c r="K181" s="39" t="n"/>
      <c r="L181" s="39" t="n"/>
      <c r="M181" s="39" t="n"/>
      <c r="N181" s="39" t="n"/>
      <c r="O181" s="40" t="n"/>
      <c r="P181" s="46" t="n"/>
      <c r="Q181" s="48" t="n"/>
      <c r="R181" s="40" t="n"/>
      <c r="S181" s="40" t="n"/>
      <c r="T181" s="39" t="n"/>
      <c r="U181" s="47" t="n"/>
      <c r="V181" s="39" t="n"/>
      <c r="W181" s="39" t="n"/>
      <c r="X181" s="39" t="n"/>
      <c r="Y181" s="39" t="n"/>
      <c r="Z181" s="40" t="n"/>
      <c r="AA181" s="40" t="n"/>
      <c r="AB181" s="46" t="n"/>
      <c r="AC181" s="39" t="n"/>
      <c r="AD181" s="39" t="n"/>
      <c r="AE181" s="39" t="n"/>
      <c r="AF181" s="39" t="n"/>
      <c r="AG181" s="39" t="n"/>
      <c r="AH181" s="40" t="n"/>
      <c r="AI181" s="42" t="n"/>
      <c r="AJ181" s="50" t="n"/>
      <c r="AK181" s="46" t="n"/>
      <c r="AL181" s="43" t="n"/>
      <c r="AM181" s="43" t="n"/>
      <c r="AN181" s="40" t="n"/>
      <c r="AO181" s="40" t="n"/>
      <c r="AP181" s="40" t="n"/>
      <c r="AQ181" s="40" t="n"/>
      <c r="AR181" s="40" t="n"/>
      <c r="AS181" s="47" t="n"/>
      <c r="AT181" s="40" t="n"/>
      <c r="AU181" s="40" t="n"/>
      <c r="AV181" s="40" t="n"/>
      <c r="AW181" s="40" t="n"/>
      <c r="AX181" s="47" t="n"/>
      <c r="AY181" s="39" t="n"/>
      <c r="AZ181" s="39" t="n"/>
      <c r="BA181" s="39" t="n"/>
      <c r="BB181" s="39" t="n"/>
      <c r="BC181" s="39" t="n"/>
      <c r="BD181" s="40" t="n"/>
      <c r="BE181" s="39" t="n"/>
      <c r="BF181" s="39" t="n"/>
      <c r="BG181" s="39" t="n"/>
      <c r="BH181" s="39" t="n"/>
      <c r="BI181" s="39" t="n"/>
      <c r="BJ181" s="39" t="n"/>
      <c r="BK181" s="39" t="n"/>
      <c r="BL181" s="39" t="n"/>
      <c r="BM181" s="39" t="n"/>
      <c r="BN181" s="39" t="n"/>
      <c r="BO181" s="39" t="n"/>
      <c r="BP181" s="40" t="n"/>
      <c r="BQ181" s="40" t="n"/>
      <c r="BR181" s="40" t="n"/>
      <c r="BS181" s="40" t="n"/>
      <c r="BT181" s="40" t="n"/>
      <c r="BU181" s="40" t="n"/>
      <c r="BV181" s="40" t="n"/>
      <c r="BW181" s="40" t="n"/>
      <c r="BX181" s="43" t="n"/>
      <c r="BY181" s="39" t="n"/>
      <c r="BZ181" s="39" t="n"/>
      <c r="CA181" s="39" t="n"/>
      <c r="CB181" s="39" t="n"/>
      <c r="CC181" s="39" t="n"/>
      <c r="CD181" s="39" t="n"/>
      <c r="CE181" s="39" t="n"/>
      <c r="CF181" s="39" t="n"/>
      <c r="CG181" s="47" t="n"/>
      <c r="CH181" s="47" t="n"/>
      <c r="CI181" s="47" t="n"/>
      <c r="CJ181" s="47" t="n"/>
    </row>
    <row r="182" ht="23" customHeight="1">
      <c r="A182" s="39" t="n"/>
      <c r="B182" s="39" t="n"/>
      <c r="C182" s="39" t="n"/>
      <c r="D182" s="40" t="n"/>
      <c r="E182" s="40" t="n"/>
      <c r="F182" s="39" t="n"/>
      <c r="G182" s="40" t="n"/>
      <c r="H182" s="39" t="n"/>
      <c r="I182" s="40" t="n"/>
      <c r="J182" s="40" t="n"/>
      <c r="K182" s="39" t="n"/>
      <c r="L182" s="39" t="n"/>
      <c r="M182" s="39" t="n"/>
      <c r="N182" s="39" t="n"/>
      <c r="O182" s="40" t="n"/>
      <c r="P182" s="46" t="n"/>
      <c r="Q182" s="48" t="n"/>
      <c r="R182" s="40" t="n"/>
      <c r="S182" s="40" t="n"/>
      <c r="T182" s="39" t="n"/>
      <c r="U182" s="47" t="n"/>
      <c r="V182" s="39" t="n"/>
      <c r="W182" s="39" t="n"/>
      <c r="X182" s="39" t="n"/>
      <c r="Y182" s="39" t="n"/>
      <c r="Z182" s="40" t="n"/>
      <c r="AA182" s="40" t="n"/>
      <c r="AB182" s="46" t="n"/>
      <c r="AC182" s="39" t="n"/>
      <c r="AD182" s="39" t="n"/>
      <c r="AE182" s="39" t="n"/>
      <c r="AF182" s="39" t="n"/>
      <c r="AG182" s="39" t="n"/>
      <c r="AH182" s="40" t="n"/>
      <c r="AI182" s="42" t="n"/>
      <c r="AJ182" s="50" t="n"/>
      <c r="AK182" s="46" t="n"/>
      <c r="AL182" s="43" t="n"/>
      <c r="AM182" s="43" t="n"/>
      <c r="AN182" s="40" t="n"/>
      <c r="AO182" s="40" t="n"/>
      <c r="AP182" s="40" t="n"/>
      <c r="AQ182" s="40" t="n"/>
      <c r="AR182" s="40" t="n"/>
      <c r="AS182" s="47" t="n"/>
      <c r="AT182" s="40" t="n"/>
      <c r="AU182" s="40" t="n"/>
      <c r="AV182" s="40" t="n"/>
      <c r="AW182" s="40" t="n"/>
      <c r="AX182" s="47" t="n"/>
      <c r="AY182" s="39" t="n"/>
      <c r="AZ182" s="39" t="n"/>
      <c r="BA182" s="39" t="n"/>
      <c r="BB182" s="39" t="n"/>
      <c r="BC182" s="39" t="n"/>
      <c r="BD182" s="40" t="n"/>
      <c r="BE182" s="39" t="n"/>
      <c r="BF182" s="39" t="n"/>
      <c r="BG182" s="39" t="n"/>
      <c r="BH182" s="39" t="n"/>
      <c r="BI182" s="39" t="n"/>
      <c r="BJ182" s="39" t="n"/>
      <c r="BK182" s="39" t="n"/>
      <c r="BL182" s="39" t="n"/>
      <c r="BM182" s="39" t="n"/>
      <c r="BN182" s="39" t="n"/>
      <c r="BO182" s="39" t="n"/>
      <c r="BP182" s="40" t="n"/>
      <c r="BQ182" s="40" t="n"/>
      <c r="BR182" s="40" t="n"/>
      <c r="BS182" s="40" t="n"/>
      <c r="BT182" s="40" t="n"/>
      <c r="BU182" s="40" t="n"/>
      <c r="BV182" s="40" t="n"/>
      <c r="BW182" s="40" t="n"/>
      <c r="BX182" s="43" t="n"/>
      <c r="BY182" s="39" t="n"/>
      <c r="BZ182" s="39" t="n"/>
      <c r="CA182" s="39" t="n"/>
      <c r="CB182" s="39" t="n"/>
      <c r="CC182" s="39" t="n"/>
      <c r="CD182" s="39" t="n"/>
      <c r="CE182" s="39" t="n"/>
      <c r="CF182" s="39" t="n"/>
      <c r="CG182" s="47" t="n"/>
      <c r="CH182" s="47" t="n"/>
      <c r="CI182" s="47" t="n"/>
      <c r="CJ182" s="47" t="n"/>
    </row>
    <row r="183" ht="23" customHeight="1">
      <c r="A183" s="39" t="n"/>
      <c r="B183" s="39" t="n"/>
      <c r="C183" s="39" t="n"/>
      <c r="D183" s="40" t="n"/>
      <c r="E183" s="40" t="n"/>
      <c r="F183" s="39" t="n"/>
      <c r="G183" s="40" t="n"/>
      <c r="H183" s="39" t="n"/>
      <c r="I183" s="40" t="n"/>
      <c r="J183" s="40" t="n"/>
      <c r="K183" s="39" t="n"/>
      <c r="L183" s="39" t="n"/>
      <c r="M183" s="39" t="n"/>
      <c r="N183" s="39" t="n"/>
      <c r="O183" s="40" t="n"/>
      <c r="P183" s="46" t="n"/>
      <c r="Q183" s="48" t="n"/>
      <c r="R183" s="40" t="n"/>
      <c r="S183" s="40" t="n"/>
      <c r="T183" s="39" t="n"/>
      <c r="U183" s="47" t="n"/>
      <c r="V183" s="39" t="n"/>
      <c r="W183" s="39" t="n"/>
      <c r="X183" s="39" t="n"/>
      <c r="Y183" s="39" t="n"/>
      <c r="Z183" s="40" t="n"/>
      <c r="AA183" s="40" t="n"/>
      <c r="AB183" s="46" t="n"/>
      <c r="AC183" s="39" t="n"/>
      <c r="AD183" s="39" t="n"/>
      <c r="AE183" s="39" t="n"/>
      <c r="AF183" s="39" t="n"/>
      <c r="AG183" s="39" t="n"/>
      <c r="AH183" s="40" t="n"/>
      <c r="AI183" s="42" t="n"/>
      <c r="AJ183" s="50" t="n"/>
      <c r="AK183" s="46" t="n"/>
      <c r="AL183" s="43" t="n"/>
      <c r="AM183" s="43" t="n"/>
      <c r="AN183" s="40" t="n"/>
      <c r="AO183" s="40" t="n"/>
      <c r="AP183" s="40" t="n"/>
      <c r="AQ183" s="40" t="n"/>
      <c r="AR183" s="40" t="n"/>
      <c r="AS183" s="47" t="n"/>
      <c r="AT183" s="40" t="n"/>
      <c r="AU183" s="40" t="n"/>
      <c r="AV183" s="40" t="n"/>
      <c r="AW183" s="40" t="n"/>
      <c r="AX183" s="47" t="n"/>
      <c r="AY183" s="39" t="n"/>
      <c r="AZ183" s="39" t="n"/>
      <c r="BA183" s="39" t="n"/>
      <c r="BB183" s="39" t="n"/>
      <c r="BC183" s="39" t="n"/>
      <c r="BD183" s="40" t="n"/>
      <c r="BE183" s="39" t="n"/>
      <c r="BF183" s="39" t="n"/>
      <c r="BG183" s="39" t="n"/>
      <c r="BH183" s="39" t="n"/>
      <c r="BI183" s="39" t="n"/>
      <c r="BJ183" s="39" t="n"/>
      <c r="BK183" s="39" t="n"/>
      <c r="BL183" s="39" t="n"/>
      <c r="BM183" s="39" t="n"/>
      <c r="BN183" s="39" t="n"/>
      <c r="BO183" s="39" t="n"/>
      <c r="BP183" s="40" t="n"/>
      <c r="BQ183" s="40" t="n"/>
      <c r="BR183" s="40" t="n"/>
      <c r="BS183" s="40" t="n"/>
      <c r="BT183" s="40" t="n"/>
      <c r="BU183" s="40" t="n"/>
      <c r="BV183" s="40" t="n"/>
      <c r="BW183" s="40" t="n"/>
      <c r="BX183" s="43" t="n"/>
      <c r="BY183" s="39" t="n"/>
      <c r="BZ183" s="39" t="n"/>
      <c r="CA183" s="39" t="n"/>
      <c r="CB183" s="39" t="n"/>
      <c r="CC183" s="39" t="n"/>
      <c r="CD183" s="39" t="n"/>
      <c r="CE183" s="39" t="n"/>
      <c r="CF183" s="39" t="n"/>
      <c r="CG183" s="47" t="n"/>
      <c r="CH183" s="47" t="n"/>
      <c r="CI183" s="47" t="n"/>
      <c r="CJ183" s="47" t="n"/>
    </row>
    <row r="184" ht="23" customHeight="1">
      <c r="A184" s="39" t="n"/>
      <c r="B184" s="39" t="n"/>
      <c r="C184" s="39" t="n"/>
      <c r="D184" s="40" t="n"/>
      <c r="E184" s="40" t="n"/>
      <c r="F184" s="39" t="n"/>
      <c r="G184" s="40" t="n"/>
      <c r="H184" s="39" t="n"/>
      <c r="I184" s="40" t="n"/>
      <c r="J184" s="40" t="n"/>
      <c r="K184" s="39" t="n"/>
      <c r="L184" s="39" t="n"/>
      <c r="M184" s="39" t="n"/>
      <c r="N184" s="39" t="n"/>
      <c r="O184" s="40" t="n"/>
      <c r="P184" s="46" t="n"/>
      <c r="Q184" s="48" t="n"/>
      <c r="R184" s="40" t="n"/>
      <c r="S184" s="40" t="n"/>
      <c r="T184" s="39" t="n"/>
      <c r="U184" s="47" t="n"/>
      <c r="V184" s="39" t="n"/>
      <c r="W184" s="39" t="n"/>
      <c r="X184" s="39" t="n"/>
      <c r="Y184" s="39" t="n"/>
      <c r="Z184" s="40" t="n"/>
      <c r="AA184" s="40" t="n"/>
      <c r="AB184" s="46" t="n"/>
      <c r="AC184" s="39" t="n"/>
      <c r="AD184" s="39" t="n"/>
      <c r="AE184" s="39" t="n"/>
      <c r="AF184" s="39" t="n"/>
      <c r="AG184" s="39" t="n"/>
      <c r="AH184" s="40" t="n"/>
      <c r="AI184" s="42" t="n"/>
      <c r="AJ184" s="50" t="n"/>
      <c r="AK184" s="46" t="n"/>
      <c r="AL184" s="43" t="n"/>
      <c r="AM184" s="43" t="n"/>
      <c r="AN184" s="40" t="n"/>
      <c r="AO184" s="40" t="n"/>
      <c r="AP184" s="40" t="n"/>
      <c r="AQ184" s="40" t="n"/>
      <c r="AR184" s="40" t="n"/>
      <c r="AS184" s="47" t="n"/>
      <c r="AT184" s="40" t="n"/>
      <c r="AU184" s="40" t="n"/>
      <c r="AV184" s="40" t="n"/>
      <c r="AW184" s="40" t="n"/>
      <c r="AX184" s="47" t="n"/>
      <c r="AY184" s="39" t="n"/>
      <c r="AZ184" s="39" t="n"/>
      <c r="BA184" s="39" t="n"/>
      <c r="BB184" s="39" t="n"/>
      <c r="BC184" s="39" t="n"/>
      <c r="BD184" s="40" t="n"/>
      <c r="BE184" s="39" t="n"/>
      <c r="BF184" s="39" t="n"/>
      <c r="BG184" s="39" t="n"/>
      <c r="BH184" s="39" t="n"/>
      <c r="BI184" s="39" t="n"/>
      <c r="BJ184" s="39" t="n"/>
      <c r="BK184" s="39" t="n"/>
      <c r="BL184" s="39" t="n"/>
      <c r="BM184" s="39" t="n"/>
      <c r="BN184" s="39" t="n"/>
      <c r="BO184" s="39" t="n"/>
      <c r="BP184" s="40" t="n"/>
      <c r="BQ184" s="40" t="n"/>
      <c r="BR184" s="40" t="n"/>
      <c r="BS184" s="40" t="n"/>
      <c r="BT184" s="40" t="n"/>
      <c r="BU184" s="40" t="n"/>
      <c r="BV184" s="40" t="n"/>
      <c r="BW184" s="40" t="n"/>
      <c r="BX184" s="43" t="n"/>
      <c r="BY184" s="39" t="n"/>
      <c r="BZ184" s="39" t="n"/>
      <c r="CA184" s="39" t="n"/>
      <c r="CB184" s="39" t="n"/>
      <c r="CC184" s="39" t="n"/>
      <c r="CD184" s="39" t="n"/>
      <c r="CE184" s="39" t="n"/>
      <c r="CF184" s="39" t="n"/>
      <c r="CG184" s="47" t="n"/>
      <c r="CH184" s="47" t="n"/>
      <c r="CI184" s="47" t="n"/>
      <c r="CJ184" s="47" t="n"/>
    </row>
    <row r="185" ht="23" customHeight="1">
      <c r="A185" s="39" t="n"/>
      <c r="B185" s="39" t="n"/>
      <c r="C185" s="39" t="n"/>
      <c r="D185" s="40" t="n"/>
      <c r="E185" s="40" t="n"/>
      <c r="F185" s="39" t="n"/>
      <c r="G185" s="40" t="n"/>
      <c r="H185" s="39" t="n"/>
      <c r="I185" s="40" t="n"/>
      <c r="J185" s="40" t="n"/>
      <c r="K185" s="39" t="n"/>
      <c r="L185" s="39" t="n"/>
      <c r="M185" s="39" t="n"/>
      <c r="N185" s="39" t="n"/>
      <c r="O185" s="40" t="n"/>
      <c r="P185" s="46" t="n"/>
      <c r="Q185" s="48" t="n"/>
      <c r="R185" s="40" t="n"/>
      <c r="S185" s="40" t="n"/>
      <c r="T185" s="39" t="n"/>
      <c r="U185" s="47" t="n"/>
      <c r="V185" s="39" t="n"/>
      <c r="W185" s="39" t="n"/>
      <c r="X185" s="39" t="n"/>
      <c r="Y185" s="39" t="n"/>
      <c r="Z185" s="40" t="n"/>
      <c r="AA185" s="40" t="n"/>
      <c r="AB185" s="46" t="n"/>
      <c r="AC185" s="39" t="n"/>
      <c r="AD185" s="39" t="n"/>
      <c r="AE185" s="39" t="n"/>
      <c r="AF185" s="39" t="n"/>
      <c r="AG185" s="39" t="n"/>
      <c r="AH185" s="40" t="n"/>
      <c r="AI185" s="42" t="n"/>
      <c r="AJ185" s="50" t="n"/>
      <c r="AK185" s="46" t="n"/>
      <c r="AL185" s="43" t="n"/>
      <c r="AM185" s="43" t="n"/>
      <c r="AN185" s="40" t="n"/>
      <c r="AO185" s="40" t="n"/>
      <c r="AP185" s="40" t="n"/>
      <c r="AQ185" s="40" t="n"/>
      <c r="AR185" s="40" t="n"/>
      <c r="AS185" s="47" t="n"/>
      <c r="AT185" s="40" t="n"/>
      <c r="AU185" s="40" t="n"/>
      <c r="AV185" s="40" t="n"/>
      <c r="AW185" s="40" t="n"/>
      <c r="AX185" s="47" t="n"/>
      <c r="AY185" s="39" t="n"/>
      <c r="AZ185" s="39" t="n"/>
      <c r="BA185" s="39" t="n"/>
      <c r="BB185" s="39" t="n"/>
      <c r="BC185" s="39" t="n"/>
      <c r="BD185" s="40" t="n"/>
      <c r="BE185" s="39" t="n"/>
      <c r="BF185" s="39" t="n"/>
      <c r="BG185" s="39" t="n"/>
      <c r="BH185" s="39" t="n"/>
      <c r="BI185" s="39" t="n"/>
      <c r="BJ185" s="39" t="n"/>
      <c r="BK185" s="39" t="n"/>
      <c r="BL185" s="39" t="n"/>
      <c r="BM185" s="39" t="n"/>
      <c r="BN185" s="39" t="n"/>
      <c r="BO185" s="39" t="n"/>
      <c r="BP185" s="40" t="n"/>
      <c r="BQ185" s="40" t="n"/>
      <c r="BR185" s="40" t="n"/>
      <c r="BS185" s="40" t="n"/>
      <c r="BT185" s="40" t="n"/>
      <c r="BU185" s="40" t="n"/>
      <c r="BV185" s="40" t="n"/>
      <c r="BW185" s="40" t="n"/>
      <c r="BX185" s="43" t="n"/>
      <c r="BY185" s="39" t="n"/>
      <c r="BZ185" s="39" t="n"/>
      <c r="CA185" s="39" t="n"/>
      <c r="CB185" s="39" t="n"/>
      <c r="CC185" s="39" t="n"/>
      <c r="CD185" s="39" t="n"/>
      <c r="CE185" s="39" t="n"/>
      <c r="CF185" s="39" t="n"/>
      <c r="CG185" s="47" t="n"/>
      <c r="CH185" s="47" t="n"/>
      <c r="CI185" s="47" t="n"/>
      <c r="CJ185" s="47" t="n"/>
    </row>
    <row r="186" ht="23" customHeight="1">
      <c r="A186" s="39" t="n"/>
      <c r="B186" s="39" t="n"/>
      <c r="C186" s="39" t="n"/>
      <c r="D186" s="40" t="n"/>
      <c r="E186" s="40" t="n"/>
      <c r="F186" s="39" t="n"/>
      <c r="G186" s="40" t="n"/>
      <c r="H186" s="39" t="n"/>
      <c r="I186" s="40" t="n"/>
      <c r="J186" s="40" t="n"/>
      <c r="K186" s="39" t="n"/>
      <c r="L186" s="39" t="n"/>
      <c r="M186" s="39" t="n"/>
      <c r="N186" s="39" t="n"/>
      <c r="O186" s="40" t="n"/>
      <c r="P186" s="46" t="n"/>
      <c r="Q186" s="48" t="n"/>
      <c r="R186" s="40" t="n"/>
      <c r="S186" s="40" t="n"/>
      <c r="T186" s="39" t="n"/>
      <c r="U186" s="47" t="n"/>
      <c r="V186" s="39" t="n"/>
      <c r="W186" s="39" t="n"/>
      <c r="X186" s="39" t="n"/>
      <c r="Y186" s="39" t="n"/>
      <c r="Z186" s="40" t="n"/>
      <c r="AA186" s="40" t="n"/>
      <c r="AB186" s="46" t="n"/>
      <c r="AC186" s="39" t="n"/>
      <c r="AD186" s="39" t="n"/>
      <c r="AE186" s="39" t="n"/>
      <c r="AF186" s="39" t="n"/>
      <c r="AG186" s="39" t="n"/>
      <c r="AH186" s="40" t="n"/>
      <c r="AI186" s="42" t="n"/>
      <c r="AJ186" s="50" t="n"/>
      <c r="AK186" s="46" t="n"/>
      <c r="AL186" s="43" t="n"/>
      <c r="AM186" s="43" t="n"/>
      <c r="AN186" s="40" t="n"/>
      <c r="AO186" s="40" t="n"/>
      <c r="AP186" s="40" t="n"/>
      <c r="AQ186" s="40" t="n"/>
      <c r="AR186" s="40" t="n"/>
      <c r="AS186" s="47" t="n"/>
      <c r="AT186" s="40" t="n"/>
      <c r="AU186" s="40" t="n"/>
      <c r="AV186" s="40" t="n"/>
      <c r="AW186" s="40" t="n"/>
      <c r="AX186" s="47" t="n"/>
      <c r="AY186" s="39" t="n"/>
      <c r="AZ186" s="39" t="n"/>
      <c r="BA186" s="39" t="n"/>
      <c r="BB186" s="39" t="n"/>
      <c r="BC186" s="39" t="n"/>
      <c r="BD186" s="40" t="n"/>
      <c r="BE186" s="39" t="n"/>
      <c r="BF186" s="39" t="n"/>
      <c r="BG186" s="39" t="n"/>
      <c r="BH186" s="39" t="n"/>
      <c r="BI186" s="39" t="n"/>
      <c r="BJ186" s="39" t="n"/>
      <c r="BK186" s="39" t="n"/>
      <c r="BL186" s="39" t="n"/>
      <c r="BM186" s="39" t="n"/>
      <c r="BN186" s="39" t="n"/>
      <c r="BO186" s="39" t="n"/>
      <c r="BP186" s="40" t="n"/>
      <c r="BQ186" s="40" t="n"/>
      <c r="BR186" s="40" t="n"/>
      <c r="BS186" s="40" t="n"/>
      <c r="BT186" s="40" t="n"/>
      <c r="BU186" s="40" t="n"/>
      <c r="BV186" s="40" t="n"/>
      <c r="BW186" s="40" t="n"/>
      <c r="BX186" s="43" t="n"/>
      <c r="BY186" s="39" t="n"/>
      <c r="BZ186" s="39" t="n"/>
      <c r="CA186" s="39" t="n"/>
      <c r="CB186" s="39" t="n"/>
      <c r="CC186" s="39" t="n"/>
      <c r="CD186" s="39" t="n"/>
      <c r="CE186" s="39" t="n"/>
      <c r="CF186" s="39" t="n"/>
      <c r="CG186" s="47" t="n"/>
      <c r="CH186" s="47" t="n"/>
      <c r="CI186" s="47" t="n"/>
      <c r="CJ186" s="47" t="n"/>
    </row>
    <row r="187" ht="23" customHeight="1">
      <c r="A187" s="39" t="n"/>
      <c r="B187" s="39" t="n"/>
      <c r="C187" s="39" t="n"/>
      <c r="D187" s="40" t="n"/>
      <c r="E187" s="40" t="n"/>
      <c r="F187" s="39" t="n"/>
      <c r="G187" s="40" t="n"/>
      <c r="H187" s="39" t="n"/>
      <c r="I187" s="40" t="n"/>
      <c r="J187" s="40" t="n"/>
      <c r="K187" s="39" t="n"/>
      <c r="L187" s="39" t="n"/>
      <c r="M187" s="39" t="n"/>
      <c r="N187" s="39" t="n"/>
      <c r="O187" s="40" t="n"/>
      <c r="P187" s="46" t="n"/>
      <c r="Q187" s="48" t="n"/>
      <c r="R187" s="40" t="n"/>
      <c r="S187" s="40" t="n"/>
      <c r="T187" s="39" t="n"/>
      <c r="U187" s="47" t="n"/>
      <c r="V187" s="39" t="n"/>
      <c r="W187" s="39" t="n"/>
      <c r="X187" s="39" t="n"/>
      <c r="Y187" s="39" t="n"/>
      <c r="Z187" s="40" t="n"/>
      <c r="AA187" s="40" t="n"/>
      <c r="AB187" s="46" t="n"/>
      <c r="AC187" s="39" t="n"/>
      <c r="AD187" s="39" t="n"/>
      <c r="AE187" s="39" t="n"/>
      <c r="AF187" s="39" t="n"/>
      <c r="AG187" s="39" t="n"/>
      <c r="AH187" s="40" t="n"/>
      <c r="AI187" s="42" t="n"/>
      <c r="AJ187" s="50" t="n"/>
      <c r="AK187" s="46" t="n"/>
      <c r="AL187" s="43" t="n"/>
      <c r="AM187" s="43" t="n"/>
      <c r="AN187" s="40" t="n"/>
      <c r="AO187" s="40" t="n"/>
      <c r="AP187" s="40" t="n"/>
      <c r="AQ187" s="40" t="n"/>
      <c r="AR187" s="40" t="n"/>
      <c r="AS187" s="47" t="n"/>
      <c r="AT187" s="40" t="n"/>
      <c r="AU187" s="40" t="n"/>
      <c r="AV187" s="40" t="n"/>
      <c r="AW187" s="40" t="n"/>
      <c r="AX187" s="47" t="n"/>
      <c r="AY187" s="39" t="n"/>
      <c r="AZ187" s="39" t="n"/>
      <c r="BA187" s="39" t="n"/>
      <c r="BB187" s="39" t="n"/>
      <c r="BC187" s="39" t="n"/>
      <c r="BD187" s="40" t="n"/>
      <c r="BE187" s="39" t="n"/>
      <c r="BF187" s="39" t="n"/>
      <c r="BG187" s="39" t="n"/>
      <c r="BH187" s="39" t="n"/>
      <c r="BI187" s="39" t="n"/>
      <c r="BJ187" s="39" t="n"/>
      <c r="BK187" s="39" t="n"/>
      <c r="BL187" s="39" t="n"/>
      <c r="BM187" s="39" t="n"/>
      <c r="BN187" s="39" t="n"/>
      <c r="BO187" s="39" t="n"/>
      <c r="BP187" s="40" t="n"/>
      <c r="BQ187" s="40" t="n"/>
      <c r="BR187" s="40" t="n"/>
      <c r="BS187" s="40" t="n"/>
      <c r="BT187" s="40" t="n"/>
      <c r="BU187" s="40" t="n"/>
      <c r="BV187" s="40" t="n"/>
      <c r="BW187" s="40" t="n"/>
      <c r="BX187" s="43" t="n"/>
      <c r="BY187" s="39" t="n"/>
      <c r="BZ187" s="39" t="n"/>
      <c r="CA187" s="39" t="n"/>
      <c r="CB187" s="39" t="n"/>
      <c r="CC187" s="39" t="n"/>
      <c r="CD187" s="39" t="n"/>
      <c r="CE187" s="39" t="n"/>
      <c r="CF187" s="39" t="n"/>
      <c r="CG187" s="47" t="n"/>
      <c r="CH187" s="47" t="n"/>
      <c r="CI187" s="47" t="n"/>
      <c r="CJ187" s="47" t="n"/>
    </row>
    <row r="188" ht="23" customHeight="1">
      <c r="A188" s="39" t="n"/>
      <c r="B188" s="39" t="n"/>
      <c r="C188" s="39" t="n"/>
      <c r="D188" s="40" t="n"/>
      <c r="E188" s="40" t="n"/>
      <c r="F188" s="39" t="n"/>
      <c r="G188" s="40" t="n"/>
      <c r="H188" s="39" t="n"/>
      <c r="I188" s="40" t="n"/>
      <c r="J188" s="40" t="n"/>
      <c r="K188" s="39" t="n"/>
      <c r="L188" s="39" t="n"/>
      <c r="M188" s="39" t="n"/>
      <c r="N188" s="39" t="n"/>
      <c r="O188" s="40" t="n"/>
      <c r="P188" s="46" t="n"/>
      <c r="Q188" s="48" t="n"/>
      <c r="R188" s="40" t="n"/>
      <c r="S188" s="40" t="n"/>
      <c r="T188" s="39" t="n"/>
      <c r="U188" s="47" t="n"/>
      <c r="V188" s="39" t="n"/>
      <c r="W188" s="39" t="n"/>
      <c r="X188" s="39" t="n"/>
      <c r="Y188" s="39" t="n"/>
      <c r="Z188" s="40" t="n"/>
      <c r="AA188" s="40" t="n"/>
      <c r="AB188" s="46" t="n"/>
      <c r="AC188" s="39" t="n"/>
      <c r="AD188" s="39" t="n"/>
      <c r="AE188" s="39" t="n"/>
      <c r="AF188" s="39" t="n"/>
      <c r="AG188" s="39" t="n"/>
      <c r="AH188" s="40" t="n"/>
      <c r="AI188" s="42" t="n"/>
      <c r="AJ188" s="50" t="n"/>
      <c r="AK188" s="46" t="n"/>
      <c r="AL188" s="43" t="n"/>
      <c r="AM188" s="43" t="n"/>
      <c r="AN188" s="40" t="n"/>
      <c r="AO188" s="40" t="n"/>
      <c r="AP188" s="40" t="n"/>
      <c r="AQ188" s="40" t="n"/>
      <c r="AR188" s="40" t="n"/>
      <c r="AS188" s="47" t="n"/>
      <c r="AT188" s="40" t="n"/>
      <c r="AU188" s="40" t="n"/>
      <c r="AV188" s="40" t="n"/>
      <c r="AW188" s="40" t="n"/>
      <c r="AX188" s="47" t="n"/>
      <c r="AY188" s="39" t="n"/>
      <c r="AZ188" s="39" t="n"/>
      <c r="BA188" s="39" t="n"/>
      <c r="BB188" s="39" t="n"/>
      <c r="BC188" s="39" t="n"/>
      <c r="BD188" s="40" t="n"/>
      <c r="BE188" s="39" t="n"/>
      <c r="BF188" s="39" t="n"/>
      <c r="BG188" s="39" t="n"/>
      <c r="BH188" s="39" t="n"/>
      <c r="BI188" s="39" t="n"/>
      <c r="BJ188" s="39" t="n"/>
      <c r="BK188" s="39" t="n"/>
      <c r="BL188" s="39" t="n"/>
      <c r="BM188" s="39" t="n"/>
      <c r="BN188" s="39" t="n"/>
      <c r="BO188" s="39" t="n"/>
      <c r="BP188" s="40" t="n"/>
      <c r="BQ188" s="40" t="n"/>
      <c r="BR188" s="40" t="n"/>
      <c r="BS188" s="40" t="n"/>
      <c r="BT188" s="40" t="n"/>
      <c r="BU188" s="40" t="n"/>
      <c r="BV188" s="40" t="n"/>
      <c r="BW188" s="40" t="n"/>
      <c r="BX188" s="43" t="n"/>
      <c r="BY188" s="39" t="n"/>
      <c r="BZ188" s="39" t="n"/>
      <c r="CA188" s="39" t="n"/>
      <c r="CB188" s="39" t="n"/>
      <c r="CC188" s="39" t="n"/>
      <c r="CD188" s="39" t="n"/>
      <c r="CE188" s="39" t="n"/>
      <c r="CF188" s="39" t="n"/>
      <c r="CG188" s="47" t="n"/>
      <c r="CH188" s="47" t="n"/>
      <c r="CI188" s="47" t="n"/>
      <c r="CJ188" s="47" t="n"/>
    </row>
    <row r="189" ht="23" customHeight="1">
      <c r="A189" s="39" t="n"/>
      <c r="B189" s="39" t="n"/>
      <c r="C189" s="39" t="n"/>
      <c r="D189" s="40" t="n"/>
      <c r="E189" s="40" t="n"/>
      <c r="F189" s="39" t="n"/>
      <c r="G189" s="40" t="n"/>
      <c r="H189" s="39" t="n"/>
      <c r="I189" s="40" t="n"/>
      <c r="J189" s="40" t="n"/>
      <c r="K189" s="39" t="n"/>
      <c r="L189" s="39" t="n"/>
      <c r="M189" s="39" t="n"/>
      <c r="N189" s="39" t="n"/>
      <c r="O189" s="40" t="n"/>
      <c r="P189" s="46" t="n"/>
      <c r="Q189" s="48" t="n"/>
      <c r="R189" s="40" t="n"/>
      <c r="S189" s="40" t="n"/>
      <c r="T189" s="39" t="n"/>
      <c r="U189" s="47" t="n"/>
      <c r="V189" s="39" t="n"/>
      <c r="W189" s="39" t="n"/>
      <c r="X189" s="39" t="n"/>
      <c r="Y189" s="39" t="n"/>
      <c r="Z189" s="40" t="n"/>
      <c r="AA189" s="40" t="n"/>
      <c r="AB189" s="46" t="n"/>
      <c r="AC189" s="39" t="n"/>
      <c r="AD189" s="39" t="n"/>
      <c r="AE189" s="39" t="n"/>
      <c r="AF189" s="39" t="n"/>
      <c r="AG189" s="39" t="n"/>
      <c r="AH189" s="40" t="n"/>
      <c r="AI189" s="42" t="n"/>
      <c r="AJ189" s="50" t="n"/>
      <c r="AK189" s="46" t="n"/>
      <c r="AL189" s="43" t="n"/>
      <c r="AM189" s="43" t="n"/>
      <c r="AN189" s="40" t="n"/>
      <c r="AO189" s="40" t="n"/>
      <c r="AP189" s="40" t="n"/>
      <c r="AQ189" s="40" t="n"/>
      <c r="AR189" s="40" t="n"/>
      <c r="AS189" s="47" t="n"/>
      <c r="AT189" s="40" t="n"/>
      <c r="AU189" s="40" t="n"/>
      <c r="AV189" s="40" t="n"/>
      <c r="AW189" s="40" t="n"/>
      <c r="AX189" s="47" t="n"/>
      <c r="AY189" s="39" t="n"/>
      <c r="AZ189" s="39" t="n"/>
      <c r="BA189" s="39" t="n"/>
      <c r="BB189" s="39" t="n"/>
      <c r="BC189" s="39" t="n"/>
      <c r="BD189" s="40" t="n"/>
      <c r="BE189" s="39" t="n"/>
      <c r="BF189" s="39" t="n"/>
      <c r="BG189" s="39" t="n"/>
      <c r="BH189" s="39" t="n"/>
      <c r="BI189" s="39" t="n"/>
      <c r="BJ189" s="39" t="n"/>
      <c r="BK189" s="39" t="n"/>
      <c r="BL189" s="39" t="n"/>
      <c r="BM189" s="39" t="n"/>
      <c r="BN189" s="39" t="n"/>
      <c r="BO189" s="39" t="n"/>
      <c r="BP189" s="40" t="n"/>
      <c r="BQ189" s="40" t="n"/>
      <c r="BR189" s="40" t="n"/>
      <c r="BS189" s="40" t="n"/>
      <c r="BT189" s="40" t="n"/>
      <c r="BU189" s="40" t="n"/>
      <c r="BV189" s="40" t="n"/>
      <c r="BW189" s="40" t="n"/>
      <c r="BX189" s="43" t="n"/>
      <c r="BY189" s="39" t="n"/>
      <c r="BZ189" s="39" t="n"/>
      <c r="CA189" s="39" t="n"/>
      <c r="CB189" s="39" t="n"/>
      <c r="CC189" s="39" t="n"/>
      <c r="CD189" s="39" t="n"/>
      <c r="CE189" s="39" t="n"/>
      <c r="CF189" s="39" t="n"/>
      <c r="CG189" s="47" t="n"/>
      <c r="CH189" s="47" t="n"/>
      <c r="CI189" s="47" t="n"/>
      <c r="CJ189" s="47" t="n"/>
    </row>
    <row r="190" ht="23" customHeight="1">
      <c r="A190" s="39" t="n"/>
      <c r="B190" s="39" t="n"/>
      <c r="C190" s="39" t="n"/>
      <c r="D190" s="40" t="n"/>
      <c r="E190" s="40" t="n"/>
      <c r="F190" s="39" t="n"/>
      <c r="G190" s="40" t="n"/>
      <c r="H190" s="39" t="n"/>
      <c r="I190" s="40" t="n"/>
      <c r="J190" s="40" t="n"/>
      <c r="K190" s="39" t="n"/>
      <c r="L190" s="39" t="n"/>
      <c r="M190" s="39" t="n"/>
      <c r="N190" s="39" t="n"/>
      <c r="O190" s="40" t="n"/>
      <c r="P190" s="46" t="n"/>
      <c r="Q190" s="48" t="n"/>
      <c r="R190" s="40" t="n"/>
      <c r="S190" s="40" t="n"/>
      <c r="T190" s="39" t="n"/>
      <c r="U190" s="47" t="n"/>
      <c r="V190" s="39" t="n"/>
      <c r="W190" s="39" t="n"/>
      <c r="X190" s="39" t="n"/>
      <c r="Y190" s="39" t="n"/>
      <c r="Z190" s="40" t="n"/>
      <c r="AA190" s="40" t="n"/>
      <c r="AB190" s="46" t="n"/>
      <c r="AC190" s="39" t="n"/>
      <c r="AD190" s="39" t="n"/>
      <c r="AE190" s="39" t="n"/>
      <c r="AF190" s="39" t="n"/>
      <c r="AG190" s="39" t="n"/>
      <c r="AH190" s="40" t="n"/>
      <c r="AI190" s="42" t="n"/>
      <c r="AJ190" s="50" t="n"/>
      <c r="AK190" s="46" t="n"/>
      <c r="AL190" s="43" t="n"/>
      <c r="AM190" s="43" t="n"/>
      <c r="AN190" s="40" t="n"/>
      <c r="AO190" s="40" t="n"/>
      <c r="AP190" s="40" t="n"/>
      <c r="AQ190" s="40" t="n"/>
      <c r="AR190" s="40" t="n"/>
      <c r="AS190" s="47" t="n"/>
      <c r="AT190" s="40" t="n"/>
      <c r="AU190" s="40" t="n"/>
      <c r="AV190" s="40" t="n"/>
      <c r="AW190" s="40" t="n"/>
      <c r="AX190" s="47" t="n"/>
      <c r="AY190" s="39" t="n"/>
      <c r="AZ190" s="39" t="n"/>
      <c r="BA190" s="39" t="n"/>
      <c r="BB190" s="39" t="n"/>
      <c r="BC190" s="39" t="n"/>
      <c r="BD190" s="40" t="n"/>
      <c r="BE190" s="39" t="n"/>
      <c r="BF190" s="39" t="n"/>
      <c r="BG190" s="39" t="n"/>
      <c r="BH190" s="39" t="n"/>
      <c r="BI190" s="39" t="n"/>
      <c r="BJ190" s="39" t="n"/>
      <c r="BK190" s="39" t="n"/>
      <c r="BL190" s="39" t="n"/>
      <c r="BM190" s="39" t="n"/>
      <c r="BN190" s="39" t="n"/>
      <c r="BO190" s="39" t="n"/>
      <c r="BP190" s="40" t="n"/>
      <c r="BQ190" s="40" t="n"/>
      <c r="BR190" s="40" t="n"/>
      <c r="BS190" s="40" t="n"/>
      <c r="BT190" s="40" t="n"/>
      <c r="BU190" s="40" t="n"/>
      <c r="BV190" s="40" t="n"/>
      <c r="BW190" s="40" t="n"/>
      <c r="BX190" s="43" t="n"/>
      <c r="BY190" s="39" t="n"/>
      <c r="BZ190" s="39" t="n"/>
      <c r="CA190" s="39" t="n"/>
      <c r="CB190" s="39" t="n"/>
      <c r="CC190" s="39" t="n"/>
      <c r="CD190" s="39" t="n"/>
      <c r="CE190" s="39" t="n"/>
      <c r="CF190" s="39" t="n"/>
      <c r="CG190" s="47" t="n"/>
      <c r="CH190" s="47" t="n"/>
      <c r="CI190" s="47" t="n"/>
      <c r="CJ190" s="47" t="n"/>
    </row>
    <row r="191" ht="23" customHeight="1">
      <c r="A191" s="39" t="n"/>
      <c r="B191" s="39" t="n"/>
      <c r="C191" s="39" t="n"/>
      <c r="D191" s="40" t="n"/>
      <c r="E191" s="40" t="n"/>
      <c r="F191" s="39" t="n"/>
      <c r="G191" s="40" t="n"/>
      <c r="H191" s="39" t="n"/>
      <c r="I191" s="40" t="n"/>
      <c r="J191" s="40" t="n"/>
      <c r="K191" s="39" t="n"/>
      <c r="L191" s="39" t="n"/>
      <c r="M191" s="39" t="n"/>
      <c r="N191" s="39" t="n"/>
      <c r="O191" s="40" t="n"/>
      <c r="P191" s="46" t="n"/>
      <c r="Q191" s="48" t="n"/>
      <c r="R191" s="40" t="n"/>
      <c r="S191" s="40" t="n"/>
      <c r="T191" s="39" t="n"/>
      <c r="U191" s="47" t="n"/>
      <c r="V191" s="39" t="n"/>
      <c r="W191" s="39" t="n"/>
      <c r="X191" s="39" t="n"/>
      <c r="Y191" s="39" t="n"/>
      <c r="Z191" s="40" t="n"/>
      <c r="AA191" s="40" t="n"/>
      <c r="AB191" s="46" t="n"/>
      <c r="AC191" s="39" t="n"/>
      <c r="AD191" s="39" t="n"/>
      <c r="AE191" s="39" t="n"/>
      <c r="AF191" s="39" t="n"/>
      <c r="AG191" s="39" t="n"/>
      <c r="AH191" s="40" t="n"/>
      <c r="AI191" s="42" t="n"/>
      <c r="AJ191" s="50" t="n"/>
      <c r="AK191" s="46" t="n"/>
      <c r="AL191" s="43" t="n"/>
      <c r="AM191" s="43" t="n"/>
      <c r="AN191" s="40" t="n"/>
      <c r="AO191" s="40" t="n"/>
      <c r="AP191" s="40" t="n"/>
      <c r="AQ191" s="40" t="n"/>
      <c r="AR191" s="40" t="n"/>
      <c r="AS191" s="47" t="n"/>
      <c r="AT191" s="40" t="n"/>
      <c r="AU191" s="40" t="n"/>
      <c r="AV191" s="40" t="n"/>
      <c r="AW191" s="40" t="n"/>
      <c r="AX191" s="47" t="n"/>
      <c r="AY191" s="39" t="n"/>
      <c r="AZ191" s="39" t="n"/>
      <c r="BA191" s="39" t="n"/>
      <c r="BB191" s="39" t="n"/>
      <c r="BC191" s="39" t="n"/>
      <c r="BD191" s="40" t="n"/>
      <c r="BE191" s="39" t="n"/>
      <c r="BF191" s="39" t="n"/>
      <c r="BG191" s="39" t="n"/>
      <c r="BH191" s="39" t="n"/>
      <c r="BI191" s="39" t="n"/>
      <c r="BJ191" s="39" t="n"/>
      <c r="BK191" s="39" t="n"/>
      <c r="BL191" s="39" t="n"/>
      <c r="BM191" s="39" t="n"/>
      <c r="BN191" s="39" t="n"/>
      <c r="BO191" s="39" t="n"/>
      <c r="BP191" s="40" t="n"/>
      <c r="BQ191" s="40" t="n"/>
      <c r="BR191" s="40" t="n"/>
      <c r="BS191" s="40" t="n"/>
      <c r="BT191" s="40" t="n"/>
      <c r="BU191" s="40" t="n"/>
      <c r="BV191" s="40" t="n"/>
      <c r="BW191" s="40" t="n"/>
      <c r="BX191" s="43" t="n"/>
      <c r="BY191" s="39" t="n"/>
      <c r="BZ191" s="39" t="n"/>
      <c r="CA191" s="39" t="n"/>
      <c r="CB191" s="39" t="n"/>
      <c r="CC191" s="39" t="n"/>
      <c r="CD191" s="39" t="n"/>
      <c r="CE191" s="39" t="n"/>
      <c r="CF191" s="39" t="n"/>
      <c r="CG191" s="47" t="n"/>
      <c r="CH191" s="47" t="n"/>
      <c r="CI191" s="47" t="n"/>
      <c r="CJ191" s="47" t="n"/>
    </row>
    <row r="192" ht="23" customHeight="1">
      <c r="A192" s="39" t="n"/>
      <c r="B192" s="39" t="n"/>
      <c r="C192" s="39" t="n"/>
      <c r="D192" s="40" t="n"/>
      <c r="E192" s="40" t="n"/>
      <c r="F192" s="39" t="n"/>
      <c r="G192" s="40" t="n"/>
      <c r="H192" s="39" t="n"/>
      <c r="I192" s="40" t="n"/>
      <c r="J192" s="40" t="n"/>
      <c r="K192" s="39" t="n"/>
      <c r="L192" s="39" t="n"/>
      <c r="M192" s="39" t="n"/>
      <c r="N192" s="39" t="n"/>
      <c r="O192" s="40" t="n"/>
      <c r="P192" s="46" t="n"/>
      <c r="Q192" s="48" t="n"/>
      <c r="R192" s="40" t="n"/>
      <c r="S192" s="40" t="n"/>
      <c r="T192" s="39" t="n"/>
      <c r="U192" s="47" t="n"/>
      <c r="V192" s="39" t="n"/>
      <c r="W192" s="39" t="n"/>
      <c r="X192" s="39" t="n"/>
      <c r="Y192" s="39" t="n"/>
      <c r="Z192" s="40" t="n"/>
      <c r="AA192" s="40" t="n"/>
      <c r="AB192" s="46" t="n"/>
      <c r="AC192" s="39" t="n"/>
      <c r="AD192" s="39" t="n"/>
      <c r="AE192" s="39" t="n"/>
      <c r="AF192" s="39" t="n"/>
      <c r="AG192" s="39" t="n"/>
      <c r="AH192" s="40" t="n"/>
      <c r="AI192" s="42" t="n"/>
      <c r="AJ192" s="50" t="n"/>
      <c r="AK192" s="46" t="n"/>
      <c r="AL192" s="43" t="n"/>
      <c r="AM192" s="43" t="n"/>
      <c r="AN192" s="40" t="n"/>
      <c r="AO192" s="40" t="n"/>
      <c r="AP192" s="40" t="n"/>
      <c r="AQ192" s="40" t="n"/>
      <c r="AR192" s="40" t="n"/>
      <c r="AS192" s="47" t="n"/>
      <c r="AT192" s="40" t="n"/>
      <c r="AU192" s="40" t="n"/>
      <c r="AV192" s="40" t="n"/>
      <c r="AW192" s="40" t="n"/>
      <c r="AX192" s="47" t="n"/>
      <c r="AY192" s="39" t="n"/>
      <c r="AZ192" s="39" t="n"/>
      <c r="BA192" s="39" t="n"/>
      <c r="BB192" s="39" t="n"/>
      <c r="BC192" s="39" t="n"/>
      <c r="BD192" s="40" t="n"/>
      <c r="BE192" s="39" t="n"/>
      <c r="BF192" s="39" t="n"/>
      <c r="BG192" s="39" t="n"/>
      <c r="BH192" s="39" t="n"/>
      <c r="BI192" s="39" t="n"/>
      <c r="BJ192" s="39" t="n"/>
      <c r="BK192" s="39" t="n"/>
      <c r="BL192" s="39" t="n"/>
      <c r="BM192" s="39" t="n"/>
      <c r="BN192" s="39" t="n"/>
      <c r="BO192" s="39" t="n"/>
      <c r="BP192" s="40" t="n"/>
      <c r="BQ192" s="40" t="n"/>
      <c r="BR192" s="40" t="n"/>
      <c r="BS192" s="40" t="n"/>
      <c r="BT192" s="40" t="n"/>
      <c r="BU192" s="40" t="n"/>
      <c r="BV192" s="40" t="n"/>
      <c r="BW192" s="40" t="n"/>
      <c r="BX192" s="43" t="n"/>
      <c r="BY192" s="39" t="n"/>
      <c r="BZ192" s="39" t="n"/>
      <c r="CA192" s="39" t="n"/>
      <c r="CB192" s="39" t="n"/>
      <c r="CC192" s="39" t="n"/>
      <c r="CD192" s="39" t="n"/>
      <c r="CE192" s="39" t="n"/>
      <c r="CF192" s="39" t="n"/>
      <c r="CG192" s="47" t="n"/>
      <c r="CH192" s="47" t="n"/>
      <c r="CI192" s="47" t="n"/>
      <c r="CJ192" s="47" t="n"/>
    </row>
    <row r="193" ht="23" customHeight="1">
      <c r="A193" s="39" t="n"/>
      <c r="B193" s="39" t="n"/>
      <c r="C193" s="39" t="n"/>
      <c r="D193" s="40" t="n"/>
      <c r="E193" s="40" t="n"/>
      <c r="F193" s="39" t="n"/>
      <c r="G193" s="40" t="n"/>
      <c r="H193" s="39" t="n"/>
      <c r="I193" s="40" t="n"/>
      <c r="J193" s="40" t="n"/>
      <c r="K193" s="39" t="n"/>
      <c r="L193" s="39" t="n"/>
      <c r="M193" s="39" t="n"/>
      <c r="N193" s="39" t="n"/>
      <c r="O193" s="40" t="n"/>
      <c r="P193" s="46" t="n"/>
      <c r="Q193" s="48" t="n"/>
      <c r="R193" s="40" t="n"/>
      <c r="S193" s="40" t="n"/>
      <c r="T193" s="39" t="n"/>
      <c r="U193" s="47" t="n"/>
      <c r="V193" s="39" t="n"/>
      <c r="W193" s="39" t="n"/>
      <c r="X193" s="39" t="n"/>
      <c r="Y193" s="39" t="n"/>
      <c r="Z193" s="40" t="n"/>
      <c r="AA193" s="40" t="n"/>
      <c r="AB193" s="46" t="n"/>
      <c r="AC193" s="39" t="n"/>
      <c r="AD193" s="39" t="n"/>
      <c r="AE193" s="39" t="n"/>
      <c r="AF193" s="39" t="n"/>
      <c r="AG193" s="39" t="n"/>
      <c r="AH193" s="40" t="n"/>
      <c r="AI193" s="42" t="n"/>
      <c r="AJ193" s="50" t="n"/>
      <c r="AK193" s="46" t="n"/>
      <c r="AL193" s="43" t="n"/>
      <c r="AM193" s="43" t="n"/>
      <c r="AN193" s="40" t="n"/>
      <c r="AO193" s="40" t="n"/>
      <c r="AP193" s="40" t="n"/>
      <c r="AQ193" s="40" t="n"/>
      <c r="AR193" s="40" t="n"/>
      <c r="AS193" s="47" t="n"/>
      <c r="AT193" s="40" t="n"/>
      <c r="AU193" s="40" t="n"/>
      <c r="AV193" s="40" t="n"/>
      <c r="AW193" s="40" t="n"/>
      <c r="AX193" s="47" t="n"/>
      <c r="AY193" s="39" t="n"/>
      <c r="AZ193" s="39" t="n"/>
      <c r="BA193" s="39" t="n"/>
      <c r="BB193" s="39" t="n"/>
      <c r="BC193" s="39" t="n"/>
      <c r="BD193" s="40" t="n"/>
      <c r="BE193" s="39" t="n"/>
      <c r="BF193" s="39" t="n"/>
      <c r="BG193" s="39" t="n"/>
      <c r="BH193" s="39" t="n"/>
      <c r="BI193" s="39" t="n"/>
      <c r="BJ193" s="39" t="n"/>
      <c r="BK193" s="39" t="n"/>
      <c r="BL193" s="39" t="n"/>
      <c r="BM193" s="39" t="n"/>
      <c r="BN193" s="39" t="n"/>
      <c r="BO193" s="39" t="n"/>
      <c r="BP193" s="40" t="n"/>
      <c r="BQ193" s="40" t="n"/>
      <c r="BR193" s="40" t="n"/>
      <c r="BS193" s="40" t="n"/>
      <c r="BT193" s="40" t="n"/>
      <c r="BU193" s="40" t="n"/>
      <c r="BV193" s="40" t="n"/>
      <c r="BW193" s="40" t="n"/>
      <c r="BX193" s="43" t="n"/>
      <c r="BY193" s="39" t="n"/>
      <c r="BZ193" s="39" t="n"/>
      <c r="CA193" s="39" t="n"/>
      <c r="CB193" s="39" t="n"/>
      <c r="CC193" s="39" t="n"/>
      <c r="CD193" s="39" t="n"/>
      <c r="CE193" s="39" t="n"/>
      <c r="CF193" s="39" t="n"/>
      <c r="CG193" s="47" t="n"/>
      <c r="CH193" s="47" t="n"/>
      <c r="CI193" s="47" t="n"/>
      <c r="CJ193" s="47" t="n"/>
    </row>
    <row r="194" ht="23" customHeight="1">
      <c r="A194" s="39" t="n"/>
      <c r="B194" s="39" t="n"/>
      <c r="C194" s="39" t="n"/>
      <c r="D194" s="40" t="n"/>
      <c r="E194" s="40" t="n"/>
      <c r="F194" s="39" t="n"/>
      <c r="G194" s="40" t="n"/>
      <c r="H194" s="39" t="n"/>
      <c r="I194" s="40" t="n"/>
      <c r="J194" s="40" t="n"/>
      <c r="K194" s="39" t="n"/>
      <c r="L194" s="39" t="n"/>
      <c r="M194" s="39" t="n"/>
      <c r="N194" s="39" t="n"/>
      <c r="O194" s="40" t="n"/>
      <c r="P194" s="46" t="n"/>
      <c r="Q194" s="48" t="n"/>
      <c r="R194" s="40" t="n"/>
      <c r="S194" s="40" t="n"/>
      <c r="T194" s="39" t="n"/>
      <c r="U194" s="47" t="n"/>
      <c r="V194" s="39" t="n"/>
      <c r="W194" s="39" t="n"/>
      <c r="X194" s="39" t="n"/>
      <c r="Y194" s="39" t="n"/>
      <c r="Z194" s="40" t="n"/>
      <c r="AA194" s="40" t="n"/>
      <c r="AB194" s="46" t="n"/>
      <c r="AC194" s="39" t="n"/>
      <c r="AD194" s="39" t="n"/>
      <c r="AE194" s="39" t="n"/>
      <c r="AF194" s="39" t="n"/>
      <c r="AG194" s="39" t="n"/>
      <c r="AH194" s="40" t="n"/>
      <c r="AI194" s="42" t="n"/>
      <c r="AJ194" s="50" t="n"/>
      <c r="AK194" s="46" t="n"/>
      <c r="AL194" s="43" t="n"/>
      <c r="AM194" s="43" t="n"/>
      <c r="AN194" s="40" t="n"/>
      <c r="AO194" s="40" t="n"/>
      <c r="AP194" s="40" t="n"/>
      <c r="AQ194" s="40" t="n"/>
      <c r="AR194" s="40" t="n"/>
      <c r="AS194" s="47" t="n"/>
      <c r="AT194" s="40" t="n"/>
      <c r="AU194" s="40" t="n"/>
      <c r="AV194" s="40" t="n"/>
      <c r="AW194" s="40" t="n"/>
      <c r="AX194" s="47" t="n"/>
      <c r="AY194" s="39" t="n"/>
      <c r="AZ194" s="39" t="n"/>
      <c r="BA194" s="39" t="n"/>
      <c r="BB194" s="39" t="n"/>
      <c r="BC194" s="39" t="n"/>
      <c r="BD194" s="40" t="n"/>
      <c r="BE194" s="39" t="n"/>
      <c r="BF194" s="39" t="n"/>
      <c r="BG194" s="39" t="n"/>
      <c r="BH194" s="39" t="n"/>
      <c r="BI194" s="39" t="n"/>
      <c r="BJ194" s="39" t="n"/>
      <c r="BK194" s="39" t="n"/>
      <c r="BL194" s="39" t="n"/>
      <c r="BM194" s="39" t="n"/>
      <c r="BN194" s="39" t="n"/>
      <c r="BO194" s="39" t="n"/>
      <c r="BP194" s="40" t="n"/>
      <c r="BQ194" s="40" t="n"/>
      <c r="BR194" s="40" t="n"/>
      <c r="BS194" s="40" t="n"/>
      <c r="BT194" s="40" t="n"/>
      <c r="BU194" s="40" t="n"/>
      <c r="BV194" s="40" t="n"/>
      <c r="BW194" s="40" t="n"/>
      <c r="BX194" s="43" t="n"/>
      <c r="BY194" s="39" t="n"/>
      <c r="BZ194" s="39" t="n"/>
      <c r="CA194" s="39" t="n"/>
      <c r="CB194" s="39" t="n"/>
      <c r="CC194" s="39" t="n"/>
      <c r="CD194" s="39" t="n"/>
      <c r="CE194" s="39" t="n"/>
      <c r="CF194" s="39" t="n"/>
      <c r="CG194" s="47" t="n"/>
      <c r="CH194" s="47" t="n"/>
      <c r="CI194" s="47" t="n"/>
      <c r="CJ194" s="47" t="n"/>
    </row>
    <row r="195" ht="23" customHeight="1">
      <c r="A195" s="39" t="n"/>
      <c r="B195" s="39" t="n"/>
      <c r="C195" s="39" t="n"/>
      <c r="D195" s="40" t="n"/>
      <c r="E195" s="40" t="n"/>
      <c r="F195" s="39" t="n"/>
      <c r="G195" s="40" t="n"/>
      <c r="H195" s="39" t="n"/>
      <c r="I195" s="40" t="n"/>
      <c r="J195" s="40" t="n"/>
      <c r="K195" s="39" t="n"/>
      <c r="L195" s="39" t="n"/>
      <c r="M195" s="39" t="n"/>
      <c r="N195" s="39" t="n"/>
      <c r="O195" s="40" t="n"/>
      <c r="P195" s="46" t="n"/>
      <c r="Q195" s="48" t="n"/>
      <c r="R195" s="40" t="n"/>
      <c r="S195" s="40" t="n"/>
      <c r="T195" s="39" t="n"/>
      <c r="U195" s="47" t="n"/>
      <c r="V195" s="39" t="n"/>
      <c r="W195" s="39" t="n"/>
      <c r="X195" s="39" t="n"/>
      <c r="Y195" s="39" t="n"/>
      <c r="Z195" s="40" t="n"/>
      <c r="AA195" s="40" t="n"/>
      <c r="AB195" s="46" t="n"/>
      <c r="AC195" s="39" t="n"/>
      <c r="AD195" s="39" t="n"/>
      <c r="AE195" s="39" t="n"/>
      <c r="AF195" s="39" t="n"/>
      <c r="AG195" s="39" t="n"/>
      <c r="AH195" s="40" t="n"/>
      <c r="AI195" s="42" t="n"/>
      <c r="AJ195" s="50" t="n"/>
      <c r="AK195" s="46" t="n"/>
      <c r="AL195" s="43" t="n"/>
      <c r="AM195" s="43" t="n"/>
      <c r="AN195" s="40" t="n"/>
      <c r="AO195" s="40" t="n"/>
      <c r="AP195" s="40" t="n"/>
      <c r="AQ195" s="40" t="n"/>
      <c r="AR195" s="40" t="n"/>
      <c r="AS195" s="47" t="n"/>
      <c r="AT195" s="40" t="n"/>
      <c r="AU195" s="40" t="n"/>
      <c r="AV195" s="40" t="n"/>
      <c r="AW195" s="40" t="n"/>
      <c r="AX195" s="47" t="n"/>
      <c r="AY195" s="39" t="n"/>
      <c r="AZ195" s="39" t="n"/>
      <c r="BA195" s="39" t="n"/>
      <c r="BB195" s="39" t="n"/>
      <c r="BC195" s="39" t="n"/>
      <c r="BD195" s="40" t="n"/>
      <c r="BE195" s="39" t="n"/>
      <c r="BF195" s="39" t="n"/>
      <c r="BG195" s="39" t="n"/>
      <c r="BH195" s="39" t="n"/>
      <c r="BI195" s="39" t="n"/>
      <c r="BJ195" s="39" t="n"/>
      <c r="BK195" s="39" t="n"/>
      <c r="BL195" s="39" t="n"/>
      <c r="BM195" s="39" t="n"/>
      <c r="BN195" s="39" t="n"/>
      <c r="BO195" s="39" t="n"/>
      <c r="BP195" s="40" t="n"/>
      <c r="BQ195" s="40" t="n"/>
      <c r="BR195" s="40" t="n"/>
      <c r="BS195" s="40" t="n"/>
      <c r="BT195" s="40" t="n"/>
      <c r="BU195" s="40" t="n"/>
      <c r="BV195" s="40" t="n"/>
      <c r="BW195" s="40" t="n"/>
      <c r="BX195" s="43" t="n"/>
      <c r="BY195" s="39" t="n"/>
      <c r="BZ195" s="39" t="n"/>
      <c r="CA195" s="39" t="n"/>
      <c r="CB195" s="39" t="n"/>
      <c r="CC195" s="39" t="n"/>
      <c r="CD195" s="39" t="n"/>
      <c r="CE195" s="39" t="n"/>
      <c r="CF195" s="39" t="n"/>
      <c r="CG195" s="47" t="n"/>
      <c r="CH195" s="47" t="n"/>
      <c r="CI195" s="47" t="n"/>
      <c r="CJ195" s="47" t="n"/>
    </row>
    <row r="196" ht="23" customHeight="1">
      <c r="A196" s="39" t="n"/>
      <c r="B196" s="39" t="n"/>
      <c r="C196" s="39" t="n"/>
      <c r="D196" s="40" t="n"/>
      <c r="E196" s="40" t="n"/>
      <c r="F196" s="39" t="n"/>
      <c r="G196" s="40" t="n"/>
      <c r="H196" s="39" t="n"/>
      <c r="I196" s="40" t="n"/>
      <c r="J196" s="40" t="n"/>
      <c r="K196" s="39" t="n"/>
      <c r="L196" s="39" t="n"/>
      <c r="M196" s="39" t="n"/>
      <c r="N196" s="39" t="n"/>
      <c r="O196" s="40" t="n"/>
      <c r="P196" s="46" t="n"/>
      <c r="Q196" s="48" t="n"/>
      <c r="R196" s="40" t="n"/>
      <c r="S196" s="40" t="n"/>
      <c r="T196" s="39" t="n"/>
      <c r="U196" s="47" t="n"/>
      <c r="V196" s="39" t="n"/>
      <c r="W196" s="39" t="n"/>
      <c r="X196" s="39" t="n"/>
      <c r="Y196" s="39" t="n"/>
      <c r="Z196" s="40" t="n"/>
      <c r="AA196" s="40" t="n"/>
      <c r="AB196" s="46" t="n"/>
      <c r="AC196" s="39" t="n"/>
      <c r="AD196" s="39" t="n"/>
      <c r="AE196" s="39" t="n"/>
      <c r="AF196" s="39" t="n"/>
      <c r="AG196" s="39" t="n"/>
      <c r="AH196" s="40" t="n"/>
      <c r="AI196" s="42" t="n"/>
      <c r="AJ196" s="50" t="n"/>
      <c r="AK196" s="46" t="n"/>
      <c r="AL196" s="43" t="n"/>
      <c r="AM196" s="43" t="n"/>
      <c r="AN196" s="40" t="n"/>
      <c r="AO196" s="40" t="n"/>
      <c r="AP196" s="40" t="n"/>
      <c r="AQ196" s="40" t="n"/>
      <c r="AR196" s="40" t="n"/>
      <c r="AS196" s="47" t="n"/>
      <c r="AT196" s="40" t="n"/>
      <c r="AU196" s="40" t="n"/>
      <c r="AV196" s="40" t="n"/>
      <c r="AW196" s="40" t="n"/>
      <c r="AX196" s="47" t="n"/>
      <c r="AY196" s="39" t="n"/>
      <c r="AZ196" s="39" t="n"/>
      <c r="BA196" s="39" t="n"/>
      <c r="BB196" s="39" t="n"/>
      <c r="BC196" s="39" t="n"/>
      <c r="BD196" s="40" t="n"/>
      <c r="BE196" s="39" t="n"/>
      <c r="BF196" s="39" t="n"/>
      <c r="BG196" s="39" t="n"/>
      <c r="BH196" s="39" t="n"/>
      <c r="BI196" s="39" t="n"/>
      <c r="BJ196" s="39" t="n"/>
      <c r="BK196" s="39" t="n"/>
      <c r="BL196" s="39" t="n"/>
      <c r="BM196" s="39" t="n"/>
      <c r="BN196" s="39" t="n"/>
      <c r="BO196" s="39" t="n"/>
      <c r="BP196" s="40" t="n"/>
      <c r="BQ196" s="40" t="n"/>
      <c r="BR196" s="40" t="n"/>
      <c r="BS196" s="40" t="n"/>
      <c r="BT196" s="40" t="n"/>
      <c r="BU196" s="40" t="n"/>
      <c r="BV196" s="40" t="n"/>
      <c r="BW196" s="40" t="n"/>
      <c r="BX196" s="43" t="n"/>
      <c r="BY196" s="39" t="n"/>
      <c r="BZ196" s="39" t="n"/>
      <c r="CA196" s="39" t="n"/>
      <c r="CB196" s="39" t="n"/>
      <c r="CC196" s="39" t="n"/>
      <c r="CD196" s="39" t="n"/>
      <c r="CE196" s="39" t="n"/>
      <c r="CF196" s="39" t="n"/>
      <c r="CG196" s="47" t="n"/>
      <c r="CH196" s="47" t="n"/>
      <c r="CI196" s="47" t="n"/>
      <c r="CJ196" s="47" t="n"/>
    </row>
    <row r="197" ht="23" customHeight="1">
      <c r="A197" s="39" t="n"/>
      <c r="B197" s="39" t="n"/>
      <c r="C197" s="39" t="n"/>
      <c r="D197" s="40" t="n"/>
      <c r="E197" s="40" t="n"/>
      <c r="F197" s="39" t="n"/>
      <c r="G197" s="40" t="n"/>
      <c r="H197" s="39" t="n"/>
      <c r="I197" s="40" t="n"/>
      <c r="J197" s="40" t="n"/>
      <c r="K197" s="39" t="n"/>
      <c r="L197" s="39" t="n"/>
      <c r="M197" s="39" t="n"/>
      <c r="N197" s="39" t="n"/>
      <c r="O197" s="40" t="n"/>
      <c r="P197" s="46" t="n"/>
      <c r="Q197" s="48" t="n"/>
      <c r="R197" s="40" t="n"/>
      <c r="S197" s="40" t="n"/>
      <c r="T197" s="39" t="n"/>
      <c r="U197" s="47" t="n"/>
      <c r="V197" s="39" t="n"/>
      <c r="W197" s="39" t="n"/>
      <c r="X197" s="39" t="n"/>
      <c r="Y197" s="39" t="n"/>
      <c r="Z197" s="40" t="n"/>
      <c r="AA197" s="40" t="n"/>
      <c r="AB197" s="46" t="n"/>
      <c r="AC197" s="39" t="n"/>
      <c r="AD197" s="39" t="n"/>
      <c r="AE197" s="39" t="n"/>
      <c r="AF197" s="39" t="n"/>
      <c r="AG197" s="39" t="n"/>
      <c r="AH197" s="40" t="n"/>
      <c r="AI197" s="42" t="n"/>
      <c r="AJ197" s="50" t="n"/>
      <c r="AK197" s="46" t="n"/>
      <c r="AL197" s="43" t="n"/>
      <c r="AM197" s="43" t="n"/>
      <c r="AN197" s="40" t="n"/>
      <c r="AO197" s="40" t="n"/>
      <c r="AP197" s="40" t="n"/>
      <c r="AQ197" s="40" t="n"/>
      <c r="AR197" s="40" t="n"/>
      <c r="AS197" s="47" t="n"/>
      <c r="AT197" s="40" t="n"/>
      <c r="AU197" s="40" t="n"/>
      <c r="AV197" s="40" t="n"/>
      <c r="AW197" s="40" t="n"/>
      <c r="AX197" s="47" t="n"/>
      <c r="AY197" s="39" t="n"/>
      <c r="AZ197" s="39" t="n"/>
      <c r="BA197" s="39" t="n"/>
      <c r="BB197" s="39" t="n"/>
      <c r="BC197" s="39" t="n"/>
      <c r="BD197" s="40" t="n"/>
      <c r="BE197" s="39" t="n"/>
      <c r="BF197" s="39" t="n"/>
      <c r="BG197" s="39" t="n"/>
      <c r="BH197" s="39" t="n"/>
      <c r="BI197" s="39" t="n"/>
      <c r="BJ197" s="39" t="n"/>
      <c r="BK197" s="39" t="n"/>
      <c r="BL197" s="39" t="n"/>
      <c r="BM197" s="39" t="n"/>
      <c r="BN197" s="39" t="n"/>
      <c r="BO197" s="39" t="n"/>
      <c r="BP197" s="40" t="n"/>
      <c r="BQ197" s="40" t="n"/>
      <c r="BR197" s="40" t="n"/>
      <c r="BS197" s="40" t="n"/>
      <c r="BT197" s="40" t="n"/>
      <c r="BU197" s="40" t="n"/>
      <c r="BV197" s="40" t="n"/>
      <c r="BW197" s="40" t="n"/>
      <c r="BX197" s="43" t="n"/>
      <c r="BY197" s="39" t="n"/>
      <c r="BZ197" s="39" t="n"/>
      <c r="CA197" s="39" t="n"/>
      <c r="CB197" s="39" t="n"/>
      <c r="CC197" s="39" t="n"/>
      <c r="CD197" s="39" t="n"/>
      <c r="CE197" s="39" t="n"/>
      <c r="CF197" s="39" t="n"/>
      <c r="CG197" s="47" t="n"/>
      <c r="CH197" s="47" t="n"/>
      <c r="CI197" s="47" t="n"/>
      <c r="CJ197" s="47" t="n"/>
    </row>
    <row r="198" ht="23" customHeight="1">
      <c r="A198" s="39" t="n"/>
      <c r="B198" s="39" t="n"/>
      <c r="C198" s="39" t="n"/>
      <c r="D198" s="40" t="n"/>
      <c r="E198" s="40" t="n"/>
      <c r="F198" s="39" t="n"/>
      <c r="G198" s="40" t="n"/>
      <c r="H198" s="39" t="n"/>
      <c r="I198" s="40" t="n"/>
      <c r="J198" s="40" t="n"/>
      <c r="K198" s="39" t="n"/>
      <c r="L198" s="39" t="n"/>
      <c r="M198" s="39" t="n"/>
      <c r="N198" s="39" t="n"/>
      <c r="O198" s="40" t="n"/>
      <c r="P198" s="46" t="n"/>
      <c r="Q198" s="48" t="n"/>
      <c r="R198" s="40" t="n"/>
      <c r="S198" s="40" t="n"/>
      <c r="T198" s="39" t="n"/>
      <c r="U198" s="47" t="n"/>
      <c r="V198" s="39" t="n"/>
      <c r="W198" s="39" t="n"/>
      <c r="X198" s="39" t="n"/>
      <c r="Y198" s="39" t="n"/>
      <c r="Z198" s="40" t="n"/>
      <c r="AA198" s="40" t="n"/>
      <c r="AB198" s="46" t="n"/>
      <c r="AC198" s="39" t="n"/>
      <c r="AD198" s="39" t="n"/>
      <c r="AE198" s="39" t="n"/>
      <c r="AF198" s="39" t="n"/>
      <c r="AG198" s="39" t="n"/>
      <c r="AH198" s="40" t="n"/>
      <c r="AI198" s="42" t="n"/>
      <c r="AJ198" s="50" t="n"/>
      <c r="AK198" s="46" t="n"/>
      <c r="AL198" s="43" t="n"/>
      <c r="AM198" s="43" t="n"/>
      <c r="AN198" s="40" t="n"/>
      <c r="AO198" s="40" t="n"/>
      <c r="AP198" s="40" t="n"/>
      <c r="AQ198" s="40" t="n"/>
      <c r="AR198" s="40" t="n"/>
      <c r="AS198" s="47" t="n"/>
      <c r="AT198" s="40" t="n"/>
      <c r="AU198" s="40" t="n"/>
      <c r="AV198" s="40" t="n"/>
      <c r="AW198" s="40" t="n"/>
      <c r="AX198" s="47" t="n"/>
      <c r="AY198" s="39" t="n"/>
      <c r="AZ198" s="39" t="n"/>
      <c r="BA198" s="39" t="n"/>
      <c r="BB198" s="39" t="n"/>
      <c r="BC198" s="39" t="n"/>
      <c r="BD198" s="40" t="n"/>
      <c r="BE198" s="39" t="n"/>
      <c r="BF198" s="39" t="n"/>
      <c r="BG198" s="39" t="n"/>
      <c r="BH198" s="39" t="n"/>
      <c r="BI198" s="39" t="n"/>
      <c r="BJ198" s="39" t="n"/>
      <c r="BK198" s="39" t="n"/>
      <c r="BL198" s="39" t="n"/>
      <c r="BM198" s="39" t="n"/>
      <c r="BN198" s="39" t="n"/>
      <c r="BO198" s="39" t="n"/>
      <c r="BP198" s="40" t="n"/>
      <c r="BQ198" s="40" t="n"/>
      <c r="BR198" s="40" t="n"/>
      <c r="BS198" s="40" t="n"/>
      <c r="BT198" s="40" t="n"/>
      <c r="BU198" s="40" t="n"/>
      <c r="BV198" s="40" t="n"/>
      <c r="BW198" s="40" t="n"/>
      <c r="BX198" s="43" t="n"/>
      <c r="BY198" s="39" t="n"/>
      <c r="BZ198" s="39" t="n"/>
      <c r="CA198" s="39" t="n"/>
      <c r="CB198" s="39" t="n"/>
      <c r="CC198" s="39" t="n"/>
      <c r="CD198" s="39" t="n"/>
      <c r="CE198" s="39" t="n"/>
      <c r="CF198" s="39" t="n"/>
      <c r="CG198" s="47" t="n"/>
      <c r="CH198" s="47" t="n"/>
      <c r="CI198" s="47" t="n"/>
      <c r="CJ198" s="47" t="n"/>
    </row>
    <row r="199" ht="23" customHeight="1">
      <c r="A199" s="39" t="n"/>
      <c r="B199" s="39" t="n"/>
      <c r="C199" s="39" t="n"/>
      <c r="D199" s="40" t="n"/>
      <c r="E199" s="40" t="n"/>
      <c r="F199" s="39" t="n"/>
      <c r="G199" s="40" t="n"/>
      <c r="H199" s="39" t="n"/>
      <c r="I199" s="40" t="n"/>
      <c r="J199" s="40" t="n"/>
      <c r="K199" s="39" t="n"/>
      <c r="L199" s="39" t="n"/>
      <c r="M199" s="39" t="n"/>
      <c r="N199" s="39" t="n"/>
      <c r="O199" s="40" t="n"/>
      <c r="P199" s="46" t="n"/>
      <c r="Q199" s="48" t="n"/>
      <c r="R199" s="40" t="n"/>
      <c r="S199" s="40" t="n"/>
      <c r="T199" s="39" t="n"/>
      <c r="U199" s="47" t="n"/>
      <c r="V199" s="39" t="n"/>
      <c r="W199" s="39" t="n"/>
      <c r="X199" s="39" t="n"/>
      <c r="Y199" s="39" t="n"/>
      <c r="Z199" s="40" t="n"/>
      <c r="AA199" s="40" t="n"/>
      <c r="AB199" s="46" t="n"/>
      <c r="AC199" s="39" t="n"/>
      <c r="AD199" s="39" t="n"/>
      <c r="AE199" s="39" t="n"/>
      <c r="AF199" s="39" t="n"/>
      <c r="AG199" s="39" t="n"/>
      <c r="AH199" s="40" t="n"/>
      <c r="AI199" s="42" t="n"/>
      <c r="AJ199" s="50" t="n"/>
      <c r="AK199" s="46" t="n"/>
      <c r="AL199" s="43" t="n"/>
      <c r="AM199" s="43" t="n"/>
      <c r="AN199" s="40" t="n"/>
      <c r="AO199" s="40" t="n"/>
      <c r="AP199" s="40" t="n"/>
      <c r="AQ199" s="40" t="n"/>
      <c r="AR199" s="40" t="n"/>
      <c r="AS199" s="47" t="n"/>
      <c r="AT199" s="40" t="n"/>
      <c r="AU199" s="40" t="n"/>
      <c r="AV199" s="40" t="n"/>
      <c r="AW199" s="40" t="n"/>
      <c r="AX199" s="47" t="n"/>
      <c r="AY199" s="39" t="n"/>
      <c r="AZ199" s="39" t="n"/>
      <c r="BA199" s="39" t="n"/>
      <c r="BB199" s="39" t="n"/>
      <c r="BC199" s="39" t="n"/>
      <c r="BD199" s="40" t="n"/>
      <c r="BE199" s="39" t="n"/>
      <c r="BF199" s="39" t="n"/>
      <c r="BG199" s="39" t="n"/>
      <c r="BH199" s="39" t="n"/>
      <c r="BI199" s="39" t="n"/>
      <c r="BJ199" s="39" t="n"/>
      <c r="BK199" s="39" t="n"/>
      <c r="BL199" s="39" t="n"/>
      <c r="BM199" s="39" t="n"/>
      <c r="BN199" s="39" t="n"/>
      <c r="BO199" s="39" t="n"/>
      <c r="BP199" s="40" t="n"/>
      <c r="BQ199" s="40" t="n"/>
      <c r="BR199" s="40" t="n"/>
      <c r="BS199" s="40" t="n"/>
      <c r="BT199" s="40" t="n"/>
      <c r="BU199" s="40" t="n"/>
      <c r="BV199" s="40" t="n"/>
      <c r="BW199" s="40" t="n"/>
      <c r="BX199" s="43" t="n"/>
      <c r="BY199" s="39" t="n"/>
      <c r="BZ199" s="39" t="n"/>
      <c r="CA199" s="39" t="n"/>
      <c r="CB199" s="39" t="n"/>
      <c r="CC199" s="39" t="n"/>
      <c r="CD199" s="39" t="n"/>
      <c r="CE199" s="39" t="n"/>
      <c r="CF199" s="39" t="n"/>
      <c r="CG199" s="47" t="n"/>
      <c r="CH199" s="47" t="n"/>
      <c r="CI199" s="47" t="n"/>
      <c r="CJ199" s="47" t="n"/>
    </row>
    <row r="200" ht="23" customHeight="1">
      <c r="A200" s="39" t="n"/>
      <c r="B200" s="39" t="n"/>
      <c r="C200" s="39" t="n"/>
      <c r="D200" s="40" t="n"/>
      <c r="E200" s="40" t="n"/>
      <c r="F200" s="39" t="n"/>
      <c r="G200" s="40" t="n"/>
      <c r="H200" s="39" t="n"/>
      <c r="I200" s="40" t="n"/>
      <c r="J200" s="40" t="n"/>
      <c r="K200" s="39" t="n"/>
      <c r="L200" s="39" t="n"/>
      <c r="M200" s="39" t="n"/>
      <c r="N200" s="39" t="n"/>
      <c r="O200" s="40" t="n"/>
      <c r="P200" s="46" t="n"/>
      <c r="Q200" s="48" t="n"/>
      <c r="R200" s="40" t="n"/>
      <c r="S200" s="40" t="n"/>
      <c r="T200" s="39" t="n"/>
      <c r="U200" s="47" t="n"/>
      <c r="V200" s="39" t="n"/>
      <c r="W200" s="39" t="n"/>
      <c r="X200" s="39" t="n"/>
      <c r="Y200" s="39" t="n"/>
      <c r="Z200" s="40" t="n"/>
      <c r="AA200" s="40" t="n"/>
      <c r="AB200" s="46" t="n"/>
      <c r="AC200" s="39" t="n"/>
      <c r="AD200" s="39" t="n"/>
      <c r="AE200" s="39" t="n"/>
      <c r="AF200" s="39" t="n"/>
      <c r="AG200" s="39" t="n"/>
      <c r="AH200" s="40" t="n"/>
      <c r="AI200" s="42" t="n"/>
      <c r="AJ200" s="50" t="n"/>
      <c r="AK200" s="46" t="n"/>
      <c r="AL200" s="43" t="n"/>
      <c r="AM200" s="43" t="n"/>
      <c r="AN200" s="40" t="n"/>
      <c r="AO200" s="40" t="n"/>
      <c r="AP200" s="40" t="n"/>
      <c r="AQ200" s="40" t="n"/>
      <c r="AR200" s="40" t="n"/>
      <c r="AS200" s="47" t="n"/>
      <c r="AT200" s="40" t="n"/>
      <c r="AU200" s="40" t="n"/>
      <c r="AV200" s="40" t="n"/>
      <c r="AW200" s="40" t="n"/>
      <c r="AX200" s="47" t="n"/>
      <c r="AY200" s="39" t="n"/>
      <c r="AZ200" s="39" t="n"/>
      <c r="BA200" s="39" t="n"/>
      <c r="BB200" s="39" t="n"/>
      <c r="BC200" s="39" t="n"/>
      <c r="BD200" s="40" t="n"/>
      <c r="BE200" s="39" t="n"/>
      <c r="BF200" s="39" t="n"/>
      <c r="BG200" s="39" t="n"/>
      <c r="BH200" s="39" t="n"/>
      <c r="BI200" s="39" t="n"/>
      <c r="BJ200" s="39" t="n"/>
      <c r="BK200" s="39" t="n"/>
      <c r="BL200" s="39" t="n"/>
      <c r="BM200" s="39" t="n"/>
      <c r="BN200" s="39" t="n"/>
      <c r="BO200" s="39" t="n"/>
      <c r="BP200" s="40" t="n"/>
      <c r="BQ200" s="40" t="n"/>
      <c r="BR200" s="40" t="n"/>
      <c r="BS200" s="40" t="n"/>
      <c r="BT200" s="40" t="n"/>
      <c r="BU200" s="40" t="n"/>
      <c r="BV200" s="40" t="n"/>
      <c r="BW200" s="40" t="n"/>
      <c r="BX200" s="43" t="n"/>
      <c r="BY200" s="39" t="n"/>
      <c r="BZ200" s="39" t="n"/>
      <c r="CA200" s="39" t="n"/>
      <c r="CB200" s="39" t="n"/>
      <c r="CC200" s="39" t="n"/>
      <c r="CD200" s="39" t="n"/>
      <c r="CE200" s="39" t="n"/>
      <c r="CF200" s="39" t="n"/>
      <c r="CG200" s="47" t="n"/>
      <c r="CH200" s="47" t="n"/>
      <c r="CI200" s="47" t="n"/>
      <c r="CJ200" s="47" t="n"/>
    </row>
    <row r="201" ht="23" customHeight="1">
      <c r="A201" s="39" t="n"/>
      <c r="B201" s="39" t="n"/>
      <c r="C201" s="39" t="n"/>
      <c r="D201" s="40" t="n"/>
      <c r="E201" s="40" t="n"/>
      <c r="F201" s="39" t="n"/>
      <c r="G201" s="40" t="n"/>
      <c r="H201" s="39" t="n"/>
      <c r="I201" s="40" t="n"/>
      <c r="J201" s="40" t="n"/>
      <c r="K201" s="39" t="n"/>
      <c r="L201" s="39" t="n"/>
      <c r="M201" s="39" t="n"/>
      <c r="N201" s="39" t="n"/>
      <c r="O201" s="40" t="n"/>
      <c r="P201" s="46" t="n"/>
      <c r="Q201" s="48" t="n"/>
      <c r="R201" s="40" t="n"/>
      <c r="S201" s="40" t="n"/>
      <c r="T201" s="39" t="n"/>
      <c r="U201" s="47" t="n"/>
      <c r="V201" s="39" t="n"/>
      <c r="W201" s="39" t="n"/>
      <c r="X201" s="39" t="n"/>
      <c r="Y201" s="39" t="n"/>
      <c r="Z201" s="40" t="n"/>
      <c r="AA201" s="40" t="n"/>
      <c r="AB201" s="46" t="n"/>
      <c r="AC201" s="39" t="n"/>
      <c r="AD201" s="39" t="n"/>
      <c r="AE201" s="39" t="n"/>
      <c r="AF201" s="39" t="n"/>
      <c r="AG201" s="39" t="n"/>
      <c r="AH201" s="40" t="n"/>
      <c r="AI201" s="42" t="n"/>
      <c r="AJ201" s="50" t="n"/>
      <c r="AK201" s="46" t="n"/>
      <c r="AL201" s="43" t="n"/>
      <c r="AM201" s="43" t="n"/>
      <c r="AN201" s="40" t="n"/>
      <c r="AO201" s="40" t="n"/>
      <c r="AP201" s="40" t="n"/>
      <c r="AQ201" s="40" t="n"/>
      <c r="AR201" s="40" t="n"/>
      <c r="AS201" s="47" t="n"/>
      <c r="AT201" s="40" t="n"/>
      <c r="AU201" s="40" t="n"/>
      <c r="AV201" s="40" t="n"/>
      <c r="AW201" s="40" t="n"/>
      <c r="AX201" s="47" t="n"/>
      <c r="AY201" s="39" t="n"/>
      <c r="AZ201" s="39" t="n"/>
      <c r="BA201" s="39" t="n"/>
      <c r="BB201" s="39" t="n"/>
      <c r="BC201" s="39" t="n"/>
      <c r="BD201" s="40" t="n"/>
      <c r="BE201" s="39" t="n"/>
      <c r="BF201" s="39" t="n"/>
      <c r="BG201" s="39" t="n"/>
      <c r="BH201" s="39" t="n"/>
      <c r="BI201" s="39" t="n"/>
      <c r="BJ201" s="39" t="n"/>
      <c r="BK201" s="39" t="n"/>
      <c r="BL201" s="39" t="n"/>
      <c r="BM201" s="39" t="n"/>
      <c r="BN201" s="39" t="n"/>
      <c r="BO201" s="39" t="n"/>
      <c r="BP201" s="40" t="n"/>
      <c r="BQ201" s="40" t="n"/>
      <c r="BR201" s="40" t="n"/>
      <c r="BS201" s="40" t="n"/>
      <c r="BT201" s="40" t="n"/>
      <c r="BU201" s="40" t="n"/>
      <c r="BV201" s="40" t="n"/>
      <c r="BW201" s="40" t="n"/>
      <c r="BX201" s="43" t="n"/>
      <c r="BY201" s="39" t="n"/>
      <c r="BZ201" s="39" t="n"/>
      <c r="CA201" s="39" t="n"/>
      <c r="CB201" s="39" t="n"/>
      <c r="CC201" s="39" t="n"/>
      <c r="CD201" s="39" t="n"/>
      <c r="CE201" s="39" t="n"/>
      <c r="CF201" s="39" t="n"/>
      <c r="CG201" s="47" t="n"/>
      <c r="CH201" s="47" t="n"/>
      <c r="CI201" s="47" t="n"/>
      <c r="CJ201" s="47" t="n"/>
    </row>
    <row r="202" ht="23" customHeight="1">
      <c r="A202" s="39" t="n"/>
      <c r="B202" s="39" t="n"/>
      <c r="C202" s="39" t="n"/>
      <c r="D202" s="40" t="n"/>
      <c r="E202" s="40" t="n"/>
      <c r="F202" s="39" t="n"/>
      <c r="G202" s="40" t="n"/>
      <c r="H202" s="39" t="n"/>
      <c r="I202" s="40" t="n"/>
      <c r="J202" s="40" t="n"/>
      <c r="K202" s="39" t="n"/>
      <c r="L202" s="39" t="n"/>
      <c r="M202" s="39" t="n"/>
      <c r="N202" s="39" t="n"/>
      <c r="O202" s="40" t="n"/>
      <c r="P202" s="46" t="n"/>
      <c r="Q202" s="48" t="n"/>
      <c r="R202" s="40" t="n"/>
      <c r="S202" s="40" t="n"/>
      <c r="T202" s="39" t="n"/>
      <c r="U202" s="47" t="n"/>
      <c r="V202" s="39" t="n"/>
      <c r="W202" s="39" t="n"/>
      <c r="X202" s="39" t="n"/>
      <c r="Y202" s="39" t="n"/>
      <c r="Z202" s="40" t="n"/>
      <c r="AA202" s="40" t="n"/>
      <c r="AB202" s="46" t="n"/>
      <c r="AC202" s="39" t="n"/>
      <c r="AD202" s="39" t="n"/>
      <c r="AE202" s="39" t="n"/>
      <c r="AF202" s="39" t="n"/>
      <c r="AG202" s="39" t="n"/>
      <c r="AH202" s="40" t="n"/>
      <c r="AI202" s="42" t="n"/>
      <c r="AJ202" s="50" t="n"/>
      <c r="AK202" s="46" t="n"/>
      <c r="AL202" s="43" t="n"/>
      <c r="AM202" s="43" t="n"/>
      <c r="AN202" s="40" t="n"/>
      <c r="AO202" s="40" t="n"/>
      <c r="AP202" s="40" t="n"/>
      <c r="AQ202" s="40" t="n"/>
      <c r="AR202" s="40" t="n"/>
      <c r="AS202" s="47" t="n"/>
      <c r="AT202" s="40" t="n"/>
      <c r="AU202" s="40" t="n"/>
      <c r="AV202" s="40" t="n"/>
      <c r="AW202" s="40" t="n"/>
      <c r="AX202" s="47" t="n"/>
      <c r="AY202" s="39" t="n"/>
      <c r="AZ202" s="39" t="n"/>
      <c r="BA202" s="39" t="n"/>
      <c r="BB202" s="39" t="n"/>
      <c r="BC202" s="39" t="n"/>
      <c r="BD202" s="40" t="n"/>
      <c r="BE202" s="39" t="n"/>
      <c r="BF202" s="39" t="n"/>
      <c r="BG202" s="39" t="n"/>
      <c r="BH202" s="39" t="n"/>
      <c r="BI202" s="39" t="n"/>
      <c r="BJ202" s="39" t="n"/>
      <c r="BK202" s="39" t="n"/>
      <c r="BL202" s="39" t="n"/>
      <c r="BM202" s="39" t="n"/>
      <c r="BN202" s="39" t="n"/>
      <c r="BO202" s="39" t="n"/>
      <c r="BP202" s="40" t="n"/>
      <c r="BQ202" s="40" t="n"/>
      <c r="BR202" s="40" t="n"/>
      <c r="BS202" s="40" t="n"/>
      <c r="BT202" s="40" t="n"/>
      <c r="BU202" s="40" t="n"/>
      <c r="BV202" s="40" t="n"/>
      <c r="BW202" s="40" t="n"/>
      <c r="BX202" s="43" t="n"/>
      <c r="BY202" s="39" t="n"/>
      <c r="BZ202" s="39" t="n"/>
      <c r="CA202" s="39" t="n"/>
      <c r="CB202" s="39" t="n"/>
      <c r="CC202" s="39" t="n"/>
      <c r="CD202" s="39" t="n"/>
      <c r="CE202" s="39" t="n"/>
      <c r="CF202" s="39" t="n"/>
      <c r="CG202" s="47" t="n"/>
      <c r="CH202" s="47" t="n"/>
      <c r="CI202" s="47" t="n"/>
      <c r="CJ202" s="47" t="n"/>
    </row>
    <row r="203" ht="23" customHeight="1">
      <c r="A203" s="39" t="n"/>
      <c r="B203" s="39" t="n"/>
      <c r="C203" s="39" t="n"/>
      <c r="D203" s="40" t="n"/>
      <c r="E203" s="40" t="n"/>
      <c r="F203" s="39" t="n"/>
      <c r="G203" s="40" t="n"/>
      <c r="H203" s="39" t="n"/>
      <c r="I203" s="40" t="n"/>
      <c r="J203" s="40" t="n"/>
      <c r="K203" s="39" t="n"/>
      <c r="L203" s="39" t="n"/>
      <c r="M203" s="39" t="n"/>
      <c r="N203" s="39" t="n"/>
      <c r="O203" s="40" t="n"/>
      <c r="P203" s="46" t="n"/>
      <c r="Q203" s="48" t="n"/>
      <c r="R203" s="40" t="n"/>
      <c r="S203" s="40" t="n"/>
      <c r="T203" s="39" t="n"/>
      <c r="U203" s="47" t="n"/>
      <c r="V203" s="39" t="n"/>
      <c r="W203" s="39" t="n"/>
      <c r="X203" s="39" t="n"/>
      <c r="Y203" s="39" t="n"/>
      <c r="Z203" s="40" t="n"/>
      <c r="AA203" s="40" t="n"/>
      <c r="AB203" s="46" t="n"/>
      <c r="AC203" s="39" t="n"/>
      <c r="AD203" s="39" t="n"/>
      <c r="AE203" s="39" t="n"/>
      <c r="AF203" s="39" t="n"/>
      <c r="AG203" s="39" t="n"/>
      <c r="AH203" s="40" t="n"/>
      <c r="AI203" s="42" t="n"/>
      <c r="AJ203" s="50" t="n"/>
      <c r="AK203" s="46" t="n"/>
      <c r="AL203" s="43" t="n"/>
      <c r="AM203" s="43" t="n"/>
      <c r="AN203" s="40" t="n"/>
      <c r="AO203" s="40" t="n"/>
      <c r="AP203" s="40" t="n"/>
      <c r="AQ203" s="40" t="n"/>
      <c r="AR203" s="40" t="n"/>
      <c r="AS203" s="47" t="n"/>
      <c r="AT203" s="40" t="n"/>
      <c r="AU203" s="40" t="n"/>
      <c r="AV203" s="40" t="n"/>
      <c r="AW203" s="40" t="n"/>
      <c r="AX203" s="47" t="n"/>
      <c r="AY203" s="39" t="n"/>
      <c r="AZ203" s="39" t="n"/>
      <c r="BA203" s="39" t="n"/>
      <c r="BB203" s="39" t="n"/>
      <c r="BC203" s="39" t="n"/>
      <c r="BD203" s="40" t="n"/>
      <c r="BE203" s="39" t="n"/>
      <c r="BF203" s="39" t="n"/>
      <c r="BG203" s="39" t="n"/>
      <c r="BH203" s="39" t="n"/>
      <c r="BI203" s="39" t="n"/>
      <c r="BJ203" s="39" t="n"/>
      <c r="BK203" s="39" t="n"/>
      <c r="BL203" s="39" t="n"/>
      <c r="BM203" s="39" t="n"/>
      <c r="BN203" s="39" t="n"/>
      <c r="BO203" s="39" t="n"/>
      <c r="BP203" s="40" t="n"/>
      <c r="BQ203" s="40" t="n"/>
      <c r="BR203" s="40" t="n"/>
      <c r="BS203" s="40" t="n"/>
      <c r="BT203" s="40" t="n"/>
      <c r="BU203" s="40" t="n"/>
      <c r="BV203" s="40" t="n"/>
      <c r="BW203" s="40" t="n"/>
      <c r="BX203" s="43" t="n"/>
      <c r="BY203" s="39" t="n"/>
      <c r="BZ203" s="39" t="n"/>
      <c r="CA203" s="39" t="n"/>
      <c r="CB203" s="39" t="n"/>
      <c r="CC203" s="39" t="n"/>
      <c r="CD203" s="39" t="n"/>
      <c r="CE203" s="39" t="n"/>
      <c r="CF203" s="39" t="n"/>
      <c r="CG203" s="47" t="n"/>
      <c r="CH203" s="47" t="n"/>
      <c r="CI203" s="47" t="n"/>
      <c r="CJ203" s="47" t="n"/>
    </row>
    <row r="204" ht="23" customHeight="1">
      <c r="A204" s="39" t="n"/>
      <c r="B204" s="39" t="n"/>
      <c r="C204" s="39" t="n"/>
      <c r="D204" s="40" t="n"/>
      <c r="E204" s="40" t="n"/>
      <c r="F204" s="39" t="n"/>
      <c r="G204" s="40" t="n"/>
      <c r="H204" s="39" t="n"/>
      <c r="I204" s="40" t="n"/>
      <c r="J204" s="40" t="n"/>
      <c r="K204" s="39" t="n"/>
      <c r="L204" s="39" t="n"/>
      <c r="M204" s="39" t="n"/>
      <c r="N204" s="39" t="n"/>
      <c r="O204" s="40" t="n"/>
      <c r="P204" s="46" t="n"/>
      <c r="Q204" s="48" t="n"/>
      <c r="R204" s="40" t="n"/>
      <c r="S204" s="40" t="n"/>
      <c r="T204" s="39" t="n"/>
      <c r="U204" s="47" t="n"/>
      <c r="V204" s="39" t="n"/>
      <c r="W204" s="39" t="n"/>
      <c r="X204" s="39" t="n"/>
      <c r="Y204" s="39" t="n"/>
      <c r="Z204" s="40" t="n"/>
      <c r="AA204" s="40" t="n"/>
      <c r="AB204" s="46" t="n"/>
      <c r="AC204" s="39" t="n"/>
      <c r="AD204" s="39" t="n"/>
      <c r="AE204" s="39" t="n"/>
      <c r="AF204" s="39" t="n"/>
      <c r="AG204" s="39" t="n"/>
      <c r="AH204" s="40" t="n"/>
      <c r="AI204" s="42" t="n"/>
      <c r="AJ204" s="50" t="n"/>
      <c r="AK204" s="46" t="n"/>
      <c r="AL204" s="43" t="n"/>
      <c r="AM204" s="43" t="n"/>
      <c r="AN204" s="40" t="n"/>
      <c r="AO204" s="40" t="n"/>
      <c r="AP204" s="40" t="n"/>
      <c r="AQ204" s="40" t="n"/>
      <c r="AR204" s="40" t="n"/>
      <c r="AS204" s="47" t="n"/>
      <c r="AT204" s="40" t="n"/>
      <c r="AU204" s="40" t="n"/>
      <c r="AV204" s="40" t="n"/>
      <c r="AW204" s="40" t="n"/>
      <c r="AX204" s="47" t="n"/>
      <c r="AY204" s="39" t="n"/>
      <c r="AZ204" s="39" t="n"/>
      <c r="BA204" s="39" t="n"/>
      <c r="BB204" s="39" t="n"/>
      <c r="BC204" s="39" t="n"/>
      <c r="BD204" s="40" t="n"/>
      <c r="BE204" s="39" t="n"/>
      <c r="BF204" s="39" t="n"/>
      <c r="BG204" s="39" t="n"/>
      <c r="BH204" s="39" t="n"/>
      <c r="BI204" s="39" t="n"/>
      <c r="BJ204" s="39" t="n"/>
      <c r="BK204" s="39" t="n"/>
      <c r="BL204" s="39" t="n"/>
      <c r="BM204" s="39" t="n"/>
      <c r="BN204" s="39" t="n"/>
      <c r="BO204" s="39" t="n"/>
      <c r="BP204" s="40" t="n"/>
      <c r="BQ204" s="40" t="n"/>
      <c r="BR204" s="40" t="n"/>
      <c r="BS204" s="40" t="n"/>
      <c r="BT204" s="40" t="n"/>
      <c r="BU204" s="40" t="n"/>
      <c r="BV204" s="40" t="n"/>
      <c r="BW204" s="40" t="n"/>
      <c r="BX204" s="43" t="n"/>
      <c r="BY204" s="39" t="n"/>
      <c r="BZ204" s="39" t="n"/>
      <c r="CA204" s="39" t="n"/>
      <c r="CB204" s="39" t="n"/>
      <c r="CC204" s="39" t="n"/>
      <c r="CD204" s="39" t="n"/>
      <c r="CE204" s="39" t="n"/>
      <c r="CF204" s="39" t="n"/>
      <c r="CG204" s="47" t="n"/>
      <c r="CH204" s="47" t="n"/>
      <c r="CI204" s="47" t="n"/>
      <c r="CJ204" s="47" t="n"/>
    </row>
    <row r="205" ht="23" customHeight="1">
      <c r="A205" s="39" t="n"/>
      <c r="B205" s="39" t="n"/>
      <c r="C205" s="39" t="n"/>
      <c r="D205" s="40" t="n"/>
      <c r="E205" s="40" t="n"/>
      <c r="F205" s="39" t="n"/>
      <c r="G205" s="40" t="n"/>
      <c r="H205" s="39" t="n"/>
      <c r="I205" s="40" t="n"/>
      <c r="J205" s="40" t="n"/>
      <c r="K205" s="39" t="n"/>
      <c r="L205" s="39" t="n"/>
      <c r="M205" s="39" t="n"/>
      <c r="N205" s="39" t="n"/>
      <c r="O205" s="40" t="n"/>
      <c r="P205" s="46" t="n"/>
      <c r="Q205" s="48" t="n"/>
      <c r="R205" s="40" t="n"/>
      <c r="S205" s="40" t="n"/>
      <c r="T205" s="39" t="n"/>
      <c r="U205" s="47" t="n"/>
      <c r="V205" s="39" t="n"/>
      <c r="W205" s="39" t="n"/>
      <c r="X205" s="39" t="n"/>
      <c r="Y205" s="39" t="n"/>
      <c r="Z205" s="40" t="n"/>
      <c r="AA205" s="40" t="n"/>
      <c r="AB205" s="46" t="n"/>
      <c r="AC205" s="39" t="n"/>
      <c r="AD205" s="39" t="n"/>
      <c r="AE205" s="39" t="n"/>
      <c r="AF205" s="39" t="n"/>
      <c r="AG205" s="39" t="n"/>
      <c r="AH205" s="40" t="n"/>
      <c r="AI205" s="42" t="n"/>
      <c r="AJ205" s="50" t="n"/>
      <c r="AK205" s="46" t="n"/>
      <c r="AL205" s="43" t="n"/>
      <c r="AM205" s="43" t="n"/>
      <c r="AN205" s="40" t="n"/>
      <c r="AO205" s="40" t="n"/>
      <c r="AP205" s="40" t="n"/>
      <c r="AQ205" s="40" t="n"/>
      <c r="AR205" s="40" t="n"/>
      <c r="AS205" s="47" t="n"/>
      <c r="AT205" s="40" t="n"/>
      <c r="AU205" s="40" t="n"/>
      <c r="AV205" s="40" t="n"/>
      <c r="AW205" s="40" t="n"/>
      <c r="AX205" s="47" t="n"/>
      <c r="AY205" s="39" t="n"/>
      <c r="AZ205" s="39" t="n"/>
      <c r="BA205" s="39" t="n"/>
      <c r="BB205" s="39" t="n"/>
      <c r="BC205" s="39" t="n"/>
      <c r="BD205" s="40" t="n"/>
      <c r="BE205" s="39" t="n"/>
      <c r="BF205" s="39" t="n"/>
      <c r="BG205" s="39" t="n"/>
      <c r="BH205" s="39" t="n"/>
      <c r="BI205" s="39" t="n"/>
      <c r="BJ205" s="39" t="n"/>
      <c r="BK205" s="39" t="n"/>
      <c r="BL205" s="39" t="n"/>
      <c r="BM205" s="39" t="n"/>
      <c r="BN205" s="39" t="n"/>
      <c r="BO205" s="39" t="n"/>
      <c r="BP205" s="40" t="n"/>
      <c r="BQ205" s="40" t="n"/>
      <c r="BR205" s="40" t="n"/>
      <c r="BS205" s="40" t="n"/>
      <c r="BT205" s="40" t="n"/>
      <c r="BU205" s="40" t="n"/>
      <c r="BV205" s="40" t="n"/>
      <c r="BW205" s="40" t="n"/>
      <c r="BX205" s="43" t="n"/>
      <c r="BY205" s="39" t="n"/>
      <c r="BZ205" s="39" t="n"/>
      <c r="CA205" s="39" t="n"/>
      <c r="CB205" s="39" t="n"/>
      <c r="CC205" s="39" t="n"/>
      <c r="CD205" s="39" t="n"/>
      <c r="CE205" s="39" t="n"/>
      <c r="CF205" s="39" t="n"/>
      <c r="CG205" s="47" t="n"/>
      <c r="CH205" s="47" t="n"/>
      <c r="CI205" s="47" t="n"/>
      <c r="CJ205" s="47" t="n"/>
    </row>
    <row r="206" ht="23" customHeight="1">
      <c r="A206" s="39" t="n"/>
      <c r="B206" s="39" t="n"/>
      <c r="C206" s="39" t="n"/>
      <c r="D206" s="40" t="n"/>
      <c r="E206" s="40" t="n"/>
      <c r="F206" s="39" t="n"/>
      <c r="G206" s="40" t="n"/>
      <c r="H206" s="39" t="n"/>
      <c r="I206" s="40" t="n"/>
      <c r="J206" s="40" t="n"/>
      <c r="K206" s="39" t="n"/>
      <c r="L206" s="39" t="n"/>
      <c r="M206" s="39" t="n"/>
      <c r="N206" s="39" t="n"/>
      <c r="O206" s="40" t="n"/>
      <c r="P206" s="46" t="n"/>
      <c r="Q206" s="48" t="n"/>
      <c r="R206" s="40" t="n"/>
      <c r="S206" s="40" t="n"/>
      <c r="T206" s="39" t="n"/>
      <c r="U206" s="47" t="n"/>
      <c r="V206" s="39" t="n"/>
      <c r="W206" s="39" t="n"/>
      <c r="X206" s="39" t="n"/>
      <c r="Y206" s="39" t="n"/>
      <c r="Z206" s="40" t="n"/>
      <c r="AA206" s="40" t="n"/>
      <c r="AB206" s="46" t="n"/>
      <c r="AC206" s="39" t="n"/>
      <c r="AD206" s="39" t="n"/>
      <c r="AE206" s="39" t="n"/>
      <c r="AF206" s="39" t="n"/>
      <c r="AG206" s="39" t="n"/>
      <c r="AH206" s="40" t="n"/>
      <c r="AI206" s="42" t="n"/>
      <c r="AJ206" s="50" t="n"/>
      <c r="AK206" s="46" t="n"/>
      <c r="AL206" s="43" t="n"/>
      <c r="AM206" s="43" t="n"/>
      <c r="AN206" s="40" t="n"/>
      <c r="AO206" s="40" t="n"/>
      <c r="AP206" s="40" t="n"/>
      <c r="AQ206" s="40" t="n"/>
      <c r="AR206" s="40" t="n"/>
      <c r="AS206" s="47" t="n"/>
      <c r="AT206" s="40" t="n"/>
      <c r="AU206" s="40" t="n"/>
      <c r="AV206" s="40" t="n"/>
      <c r="AW206" s="40" t="n"/>
      <c r="AX206" s="47" t="n"/>
      <c r="AY206" s="39" t="n"/>
      <c r="AZ206" s="39" t="n"/>
      <c r="BA206" s="39" t="n"/>
      <c r="BB206" s="39" t="n"/>
      <c r="BC206" s="39" t="n"/>
      <c r="BD206" s="40" t="n"/>
      <c r="BE206" s="39" t="n"/>
      <c r="BF206" s="39" t="n"/>
      <c r="BG206" s="39" t="n"/>
      <c r="BH206" s="39" t="n"/>
      <c r="BI206" s="39" t="n"/>
      <c r="BJ206" s="39" t="n"/>
      <c r="BK206" s="39" t="n"/>
      <c r="BL206" s="39" t="n"/>
      <c r="BM206" s="39" t="n"/>
      <c r="BN206" s="39" t="n"/>
      <c r="BO206" s="39" t="n"/>
      <c r="BP206" s="40" t="n"/>
      <c r="BQ206" s="40" t="n"/>
      <c r="BR206" s="40" t="n"/>
      <c r="BS206" s="40" t="n"/>
      <c r="BT206" s="40" t="n"/>
      <c r="BU206" s="40" t="n"/>
      <c r="BV206" s="40" t="n"/>
      <c r="BW206" s="40" t="n"/>
      <c r="BX206" s="43" t="n"/>
      <c r="BY206" s="39" t="n"/>
      <c r="BZ206" s="39" t="n"/>
      <c r="CA206" s="39" t="n"/>
      <c r="CB206" s="39" t="n"/>
      <c r="CC206" s="39" t="n"/>
      <c r="CD206" s="39" t="n"/>
      <c r="CE206" s="39" t="n"/>
      <c r="CF206" s="39" t="n"/>
      <c r="CG206" s="47" t="n"/>
      <c r="CH206" s="47" t="n"/>
      <c r="CI206" s="47" t="n"/>
      <c r="CJ206" s="47" t="n"/>
    </row>
  </sheetData>
  <conditionalFormatting sqref="A7:A206">
    <cfRule type="expression" priority="1" dxfId="0">
      <formula>AND(COUNTA($A7:$CJ7)&gt;0,A7="")</formula>
    </cfRule>
  </conditionalFormatting>
  <conditionalFormatting sqref="C7:C206">
    <cfRule type="expression" priority="2" dxfId="0">
      <formula>AND(COUNTA($A7:$CJ7)&gt;0,C7="")</formula>
    </cfRule>
  </conditionalFormatting>
  <conditionalFormatting sqref="D7:D206">
    <cfRule type="expression" priority="3" dxfId="0">
      <formula>AND(COUNTA($A7:$CJ7)&gt;0,D7="")</formula>
    </cfRule>
  </conditionalFormatting>
  <conditionalFormatting sqref="E7:E206">
    <cfRule type="expression" priority="4" dxfId="0">
      <formula>AND(COUNTA($A7:$CJ7)&gt;0,E7="")</formula>
    </cfRule>
  </conditionalFormatting>
  <dataValidations count="30">
    <dataValidation sqref="D7:D206" showDropDown="0" showInputMessage="1" showErrorMessage="1" allowBlank="1" errorTitle="Choose a listed value" error="Use a dropdown choice, or first update its list on Dropdowns." promptTitle="Choose a value" prompt="Select a value from the dropdown." type="list" errorStyle="stop">
      <formula1>LeadStatus</formula1>
    </dataValidation>
    <dataValidation sqref="E7:E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LeadSource</formula1>
    </dataValidation>
    <dataValidation sqref="G7:G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Salutation</formula1>
    </dataValidation>
    <dataValidation sqref="I7:I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Occupation</formula1>
    </dataValidation>
    <dataValidation sqref="J7:J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Industry</formula1>
    </dataValidation>
    <dataValidation sqref="O7:O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R7:R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S7:S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Z7:Z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AA7:AA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AH7:AH206" showDropDown="0" showInputMessage="1" showErrorMessage="1" allowBlank="1" errorTitle="Choose a listed value" error="Use a dropdown choice, or first update its list on Dropdowns." promptTitle="Choose a value" prompt="Select a value from the dropdown." type="list" errorStyle="stop">
      <formula1>EndUserType</formula1>
    </dataValidation>
    <dataValidation sqref="AJ7:AJ206" showDropDown="0" showInputMessage="0" showErrorMessage="1" allowBlank="1" errorTitle="Use a percentage" error="Enter a percentage from 0% to 100%, such as 50%." type="decimal" errorStyle="stop" operator="between">
      <formula1>0</formula1>
      <formula2>1</formula2>
    </dataValidation>
    <dataValidation sqref="AN7:AN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Market</formula1>
    </dataValidation>
    <dataValidation sqref="AO7:AO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Segment</formula1>
    </dataValidation>
    <dataValidation sqref="AP7:AP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Application</formula1>
    </dataValidation>
    <dataValidation sqref="AQ7:AQ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DemandDriver</formula1>
    </dataValidation>
    <dataValidation sqref="AR7:AR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OEMCategory</formula1>
    </dataValidation>
    <dataValidation sqref="AT7:AT206" showDropDown="0" showInputMessage="1" showErrorMessage="1" allowBlank="1" errorTitle="Choose a listed value" error="Use a dropdown choice, or first update its list on Dropdowns." promptTitle="Choose a value" prompt="Select a value from the dropdown." type="list" errorStyle="stop">
      <formula1>SiteType</formula1>
    </dataValidation>
    <dataValidation sqref="AU7:AU206" showDropDown="0" showInputMessage="1" showErrorMessage="1" allowBlank="1" errorTitle="Choose a listed value" error="Use a dropdown choice, or first update its list on Dropdowns." promptTitle="Choose a value" prompt="Select a value from the dropdown." type="list" errorStyle="stop">
      <formula1>PowerNeeds</formula1>
    </dataValidation>
    <dataValidation sqref="AV7:AV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EnergySource</formula1>
    </dataValidation>
    <dataValidation sqref="AW7:AW206" showDropDown="0" showInputMessage="1" showErrorMessage="1" allowBlank="1" errorTitle="Choose a listed value" error="Use a dropdown choice, or first update its list on Dropdowns." promptTitle="Choose a value" prompt="Select a value from the dropdown." type="list" errorStyle="stop">
      <formula1>AIFacility</formula1>
    </dataValidation>
    <dataValidation sqref="BD7:BD2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CanadianRegion</formula1>
    </dataValidation>
    <dataValidation sqref="BP7:BP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Q7:BQ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R7:BR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S7:BS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T7:BT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U7:BU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V7:BV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 sqref="BW7:BW206" showDropDown="0" showInputMessage="1" showErrorMessage="1" allowBlank="1" errorTitle="Choose a listed value" error="Use a dropdown choice, or first update its list on Dropdowns." promptTitle="Choose a value" prompt="Select a value from the dropdown." type="list" errorStyle="stop">
      <formula1>YesNo</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FF466889"/>
    <outlinePr summaryBelow="1" summaryRight="1"/>
    <pageSetUpPr/>
  </sheetPr>
  <dimension ref="A1:H506"/>
  <sheetViews>
    <sheetView showGridLines="0" workbookViewId="0">
      <pane ySplit="6" topLeftCell="A7" activePane="bottomLeft" state="frozen"/>
      <selection activeCell="A1" sqref="A1"/>
    </sheetView>
  </sheetViews>
  <sheetFormatPr baseColWidth="8" defaultRowHeight="15"/>
  <cols>
    <col width="48" customWidth="1" min="1" max="1"/>
    <col width="52" customWidth="1" min="2" max="2"/>
    <col width="55" customWidth="1" min="3" max="3"/>
  </cols>
  <sheetData>
    <row r="1" ht="22" customHeight="1">
      <c r="A1" s="35" t="inlineStr">
        <is>
          <t>Stephan Hardt | Power Generation</t>
        </is>
      </c>
      <c r="B1" s="2" t="n"/>
      <c r="C1" s="2" t="n"/>
    </row>
    <row r="2" ht="30" customHeight="1">
      <c r="A2" s="4" t="inlineStr">
        <is>
          <t>Project products</t>
        </is>
      </c>
      <c r="B2" s="5" t="n"/>
      <c r="C2" s="5" t="n"/>
      <c r="D2" s="32" t="n"/>
      <c r="E2" s="32" t="n"/>
      <c r="F2" s="32" t="n"/>
      <c r="G2" s="32" t="n"/>
      <c r="H2" s="32" t="n"/>
    </row>
    <row r="3" ht="22" customHeight="1">
      <c r="A3" s="6" t="inlineStr">
        <is>
          <t>Use one row per product. Repeat the Project Name to select several products for the same project.</t>
        </is>
      </c>
      <c r="B3" s="2" t="n"/>
      <c r="C3" s="2" t="n"/>
    </row>
    <row r="4">
      <c r="A4" s="2" t="inlineStr">
        <is>
          <t>Enter the project on Projects first. Product labels ending in ... were truncated in the recording.</t>
        </is>
      </c>
      <c r="B4" s="2" t="n"/>
      <c r="C4" s="2" t="n"/>
    </row>
    <row r="5">
      <c r="A5" s="2" t="n"/>
      <c r="B5" s="2" t="n"/>
      <c r="C5" s="2" t="n"/>
    </row>
    <row r="6" ht="36" customHeight="1">
      <c r="A6" s="33" t="inlineStr">
        <is>
          <t>Project Name</t>
        </is>
      </c>
      <c r="B6" s="33" t="inlineStr">
        <is>
          <t>Product</t>
        </is>
      </c>
      <c r="C6" s="33" t="inlineStr">
        <is>
          <t>Notes</t>
        </is>
      </c>
    </row>
    <row r="7" ht="23" customHeight="1">
      <c r="A7" s="51" t="inlineStr">
        <is>
          <t>Forest Junction Energy Center</t>
        </is>
      </c>
      <c r="B7" s="51" t="inlineStr">
        <is>
          <t>G00 - MEDIUM VOLTAGE POWER...</t>
        </is>
      </c>
      <c r="C7" s="52" t="inlineStr">
        <is>
          <t>MV power cable: 42% of W&amp;C = $4,042,080</t>
        </is>
      </c>
    </row>
    <row r="8" ht="23" customHeight="1">
      <c r="A8" s="51" t="inlineStr">
        <is>
          <t>Forest Junction Energy Center</t>
        </is>
      </c>
      <c r="B8" s="51" t="inlineStr">
        <is>
          <t>J10 - INDUSTRIAL ARMORED CAB...</t>
        </is>
      </c>
      <c r="C8" s="52" t="inlineStr">
        <is>
          <t>Tray cable (TC) - control &amp; instrumentation: 43% of W&amp;C = $4,138,320</t>
        </is>
      </c>
    </row>
    <row r="9" ht="23" customHeight="1">
      <c r="A9" s="51" t="inlineStr">
        <is>
          <t>Forest Junction Energy Center</t>
        </is>
      </c>
      <c r="B9" s="51" t="inlineStr">
        <is>
          <t>H00 - INDUSTRIAL SINGLE COND...</t>
        </is>
      </c>
      <c r="C9" s="52" t="inlineStr">
        <is>
          <t>PV / LV single-conductor power: 10% of W&amp;C = $962,400</t>
        </is>
      </c>
    </row>
    <row r="10" ht="23" customHeight="1">
      <c r="A10" s="51" t="inlineStr">
        <is>
          <t>Forest Junction Energy Center</t>
        </is>
      </c>
      <c r="B10" s="51" t="inlineStr">
        <is>
          <t>M20 - SUBSTATION</t>
        </is>
      </c>
      <c r="C10" s="52" t="inlineStr">
        <is>
          <t>Other - substation / switchyard: 5% of W&amp;C = $481,200</t>
        </is>
      </c>
    </row>
    <row r="11" ht="23" customHeight="1">
      <c r="A11" s="51" t="inlineStr">
        <is>
          <t>Forest Junction Energy Center</t>
        </is>
      </c>
      <c r="B11" s="51" t="inlineStr">
        <is>
          <t>P10 - BARE AL</t>
        </is>
      </c>
      <c r="C11" s="52" t="inlineStr">
        <is>
          <t>Bare overhead conductor - gen-tie (not in $8/kW split)</t>
        </is>
      </c>
    </row>
    <row r="12" ht="23" customHeight="1">
      <c r="A12" s="51" t="inlineStr">
        <is>
          <t>Orange County Advanced Power Station (OCAPS)</t>
        </is>
      </c>
      <c r="B12" s="51" t="inlineStr">
        <is>
          <t>G00 - MEDIUM VOLTAGE POWER...</t>
        </is>
      </c>
      <c r="C12" s="52" t="inlineStr">
        <is>
          <t>MV power cable: 42% of W&amp;C = $4,082,400</t>
        </is>
      </c>
    </row>
    <row r="13" ht="23" customHeight="1">
      <c r="A13" s="51" t="inlineStr">
        <is>
          <t>Orange County Advanced Power Station (OCAPS)</t>
        </is>
      </c>
      <c r="B13" s="51" t="inlineStr">
        <is>
          <t>J10 - INDUSTRIAL ARMORED CAB...</t>
        </is>
      </c>
      <c r="C13" s="52" t="inlineStr">
        <is>
          <t>Tray cable (TC) - control &amp; instrumentation: 43% of W&amp;C = $4,179,600</t>
        </is>
      </c>
    </row>
    <row r="14" ht="23" customHeight="1">
      <c r="A14" s="51" t="inlineStr">
        <is>
          <t>Orange County Advanced Power Station (OCAPS)</t>
        </is>
      </c>
      <c r="B14" s="51" t="inlineStr">
        <is>
          <t>H00 - INDUSTRIAL SINGLE COND...</t>
        </is>
      </c>
      <c r="C14" s="52" t="inlineStr">
        <is>
          <t>PV / LV single-conductor power: 10% of W&amp;C = $972,000</t>
        </is>
      </c>
    </row>
    <row r="15" ht="23" customHeight="1">
      <c r="A15" s="51" t="inlineStr">
        <is>
          <t>Orange County Advanced Power Station (OCAPS)</t>
        </is>
      </c>
      <c r="B15" s="51" t="inlineStr">
        <is>
          <t>M20 - SUBSTATION</t>
        </is>
      </c>
      <c r="C15" s="52" t="inlineStr">
        <is>
          <t>Other - substation / switchyard: 5% of W&amp;C = $486,000</t>
        </is>
      </c>
    </row>
    <row r="16" ht="23" customHeight="1">
      <c r="A16" s="51" t="inlineStr">
        <is>
          <t>Vast Sands Power I (Vistra Permian Basin expansion)</t>
        </is>
      </c>
      <c r="B16" s="51" t="inlineStr">
        <is>
          <t>G00 - MEDIUM VOLTAGE POWER...</t>
        </is>
      </c>
      <c r="C16" s="52" t="inlineStr">
        <is>
          <t>MV power cable: 42% of W&amp;C = $1,478,400</t>
        </is>
      </c>
    </row>
    <row r="17" ht="23" customHeight="1">
      <c r="A17" s="51" t="inlineStr">
        <is>
          <t>Vast Sands Power I (Vistra Permian Basin expansion)</t>
        </is>
      </c>
      <c r="B17" s="51" t="inlineStr">
        <is>
          <t>J10 - INDUSTRIAL ARMORED CAB...</t>
        </is>
      </c>
      <c r="C17" s="52" t="inlineStr">
        <is>
          <t>Tray cable (TC) - control &amp; instrumentation: 43% of W&amp;C = $1,513,600</t>
        </is>
      </c>
    </row>
    <row r="18" ht="23" customHeight="1">
      <c r="A18" s="51" t="inlineStr">
        <is>
          <t>Vast Sands Power I (Vistra Permian Basin expansion)</t>
        </is>
      </c>
      <c r="B18" s="51" t="inlineStr">
        <is>
          <t>H00 - INDUSTRIAL SINGLE COND...</t>
        </is>
      </c>
      <c r="C18" s="52" t="inlineStr">
        <is>
          <t>PV / LV single-conductor power: 10% of W&amp;C = $352,000</t>
        </is>
      </c>
    </row>
    <row r="19" ht="23" customHeight="1">
      <c r="A19" s="51" t="inlineStr">
        <is>
          <t>Vast Sands Power I (Vistra Permian Basin expansion)</t>
        </is>
      </c>
      <c r="B19" s="51" t="inlineStr">
        <is>
          <t>M20 - SUBSTATION</t>
        </is>
      </c>
      <c r="C19" s="52" t="inlineStr">
        <is>
          <t>Other - substation / switchyard: 5% of W&amp;C = $176,000</t>
        </is>
      </c>
    </row>
    <row r="20" ht="23" customHeight="1">
      <c r="A20" s="51" t="inlineStr">
        <is>
          <t>Plant Yates Unit 9 (Yates CT Units 8-10)</t>
        </is>
      </c>
      <c r="B20" s="51" t="inlineStr">
        <is>
          <t>G00 - MEDIUM VOLTAGE POWER...</t>
        </is>
      </c>
      <c r="C20" s="52" t="inlineStr">
        <is>
          <t>MV power cable: 42% of W&amp;C = $1,622,208</t>
        </is>
      </c>
    </row>
    <row r="21" ht="23" customHeight="1">
      <c r="A21" s="51" t="inlineStr">
        <is>
          <t>Plant Yates Unit 9 (Yates CT Units 8-10)</t>
        </is>
      </c>
      <c r="B21" s="51" t="inlineStr">
        <is>
          <t>J10 - INDUSTRIAL ARMORED CAB...</t>
        </is>
      </c>
      <c r="C21" s="52" t="inlineStr">
        <is>
          <t>Tray cable (TC) - control &amp; instrumentation: 43% of W&amp;C = $1,660,832</t>
        </is>
      </c>
    </row>
    <row r="22" ht="23" customHeight="1">
      <c r="A22" s="51" t="inlineStr">
        <is>
          <t>Plant Yates Unit 9 (Yates CT Units 8-10)</t>
        </is>
      </c>
      <c r="B22" s="51" t="inlineStr">
        <is>
          <t>H00 - INDUSTRIAL SINGLE COND...</t>
        </is>
      </c>
      <c r="C22" s="52" t="inlineStr">
        <is>
          <t>PV / LV single-conductor power: 10% of W&amp;C = $386,240</t>
        </is>
      </c>
    </row>
    <row r="23" ht="23" customHeight="1">
      <c r="A23" s="51" t="inlineStr">
        <is>
          <t>Plant Yates Unit 9 (Yates CT Units 8-10)</t>
        </is>
      </c>
      <c r="B23" s="51" t="inlineStr">
        <is>
          <t>M20 - SUBSTATION</t>
        </is>
      </c>
      <c r="C23" s="52" t="inlineStr">
        <is>
          <t>Other - substation / switchyard: 5% of W&amp;C = $193,120</t>
        </is>
      </c>
    </row>
    <row r="24" ht="23" customHeight="1">
      <c r="A24" s="51" t="inlineStr">
        <is>
          <t>Ironwood Power Station</t>
        </is>
      </c>
      <c r="B24" s="51" t="inlineStr">
        <is>
          <t>G00 - MEDIUM VOLTAGE POWER...</t>
        </is>
      </c>
      <c r="C24" s="52" t="inlineStr">
        <is>
          <t>MV power cable: 42% of W&amp;C = $1,498,560</t>
        </is>
      </c>
    </row>
    <row r="25" ht="23" customHeight="1">
      <c r="A25" s="51" t="inlineStr">
        <is>
          <t>Ironwood Power Station</t>
        </is>
      </c>
      <c r="B25" s="51" t="inlineStr">
        <is>
          <t>J10 - INDUSTRIAL ARMORED CAB...</t>
        </is>
      </c>
      <c r="C25" s="52" t="inlineStr">
        <is>
          <t>Tray cable (TC) - control &amp; instrumentation: 43% of W&amp;C = $1,534,240</t>
        </is>
      </c>
    </row>
    <row r="26" ht="23" customHeight="1">
      <c r="A26" s="51" t="inlineStr">
        <is>
          <t>Ironwood Power Station</t>
        </is>
      </c>
      <c r="B26" s="51" t="inlineStr">
        <is>
          <t>H00 - INDUSTRIAL SINGLE COND...</t>
        </is>
      </c>
      <c r="C26" s="52" t="inlineStr">
        <is>
          <t>PV / LV single-conductor power: 10% of W&amp;C = $356,800</t>
        </is>
      </c>
    </row>
    <row r="27" ht="23" customHeight="1">
      <c r="A27" s="51" t="inlineStr">
        <is>
          <t>Ironwood Power Station</t>
        </is>
      </c>
      <c r="B27" s="51" t="inlineStr">
        <is>
          <t>M20 - SUBSTATION</t>
        </is>
      </c>
      <c r="C27" s="52" t="inlineStr">
        <is>
          <t>Other - substation / switchyard: 5% of W&amp;C = $178,400</t>
        </is>
      </c>
    </row>
    <row r="28" ht="23" customHeight="1">
      <c r="A28" s="51" t="inlineStr">
        <is>
          <t>Person County Combined Cycle 1 (CC1)</t>
        </is>
      </c>
      <c r="B28" s="51" t="inlineStr">
        <is>
          <t>G00 - MEDIUM VOLTAGE POWER...</t>
        </is>
      </c>
      <c r="C28" s="52" t="inlineStr">
        <is>
          <t>MV power cable: 42% of W&amp;C = $4,569,600</t>
        </is>
      </c>
    </row>
    <row r="29" ht="23" customHeight="1">
      <c r="A29" s="51" t="inlineStr">
        <is>
          <t>Person County Combined Cycle 1 (CC1)</t>
        </is>
      </c>
      <c r="B29" s="51" t="inlineStr">
        <is>
          <t>J10 - INDUSTRIAL ARMORED CAB...</t>
        </is>
      </c>
      <c r="C29" s="52" t="inlineStr">
        <is>
          <t>Tray cable (TC) - control &amp; instrumentation: 43% of W&amp;C = $4,678,400</t>
        </is>
      </c>
    </row>
    <row r="30" ht="23" customHeight="1">
      <c r="A30" s="51" t="inlineStr">
        <is>
          <t>Person County Combined Cycle 1 (CC1)</t>
        </is>
      </c>
      <c r="B30" s="51" t="inlineStr">
        <is>
          <t>H00 - INDUSTRIAL SINGLE COND...</t>
        </is>
      </c>
      <c r="C30" s="52" t="inlineStr">
        <is>
          <t>PV / LV single-conductor power: 10% of W&amp;C = $1,088,000</t>
        </is>
      </c>
    </row>
    <row r="31" ht="23" customHeight="1">
      <c r="A31" s="51" t="inlineStr">
        <is>
          <t>Person County Combined Cycle 1 (CC1)</t>
        </is>
      </c>
      <c r="B31" s="51" t="inlineStr">
        <is>
          <t>M20 - SUBSTATION</t>
        </is>
      </c>
      <c r="C31" s="52" t="inlineStr">
        <is>
          <t>Other - substation / switchyard: 5% of W&amp;C = $544,000</t>
        </is>
      </c>
    </row>
    <row r="32" ht="23" customHeight="1">
      <c r="A32" s="51" t="inlineStr">
        <is>
          <t>Person County Combined Cycle 1 (CC1)</t>
        </is>
      </c>
      <c r="B32" s="51" t="inlineStr">
        <is>
          <t>P10 - BARE AL</t>
        </is>
      </c>
      <c r="C32" s="52" t="inlineStr">
        <is>
          <t>Bare overhead conductor - gen-tie (not in $8/kW split)</t>
        </is>
      </c>
    </row>
    <row r="33" ht="23" customHeight="1">
      <c r="A33" s="51" t="inlineStr">
        <is>
          <t>Delta Blues Advanced Power Station</t>
        </is>
      </c>
      <c r="B33" s="51" t="inlineStr">
        <is>
          <t>G00 - MEDIUM VOLTAGE POWER...</t>
        </is>
      </c>
      <c r="C33" s="52" t="inlineStr">
        <is>
          <t>MV power cable: 42% of W&amp;C = $2,533,440</t>
        </is>
      </c>
    </row>
    <row r="34" ht="23" customHeight="1">
      <c r="A34" s="51" t="inlineStr">
        <is>
          <t>Delta Blues Advanced Power Station</t>
        </is>
      </c>
      <c r="B34" s="51" t="inlineStr">
        <is>
          <t>J10 - INDUSTRIAL ARMORED CAB...</t>
        </is>
      </c>
      <c r="C34" s="52" t="inlineStr">
        <is>
          <t>Tray cable (TC) - control &amp; instrumentation: 43% of W&amp;C = $2,593,760</t>
        </is>
      </c>
    </row>
    <row r="35" ht="23" customHeight="1">
      <c r="A35" s="51" t="inlineStr">
        <is>
          <t>Delta Blues Advanced Power Station</t>
        </is>
      </c>
      <c r="B35" s="51" t="inlineStr">
        <is>
          <t>H00 - INDUSTRIAL SINGLE COND...</t>
        </is>
      </c>
      <c r="C35" s="52" t="inlineStr">
        <is>
          <t>PV / LV single-conductor power: 10% of W&amp;C = $603,200</t>
        </is>
      </c>
    </row>
    <row r="36" ht="23" customHeight="1">
      <c r="A36" s="51" t="inlineStr">
        <is>
          <t>Delta Blues Advanced Power Station</t>
        </is>
      </c>
      <c r="B36" s="51" t="inlineStr">
        <is>
          <t>M20 - SUBSTATION</t>
        </is>
      </c>
      <c r="C36" s="52" t="inlineStr">
        <is>
          <t>Other - substation / switchyard: 5% of W&amp;C = $301,600</t>
        </is>
      </c>
    </row>
    <row r="37" ht="23" customHeight="1">
      <c r="A37" s="51" t="inlineStr">
        <is>
          <t>Delta Blues Advanced Power Station</t>
        </is>
      </c>
      <c r="B37" s="51" t="inlineStr">
        <is>
          <t>P10 - BARE AL</t>
        </is>
      </c>
      <c r="C37" s="52" t="inlineStr">
        <is>
          <t>Bare overhead conductor - gen-tie (not in $8/kW split)</t>
        </is>
      </c>
    </row>
    <row r="38" ht="23" customHeight="1">
      <c r="A38" s="51" t="inlineStr">
        <is>
          <t>Vicksburg Advanced Power Station</t>
        </is>
      </c>
      <c r="B38" s="51" t="inlineStr">
        <is>
          <t>G00 - MEDIUM VOLTAGE POWER...</t>
        </is>
      </c>
      <c r="C38" s="52" t="inlineStr">
        <is>
          <t>MV power cable: 42% of W&amp;C = $2,533,440</t>
        </is>
      </c>
    </row>
    <row r="39" ht="23" customHeight="1">
      <c r="A39" s="51" t="inlineStr">
        <is>
          <t>Vicksburg Advanced Power Station</t>
        </is>
      </c>
      <c r="B39" s="51" t="inlineStr">
        <is>
          <t>J10 - INDUSTRIAL ARMORED CAB...</t>
        </is>
      </c>
      <c r="C39" s="52" t="inlineStr">
        <is>
          <t>Tray cable (TC) - control &amp; instrumentation: 43% of W&amp;C = $2,593,760</t>
        </is>
      </c>
    </row>
    <row r="40" ht="23" customHeight="1">
      <c r="A40" s="51" t="inlineStr">
        <is>
          <t>Vicksburg Advanced Power Station</t>
        </is>
      </c>
      <c r="B40" s="51" t="inlineStr">
        <is>
          <t>H00 - INDUSTRIAL SINGLE COND...</t>
        </is>
      </c>
      <c r="C40" s="52" t="inlineStr">
        <is>
          <t>PV / LV single-conductor power: 10% of W&amp;C = $603,200</t>
        </is>
      </c>
    </row>
    <row r="41" ht="23" customHeight="1">
      <c r="A41" s="51" t="inlineStr">
        <is>
          <t>Vicksburg Advanced Power Station</t>
        </is>
      </c>
      <c r="B41" s="51" t="inlineStr">
        <is>
          <t>M20 - SUBSTATION</t>
        </is>
      </c>
      <c r="C41" s="52" t="inlineStr">
        <is>
          <t>Other - substation / switchyard: 5% of W&amp;C = $301,600</t>
        </is>
      </c>
    </row>
    <row r="42" ht="23" customHeight="1">
      <c r="A42" s="51" t="inlineStr">
        <is>
          <t>Sycamore Riverside Energy Center</t>
        </is>
      </c>
      <c r="B42" s="51" t="inlineStr">
        <is>
          <t>G00 - MEDIUM VOLTAGE POWER...</t>
        </is>
      </c>
      <c r="C42" s="52" t="inlineStr">
        <is>
          <t>MV power cable: 42% of W&amp;C = $3,084,480</t>
        </is>
      </c>
    </row>
    <row r="43" ht="23" customHeight="1">
      <c r="A43" s="51" t="inlineStr">
        <is>
          <t>Sycamore Riverside Energy Center</t>
        </is>
      </c>
      <c r="B43" s="51" t="inlineStr">
        <is>
          <t>J10 - INDUSTRIAL ARMORED CAB...</t>
        </is>
      </c>
      <c r="C43" s="52" t="inlineStr">
        <is>
          <t>Tray cable (TC) - control &amp; instrumentation: 43% of W&amp;C = $3,157,920</t>
        </is>
      </c>
    </row>
    <row r="44" ht="23" customHeight="1">
      <c r="A44" s="51" t="inlineStr">
        <is>
          <t>Sycamore Riverside Energy Center</t>
        </is>
      </c>
      <c r="B44" s="51" t="inlineStr">
        <is>
          <t>H00 - INDUSTRIAL SINGLE COND...</t>
        </is>
      </c>
      <c r="C44" s="52" t="inlineStr">
        <is>
          <t>PV / LV single-conductor power: 10% of W&amp;C = $734,400</t>
        </is>
      </c>
    </row>
    <row r="45" ht="23" customHeight="1">
      <c r="A45" s="51" t="inlineStr">
        <is>
          <t>Sycamore Riverside Energy Center</t>
        </is>
      </c>
      <c r="B45" s="51" t="inlineStr">
        <is>
          <t>M20 - SUBSTATION</t>
        </is>
      </c>
      <c r="C45" s="52" t="inlineStr">
        <is>
          <t>Other - substation / switchyard: 5% of W&amp;C = $367,200</t>
        </is>
      </c>
    </row>
    <row r="46" ht="23" customHeight="1">
      <c r="A46" s="51" t="inlineStr">
        <is>
          <t>Franklin Farms Power Station (Units 1 &amp; 2)</t>
        </is>
      </c>
      <c r="B46" s="51" t="inlineStr">
        <is>
          <t>G00 - MEDIUM VOLTAGE POWER...</t>
        </is>
      </c>
      <c r="C46" s="52" t="inlineStr">
        <is>
          <t>MV power cable: 42% of W&amp;C = $5,066,880</t>
        </is>
      </c>
    </row>
    <row r="47" ht="23" customHeight="1">
      <c r="A47" s="51" t="inlineStr">
        <is>
          <t>Franklin Farms Power Station (Units 1 &amp; 2)</t>
        </is>
      </c>
      <c r="B47" s="51" t="inlineStr">
        <is>
          <t>J10 - INDUSTRIAL ARMORED CAB...</t>
        </is>
      </c>
      <c r="C47" s="52" t="inlineStr">
        <is>
          <t>Tray cable (TC) - control &amp; instrumentation: 43% of W&amp;C = $5,187,520</t>
        </is>
      </c>
    </row>
    <row r="48" ht="23" customHeight="1">
      <c r="A48" s="51" t="inlineStr">
        <is>
          <t>Franklin Farms Power Station (Units 1 &amp; 2)</t>
        </is>
      </c>
      <c r="B48" s="51" t="inlineStr">
        <is>
          <t>H00 - INDUSTRIAL SINGLE COND...</t>
        </is>
      </c>
      <c r="C48" s="52" t="inlineStr">
        <is>
          <t>PV / LV single-conductor power: 10% of W&amp;C = $1,206,400</t>
        </is>
      </c>
    </row>
    <row r="49" ht="23" customHeight="1">
      <c r="A49" s="51" t="inlineStr">
        <is>
          <t>Franklin Farms Power Station (Units 1 &amp; 2)</t>
        </is>
      </c>
      <c r="B49" s="51" t="inlineStr">
        <is>
          <t>M20 - SUBSTATION</t>
        </is>
      </c>
      <c r="C49" s="52" t="inlineStr">
        <is>
          <t>Other - substation / switchyard: 5% of W&amp;C = $603,200</t>
        </is>
      </c>
    </row>
    <row r="50" ht="23" customHeight="1">
      <c r="A50" s="51" t="inlineStr">
        <is>
          <t>Waterford 5 Power Station</t>
        </is>
      </c>
      <c r="B50" s="51" t="inlineStr">
        <is>
          <t>G00 - MEDIUM VOLTAGE POWER...</t>
        </is>
      </c>
      <c r="C50" s="52" t="inlineStr">
        <is>
          <t>MV power cable: 42% of W&amp;C = $2,533,440</t>
        </is>
      </c>
    </row>
    <row r="51" ht="23" customHeight="1">
      <c r="A51" s="51" t="inlineStr">
        <is>
          <t>Waterford 5 Power Station</t>
        </is>
      </c>
      <c r="B51" s="51" t="inlineStr">
        <is>
          <t>J10 - INDUSTRIAL ARMORED CAB...</t>
        </is>
      </c>
      <c r="C51" s="52" t="inlineStr">
        <is>
          <t>Tray cable (TC) - control &amp; instrumentation: 43% of W&amp;C = $2,593,760</t>
        </is>
      </c>
    </row>
    <row r="52" ht="23" customHeight="1">
      <c r="A52" s="51" t="inlineStr">
        <is>
          <t>Waterford 5 Power Station</t>
        </is>
      </c>
      <c r="B52" s="51" t="inlineStr">
        <is>
          <t>H00 - INDUSTRIAL SINGLE COND...</t>
        </is>
      </c>
      <c r="C52" s="52" t="inlineStr">
        <is>
          <t>PV / LV single-conductor power: 10% of W&amp;C = $603,200</t>
        </is>
      </c>
    </row>
    <row r="53" ht="23" customHeight="1">
      <c r="A53" s="51" t="inlineStr">
        <is>
          <t>Waterford 5 Power Station</t>
        </is>
      </c>
      <c r="B53" s="51" t="inlineStr">
        <is>
          <t>M20 - SUBSTATION</t>
        </is>
      </c>
      <c r="C53" s="52" t="inlineStr">
        <is>
          <t>Other - substation / switchyard: 5% of W&amp;C = $301,600</t>
        </is>
      </c>
    </row>
    <row r="54" ht="23" customHeight="1">
      <c r="A54" s="51" t="inlineStr">
        <is>
          <t>Waterford 5 Power Station</t>
        </is>
      </c>
      <c r="B54" s="51" t="inlineStr">
        <is>
          <t>P10 - BARE AL</t>
        </is>
      </c>
      <c r="C54" s="52" t="inlineStr">
        <is>
          <t>Bare overhead conductor - gen-tie (not in $8/kW split)</t>
        </is>
      </c>
    </row>
    <row r="55" ht="23" customHeight="1">
      <c r="A55" s="51" t="inlineStr">
        <is>
          <t>AES Petersburg Unit 4 Repowered</t>
        </is>
      </c>
      <c r="B55" s="51" t="inlineStr">
        <is>
          <t>G00 - MEDIUM VOLTAGE POWER...</t>
        </is>
      </c>
      <c r="C55" s="52" t="inlineStr">
        <is>
          <t>MV power cable: 42% of W&amp;C = $1,767,360</t>
        </is>
      </c>
    </row>
    <row r="56" ht="23" customHeight="1">
      <c r="A56" s="51" t="inlineStr">
        <is>
          <t>AES Petersburg Unit 4 Repowered</t>
        </is>
      </c>
      <c r="B56" s="51" t="inlineStr">
        <is>
          <t>J10 - INDUSTRIAL ARMORED CAB...</t>
        </is>
      </c>
      <c r="C56" s="52" t="inlineStr">
        <is>
          <t>Tray cable (TC) - control &amp; instrumentation: 43% of W&amp;C = $1,809,440</t>
        </is>
      </c>
    </row>
    <row r="57" ht="23" customHeight="1">
      <c r="A57" s="51" t="inlineStr">
        <is>
          <t>AES Petersburg Unit 4 Repowered</t>
        </is>
      </c>
      <c r="B57" s="51" t="inlineStr">
        <is>
          <t>H00 - INDUSTRIAL SINGLE COND...</t>
        </is>
      </c>
      <c r="C57" s="52" t="inlineStr">
        <is>
          <t>PV / LV single-conductor power: 10% of W&amp;C = $420,800</t>
        </is>
      </c>
    </row>
    <row r="58" ht="23" customHeight="1">
      <c r="A58" s="51" t="inlineStr">
        <is>
          <t>AES Petersburg Unit 4 Repowered</t>
        </is>
      </c>
      <c r="B58" s="51" t="inlineStr">
        <is>
          <t>M20 - SUBSTATION</t>
        </is>
      </c>
      <c r="C58" s="52" t="inlineStr">
        <is>
          <t>Other - substation / switchyard: 5% of W&amp;C = $210,400</t>
        </is>
      </c>
    </row>
    <row r="59" ht="23" customHeight="1">
      <c r="A59" s="51" t="inlineStr">
        <is>
          <t>Trumbull Energy Center</t>
        </is>
      </c>
      <c r="B59" s="51" t="inlineStr">
        <is>
          <t>G00 - MEDIUM VOLTAGE POWER...</t>
        </is>
      </c>
      <c r="C59" s="52" t="inlineStr">
        <is>
          <t>MV power cable: 42% of W&amp;C = $3,192,000</t>
        </is>
      </c>
    </row>
    <row r="60" ht="23" customHeight="1">
      <c r="A60" s="51" t="inlineStr">
        <is>
          <t>Trumbull Energy Center</t>
        </is>
      </c>
      <c r="B60" s="51" t="inlineStr">
        <is>
          <t>J10 - INDUSTRIAL ARMORED CAB...</t>
        </is>
      </c>
      <c r="C60" s="52" t="inlineStr">
        <is>
          <t>Tray cable (TC) - control &amp; instrumentation: 43% of W&amp;C = $3,268,000</t>
        </is>
      </c>
    </row>
    <row r="61" ht="23" customHeight="1">
      <c r="A61" s="51" t="inlineStr">
        <is>
          <t>Trumbull Energy Center</t>
        </is>
      </c>
      <c r="B61" s="51" t="inlineStr">
        <is>
          <t>H00 - INDUSTRIAL SINGLE COND...</t>
        </is>
      </c>
      <c r="C61" s="52" t="inlineStr">
        <is>
          <t>PV / LV single-conductor power: 10% of W&amp;C = $760,000</t>
        </is>
      </c>
    </row>
    <row r="62" ht="23" customHeight="1">
      <c r="A62" s="51" t="inlineStr">
        <is>
          <t>Trumbull Energy Center</t>
        </is>
      </c>
      <c r="B62" s="51" t="inlineStr">
        <is>
          <t>M20 - SUBSTATION</t>
        </is>
      </c>
      <c r="C62" s="52" t="inlineStr">
        <is>
          <t>Other - substation / switchyard: 5% of W&amp;C = $380,000</t>
        </is>
      </c>
    </row>
    <row r="63" ht="23" customHeight="1">
      <c r="A63" s="51" t="inlineStr">
        <is>
          <t>Socrates South Power Generation</t>
        </is>
      </c>
      <c r="B63" s="51" t="inlineStr">
        <is>
          <t>G00 - MEDIUM VOLTAGE POWER...</t>
        </is>
      </c>
      <c r="C63" s="52" t="inlineStr">
        <is>
          <t>MV power cable: 42% of W&amp;C = $672,000</t>
        </is>
      </c>
    </row>
    <row r="64" ht="23" customHeight="1">
      <c r="A64" s="51" t="inlineStr">
        <is>
          <t>Socrates South Power Generation</t>
        </is>
      </c>
      <c r="B64" s="51" t="inlineStr">
        <is>
          <t>J10 - INDUSTRIAL ARMORED CAB...</t>
        </is>
      </c>
      <c r="C64" s="52" t="inlineStr">
        <is>
          <t>Tray cable (TC) - control &amp; instrumentation: 43% of W&amp;C = $688,000</t>
        </is>
      </c>
    </row>
    <row r="65" ht="23" customHeight="1">
      <c r="A65" s="51" t="inlineStr">
        <is>
          <t>Socrates South Power Generation</t>
        </is>
      </c>
      <c r="B65" s="51" t="inlineStr">
        <is>
          <t>H00 - INDUSTRIAL SINGLE COND...</t>
        </is>
      </c>
      <c r="C65" s="52" t="inlineStr">
        <is>
          <t>PV / LV single-conductor power: 10% of W&amp;C = $160,000</t>
        </is>
      </c>
    </row>
    <row r="66" ht="23" customHeight="1">
      <c r="A66" s="51" t="inlineStr">
        <is>
          <t>Socrates South Power Generation</t>
        </is>
      </c>
      <c r="B66" s="51" t="inlineStr">
        <is>
          <t>M20 - SUBSTATION</t>
        </is>
      </c>
      <c r="C66" s="52" t="inlineStr">
        <is>
          <t>Other - substation / switchyard: 5% of W&amp;C = $80,000</t>
        </is>
      </c>
    </row>
    <row r="67" ht="23" customHeight="1">
      <c r="A67" s="51" t="inlineStr">
        <is>
          <t>Socrates North Power Generation</t>
        </is>
      </c>
      <c r="B67" s="51" t="inlineStr">
        <is>
          <t>G00 - MEDIUM VOLTAGE POWER...</t>
        </is>
      </c>
      <c r="C67" s="52" t="inlineStr">
        <is>
          <t>MV power cable: 42% of W&amp;C = $672,000</t>
        </is>
      </c>
    </row>
    <row r="68" ht="23" customHeight="1">
      <c r="A68" s="51" t="inlineStr">
        <is>
          <t>Socrates North Power Generation</t>
        </is>
      </c>
      <c r="B68" s="51" t="inlineStr">
        <is>
          <t>J10 - INDUSTRIAL ARMORED CAB...</t>
        </is>
      </c>
      <c r="C68" s="52" t="inlineStr">
        <is>
          <t>Tray cable (TC) - control &amp; instrumentation: 43% of W&amp;C = $688,000</t>
        </is>
      </c>
    </row>
    <row r="69" ht="23" customHeight="1">
      <c r="A69" s="51" t="inlineStr">
        <is>
          <t>Socrates North Power Generation</t>
        </is>
      </c>
      <c r="B69" s="51" t="inlineStr">
        <is>
          <t>H00 - INDUSTRIAL SINGLE COND...</t>
        </is>
      </c>
      <c r="C69" s="52" t="inlineStr">
        <is>
          <t>PV / LV single-conductor power: 10% of W&amp;C = $160,000</t>
        </is>
      </c>
    </row>
    <row r="70" ht="23" customHeight="1">
      <c r="A70" s="51" t="inlineStr">
        <is>
          <t>Socrates North Power Generation</t>
        </is>
      </c>
      <c r="B70" s="51" t="inlineStr">
        <is>
          <t>M20 - SUBSTATION</t>
        </is>
      </c>
      <c r="C70" s="52" t="inlineStr">
        <is>
          <t>Other - substation / switchyard: 5% of W&amp;C = $80,000</t>
        </is>
      </c>
    </row>
    <row r="71" ht="23" customHeight="1">
      <c r="A71" s="51" t="inlineStr">
        <is>
          <t>Homer City Energy Campus</t>
        </is>
      </c>
      <c r="B71" s="51" t="inlineStr">
        <is>
          <t>G00 - MEDIUM VOLTAGE POWER...</t>
        </is>
      </c>
      <c r="C71" s="52" t="inlineStr">
        <is>
          <t>MV power cable: 42% of W&amp;C = $14,784,000</t>
        </is>
      </c>
    </row>
    <row r="72" ht="23" customHeight="1">
      <c r="A72" s="51" t="inlineStr">
        <is>
          <t>Homer City Energy Campus</t>
        </is>
      </c>
      <c r="B72" s="51" t="inlineStr">
        <is>
          <t>J10 - INDUSTRIAL ARMORED CAB...</t>
        </is>
      </c>
      <c r="C72" s="52" t="inlineStr">
        <is>
          <t>Tray cable (TC) - control &amp; instrumentation: 43% of W&amp;C = $15,136,000</t>
        </is>
      </c>
    </row>
    <row r="73" ht="23" customHeight="1">
      <c r="A73" s="51" t="inlineStr">
        <is>
          <t>Homer City Energy Campus</t>
        </is>
      </c>
      <c r="B73" s="51" t="inlineStr">
        <is>
          <t>H00 - INDUSTRIAL SINGLE COND...</t>
        </is>
      </c>
      <c r="C73" s="52" t="inlineStr">
        <is>
          <t>PV / LV single-conductor power: 10% of W&amp;C = $3,520,000</t>
        </is>
      </c>
    </row>
    <row r="74" ht="23" customHeight="1">
      <c r="A74" s="51" t="inlineStr">
        <is>
          <t>Homer City Energy Campus</t>
        </is>
      </c>
      <c r="B74" s="51" t="inlineStr">
        <is>
          <t>M20 - SUBSTATION</t>
        </is>
      </c>
      <c r="C74" s="52" t="inlineStr">
        <is>
          <t>Other - substation / switchyard: 5% of W&amp;C = $1,760,000</t>
        </is>
      </c>
    </row>
    <row r="75" ht="23" customHeight="1">
      <c r="A75" s="51" t="inlineStr">
        <is>
          <t>Sandow Lakes Energy Station</t>
        </is>
      </c>
      <c r="B75" s="51" t="inlineStr">
        <is>
          <t>G00 - MEDIUM VOLTAGE POWER...</t>
        </is>
      </c>
      <c r="C75" s="52" t="inlineStr">
        <is>
          <t>MV power cable: 42% of W&amp;C = $4,032,000</t>
        </is>
      </c>
    </row>
    <row r="76" ht="23" customHeight="1">
      <c r="A76" s="51" t="inlineStr">
        <is>
          <t>Sandow Lakes Energy Station</t>
        </is>
      </c>
      <c r="B76" s="51" t="inlineStr">
        <is>
          <t>J10 - INDUSTRIAL ARMORED CAB...</t>
        </is>
      </c>
      <c r="C76" s="52" t="inlineStr">
        <is>
          <t>Tray cable (TC) - control &amp; instrumentation: 43% of W&amp;C = $4,128,000</t>
        </is>
      </c>
    </row>
    <row r="77" ht="23" customHeight="1">
      <c r="A77" s="51" t="inlineStr">
        <is>
          <t>Sandow Lakes Energy Station</t>
        </is>
      </c>
      <c r="B77" s="51" t="inlineStr">
        <is>
          <t>H00 - INDUSTRIAL SINGLE COND...</t>
        </is>
      </c>
      <c r="C77" s="52" t="inlineStr">
        <is>
          <t>PV / LV single-conductor power: 10% of W&amp;C = $960,000</t>
        </is>
      </c>
    </row>
    <row r="78" ht="23" customHeight="1">
      <c r="A78" s="51" t="inlineStr">
        <is>
          <t>Sandow Lakes Energy Station</t>
        </is>
      </c>
      <c r="B78" s="51" t="inlineStr">
        <is>
          <t>M20 - SUBSTATION</t>
        </is>
      </c>
      <c r="C78" s="52" t="inlineStr">
        <is>
          <t>Other - substation / switchyard: 5% of W&amp;C = $480,000</t>
        </is>
      </c>
    </row>
    <row r="79" ht="23" customHeight="1">
      <c r="A79" s="51" t="inlineStr">
        <is>
          <t>Sandow Lakes Energy Station</t>
        </is>
      </c>
      <c r="B79" s="51" t="inlineStr">
        <is>
          <t>P10 - BARE AL</t>
        </is>
      </c>
      <c r="C79" s="52" t="inlineStr">
        <is>
          <t>Bare overhead conductor - gen-tie (not in $8/kW split)</t>
        </is>
      </c>
    </row>
    <row r="80" ht="23" customHeight="1">
      <c r="A80" s="51" t="inlineStr">
        <is>
          <t>Wolf Summit Energy Center</t>
        </is>
      </c>
      <c r="B80" s="51" t="inlineStr">
        <is>
          <t>G00 - MEDIUM VOLTAGE POWER...</t>
        </is>
      </c>
      <c r="C80" s="52" t="inlineStr">
        <is>
          <t>MV power cable: 42% of W&amp;C = $2,049,600</t>
        </is>
      </c>
    </row>
    <row r="81" ht="23" customHeight="1">
      <c r="A81" s="51" t="inlineStr">
        <is>
          <t>Wolf Summit Energy Center</t>
        </is>
      </c>
      <c r="B81" s="51" t="inlineStr">
        <is>
          <t>J10 - INDUSTRIAL ARMORED CAB...</t>
        </is>
      </c>
      <c r="C81" s="52" t="inlineStr">
        <is>
          <t>Tray cable (TC) - control &amp; instrumentation: 43% of W&amp;C = $2,098,400</t>
        </is>
      </c>
    </row>
    <row r="82" ht="23" customHeight="1">
      <c r="A82" s="51" t="inlineStr">
        <is>
          <t>Wolf Summit Energy Center</t>
        </is>
      </c>
      <c r="B82" s="51" t="inlineStr">
        <is>
          <t>H00 - INDUSTRIAL SINGLE COND...</t>
        </is>
      </c>
      <c r="C82" s="52" t="inlineStr">
        <is>
          <t>PV / LV single-conductor power: 10% of W&amp;C = $488,000</t>
        </is>
      </c>
    </row>
    <row r="83" ht="23" customHeight="1">
      <c r="A83" s="51" t="inlineStr">
        <is>
          <t>Wolf Summit Energy Center</t>
        </is>
      </c>
      <c r="B83" s="51" t="inlineStr">
        <is>
          <t>M20 - SUBSTATION</t>
        </is>
      </c>
      <c r="C83" s="52" t="inlineStr">
        <is>
          <t>Other - substation / switchyard: 5% of W&amp;C = $244,000</t>
        </is>
      </c>
    </row>
    <row r="84" ht="23" customHeight="1">
      <c r="A84" s="51" t="inlineStr">
        <is>
          <t>Cedar Bayou Unit 5</t>
        </is>
      </c>
      <c r="B84" s="51" t="inlineStr">
        <is>
          <t>G00 - MEDIUM VOLTAGE POWER...</t>
        </is>
      </c>
      <c r="C84" s="52" t="inlineStr">
        <is>
          <t>MV power cable: 42% of W&amp;C = $2,315,040</t>
        </is>
      </c>
    </row>
    <row r="85" ht="23" customHeight="1">
      <c r="A85" s="51" t="inlineStr">
        <is>
          <t>Cedar Bayou Unit 5</t>
        </is>
      </c>
      <c r="B85" s="51" t="inlineStr">
        <is>
          <t>J10 - INDUSTRIAL ARMORED CAB...</t>
        </is>
      </c>
      <c r="C85" s="52" t="inlineStr">
        <is>
          <t>Tray cable (TC) - control &amp; instrumentation: 43% of W&amp;C = $2,370,160</t>
        </is>
      </c>
    </row>
    <row r="86" ht="23" customHeight="1">
      <c r="A86" s="51" t="inlineStr">
        <is>
          <t>Cedar Bayou Unit 5</t>
        </is>
      </c>
      <c r="B86" s="51" t="inlineStr">
        <is>
          <t>H00 - INDUSTRIAL SINGLE COND...</t>
        </is>
      </c>
      <c r="C86" s="52" t="inlineStr">
        <is>
          <t>PV / LV single-conductor power: 10% of W&amp;C = $551,200</t>
        </is>
      </c>
    </row>
    <row r="87" ht="23" customHeight="1">
      <c r="A87" s="51" t="inlineStr">
        <is>
          <t>Cedar Bayou Unit 5</t>
        </is>
      </c>
      <c r="B87" s="51" t="inlineStr">
        <is>
          <t>M20 - SUBSTATION</t>
        </is>
      </c>
      <c r="C87" s="52" t="inlineStr">
        <is>
          <t>Other - substation / switchyard: 5% of W&amp;C = $275,600</t>
        </is>
      </c>
    </row>
    <row r="88" ht="23" customHeight="1">
      <c r="A88" s="51" t="inlineStr">
        <is>
          <t>CPV Basin Ranch Energy Center</t>
        </is>
      </c>
      <c r="B88" s="51" t="inlineStr">
        <is>
          <t>G00 - MEDIUM VOLTAGE POWER...</t>
        </is>
      </c>
      <c r="C88" s="52" t="inlineStr">
        <is>
          <t>MV power cable: 42% of W&amp;C = $4,536,000</t>
        </is>
      </c>
    </row>
    <row r="89" ht="23" customHeight="1">
      <c r="A89" s="51" t="inlineStr">
        <is>
          <t>CPV Basin Ranch Energy Center</t>
        </is>
      </c>
      <c r="B89" s="51" t="inlineStr">
        <is>
          <t>J10 - INDUSTRIAL ARMORED CAB...</t>
        </is>
      </c>
      <c r="C89" s="52" t="inlineStr">
        <is>
          <t>Tray cable (TC) - control &amp; instrumentation: 43% of W&amp;C = $4,644,000</t>
        </is>
      </c>
    </row>
    <row r="90" ht="23" customHeight="1">
      <c r="A90" s="51" t="inlineStr">
        <is>
          <t>CPV Basin Ranch Energy Center</t>
        </is>
      </c>
      <c r="B90" s="51" t="inlineStr">
        <is>
          <t>H00 - INDUSTRIAL SINGLE COND...</t>
        </is>
      </c>
      <c r="C90" s="52" t="inlineStr">
        <is>
          <t>PV / LV single-conductor power: 10% of W&amp;C = $1,080,000</t>
        </is>
      </c>
    </row>
    <row r="91" ht="23" customHeight="1">
      <c r="A91" s="51" t="inlineStr">
        <is>
          <t>CPV Basin Ranch Energy Center</t>
        </is>
      </c>
      <c r="B91" s="51" t="inlineStr">
        <is>
          <t>M20 - SUBSTATION</t>
        </is>
      </c>
      <c r="C91" s="52" t="inlineStr">
        <is>
          <t>Other - substation / switchyard: 5% of W&amp;C = $540,000</t>
        </is>
      </c>
    </row>
    <row r="92" ht="23" customHeight="1">
      <c r="A92" s="51" t="inlineStr">
        <is>
          <t>CPV Basin Ranch Energy Center</t>
        </is>
      </c>
      <c r="B92" s="51" t="inlineStr">
        <is>
          <t>P10 - BARE AL</t>
        </is>
      </c>
      <c r="C92" s="52" t="inlineStr">
        <is>
          <t>Bare overhead conductor - gen-tie (not in $8/kW split)</t>
        </is>
      </c>
    </row>
    <row r="93" ht="23" customHeight="1">
      <c r="A93" s="51" t="inlineStr">
        <is>
          <t>CPV Shay Energy Center</t>
        </is>
      </c>
      <c r="B93" s="51" t="inlineStr">
        <is>
          <t>G00 - MEDIUM VOLTAGE POWER...</t>
        </is>
      </c>
      <c r="C93" s="52" t="inlineStr">
        <is>
          <t>MV power cable: 42% of W&amp;C = $7,056,000</t>
        </is>
      </c>
    </row>
    <row r="94" ht="23" customHeight="1">
      <c r="A94" s="51" t="inlineStr">
        <is>
          <t>CPV Shay Energy Center</t>
        </is>
      </c>
      <c r="B94" s="51" t="inlineStr">
        <is>
          <t>J10 - INDUSTRIAL ARMORED CAB...</t>
        </is>
      </c>
      <c r="C94" s="52" t="inlineStr">
        <is>
          <t>Tray cable (TC) - control &amp; instrumentation: 43% of W&amp;C = $7,224,000</t>
        </is>
      </c>
    </row>
    <row r="95" ht="23" customHeight="1">
      <c r="A95" s="51" t="inlineStr">
        <is>
          <t>CPV Shay Energy Center</t>
        </is>
      </c>
      <c r="B95" s="51" t="inlineStr">
        <is>
          <t>H00 - INDUSTRIAL SINGLE COND...</t>
        </is>
      </c>
      <c r="C95" s="52" t="inlineStr">
        <is>
          <t>PV / LV single-conductor power: 10% of W&amp;C = $1,680,000</t>
        </is>
      </c>
    </row>
    <row r="96" ht="23" customHeight="1">
      <c r="A96" s="51" t="inlineStr">
        <is>
          <t>CPV Shay Energy Center</t>
        </is>
      </c>
      <c r="B96" s="51" t="inlineStr">
        <is>
          <t>M20 - SUBSTATION</t>
        </is>
      </c>
      <c r="C96" s="52" t="inlineStr">
        <is>
          <t>Other - substation / switchyard: 5% of W&amp;C = $840,000</t>
        </is>
      </c>
    </row>
    <row r="97" ht="23" customHeight="1">
      <c r="A97" s="51" t="inlineStr">
        <is>
          <t>CPV Shay Energy Center</t>
        </is>
      </c>
      <c r="B97" s="51" t="inlineStr">
        <is>
          <t>P10 - BARE AL</t>
        </is>
      </c>
      <c r="C97" s="52" t="inlineStr">
        <is>
          <t>Bare overhead conductor - gen-tie (not in $8/kW split)</t>
        </is>
      </c>
    </row>
    <row r="98" ht="23" customHeight="1">
      <c r="A98" s="51" t="inlineStr">
        <is>
          <t>CPV Clean Energy Future - Oregon (Oregon Energy Center)</t>
        </is>
      </c>
      <c r="B98" s="51" t="inlineStr">
        <is>
          <t>G00 - MEDIUM VOLTAGE POWER...</t>
        </is>
      </c>
      <c r="C98" s="52" t="inlineStr">
        <is>
          <t>MV power cable: 42% of W&amp;C = $4,956,000</t>
        </is>
      </c>
    </row>
    <row r="99" ht="23" customHeight="1">
      <c r="A99" s="51" t="inlineStr">
        <is>
          <t>CPV Clean Energy Future - Oregon (Oregon Energy Center)</t>
        </is>
      </c>
      <c r="B99" s="51" t="inlineStr">
        <is>
          <t>J10 - INDUSTRIAL ARMORED CAB...</t>
        </is>
      </c>
      <c r="C99" s="52" t="inlineStr">
        <is>
          <t>Tray cable (TC) - control &amp; instrumentation: 43% of W&amp;C = $5,074,000</t>
        </is>
      </c>
    </row>
    <row r="100" ht="23" customHeight="1">
      <c r="A100" s="51" t="inlineStr">
        <is>
          <t>CPV Clean Energy Future - Oregon (Oregon Energy Center)</t>
        </is>
      </c>
      <c r="B100" s="51" t="inlineStr">
        <is>
          <t>H00 - INDUSTRIAL SINGLE COND...</t>
        </is>
      </c>
      <c r="C100" s="52" t="inlineStr">
        <is>
          <t>PV / LV single-conductor power: 10% of W&amp;C = $1,180,000</t>
        </is>
      </c>
    </row>
    <row r="101" ht="23" customHeight="1">
      <c r="A101" s="51" t="inlineStr">
        <is>
          <t>CPV Clean Energy Future - Oregon (Oregon Energy Center)</t>
        </is>
      </c>
      <c r="B101" s="51" t="inlineStr">
        <is>
          <t>M20 - SUBSTATION</t>
        </is>
      </c>
      <c r="C101" s="52" t="inlineStr">
        <is>
          <t>Other - substation / switchyard: 5% of W&amp;C = $590,000</t>
        </is>
      </c>
    </row>
    <row r="102" ht="23" customHeight="1">
      <c r="A102" s="51" t="inlineStr">
        <is>
          <t>Lincoln Land Energy Center (LLEC)</t>
        </is>
      </c>
      <c r="B102" s="51" t="inlineStr">
        <is>
          <t>G00 - MEDIUM VOLTAGE POWER...</t>
        </is>
      </c>
      <c r="C102" s="52" t="inlineStr">
        <is>
          <t>MV power cable: 42% of W&amp;C = $3,998,400</t>
        </is>
      </c>
    </row>
    <row r="103" ht="23" customHeight="1">
      <c r="A103" s="51" t="inlineStr">
        <is>
          <t>Lincoln Land Energy Center (LLEC)</t>
        </is>
      </c>
      <c r="B103" s="51" t="inlineStr">
        <is>
          <t>J10 - INDUSTRIAL ARMORED CAB...</t>
        </is>
      </c>
      <c r="C103" s="52" t="inlineStr">
        <is>
          <t>Tray cable (TC) - control &amp; instrumentation: 43% of W&amp;C = $4,093,600</t>
        </is>
      </c>
    </row>
    <row r="104" ht="23" customHeight="1">
      <c r="A104" s="51" t="inlineStr">
        <is>
          <t>Lincoln Land Energy Center (LLEC)</t>
        </is>
      </c>
      <c r="B104" s="51" t="inlineStr">
        <is>
          <t>H00 - INDUSTRIAL SINGLE COND...</t>
        </is>
      </c>
      <c r="C104" s="52" t="inlineStr">
        <is>
          <t>PV / LV single-conductor power: 10% of W&amp;C = $952,000</t>
        </is>
      </c>
    </row>
    <row r="105" ht="23" customHeight="1">
      <c r="A105" s="51" t="inlineStr">
        <is>
          <t>Lincoln Land Energy Center (LLEC)</t>
        </is>
      </c>
      <c r="B105" s="51" t="inlineStr">
        <is>
          <t>M20 - SUBSTATION</t>
        </is>
      </c>
      <c r="C105" s="52" t="inlineStr">
        <is>
          <t>Other - substation / switchyard: 5% of W&amp;C = $476,000</t>
        </is>
      </c>
    </row>
    <row r="106" ht="23" customHeight="1">
      <c r="A106" s="51" t="inlineStr">
        <is>
          <t>Project Kilby (Chevron West Texas Power)</t>
        </is>
      </c>
      <c r="B106" s="51" t="inlineStr">
        <is>
          <t>G00 - MEDIUM VOLTAGE POWER...</t>
        </is>
      </c>
      <c r="C106" s="52" t="inlineStr">
        <is>
          <t>MV power cable: 42% of W&amp;C = $8,971,200</t>
        </is>
      </c>
    </row>
    <row r="107" ht="23" customHeight="1">
      <c r="A107" s="51" t="inlineStr">
        <is>
          <t>Project Kilby (Chevron West Texas Power)</t>
        </is>
      </c>
      <c r="B107" s="51" t="inlineStr">
        <is>
          <t>J10 - INDUSTRIAL ARMORED CAB...</t>
        </is>
      </c>
      <c r="C107" s="52" t="inlineStr">
        <is>
          <t>Tray cable (TC) - control &amp; instrumentation: 43% of W&amp;C = $9,184,800</t>
        </is>
      </c>
    </row>
    <row r="108" ht="23" customHeight="1">
      <c r="A108" s="51" t="inlineStr">
        <is>
          <t>Project Kilby (Chevron West Texas Power)</t>
        </is>
      </c>
      <c r="B108" s="51" t="inlineStr">
        <is>
          <t>H00 - INDUSTRIAL SINGLE COND...</t>
        </is>
      </c>
      <c r="C108" s="52" t="inlineStr">
        <is>
          <t>PV / LV single-conductor power: 10% of W&amp;C = $2,136,000</t>
        </is>
      </c>
    </row>
    <row r="109" ht="23" customHeight="1">
      <c r="A109" s="51" t="inlineStr">
        <is>
          <t>Project Kilby (Chevron West Texas Power)</t>
        </is>
      </c>
      <c r="B109" s="51" t="inlineStr">
        <is>
          <t>M20 - SUBSTATION</t>
        </is>
      </c>
      <c r="C109" s="52" t="inlineStr">
        <is>
          <t>Other - substation / switchyard: 5% of W&amp;C = $1,068,000</t>
        </is>
      </c>
    </row>
    <row r="110" ht="23" customHeight="1">
      <c r="A110" s="51" t="inlineStr">
        <is>
          <t>Shippingport Power Station Phase II</t>
        </is>
      </c>
      <c r="B110" s="51" t="inlineStr">
        <is>
          <t>G00 - MEDIUM VOLTAGE POWER...</t>
        </is>
      </c>
      <c r="C110" s="52" t="inlineStr">
        <is>
          <t>MV power cable: 42% of W&amp;C = $8,568,000</t>
        </is>
      </c>
    </row>
    <row r="111" ht="23" customHeight="1">
      <c r="A111" s="51" t="inlineStr">
        <is>
          <t>Shippingport Power Station Phase II</t>
        </is>
      </c>
      <c r="B111" s="51" t="inlineStr">
        <is>
          <t>J10 - INDUSTRIAL ARMORED CAB...</t>
        </is>
      </c>
      <c r="C111" s="52" t="inlineStr">
        <is>
          <t>Tray cable (TC) - control &amp; instrumentation: 43% of W&amp;C = $8,772,000</t>
        </is>
      </c>
    </row>
    <row r="112" ht="23" customHeight="1">
      <c r="A112" s="51" t="inlineStr">
        <is>
          <t>Shippingport Power Station Phase II</t>
        </is>
      </c>
      <c r="B112" s="51" t="inlineStr">
        <is>
          <t>H00 - INDUSTRIAL SINGLE COND...</t>
        </is>
      </c>
      <c r="C112" s="52" t="inlineStr">
        <is>
          <t>PV / LV single-conductor power: 10% of W&amp;C = $2,040,000</t>
        </is>
      </c>
    </row>
    <row r="113" ht="23" customHeight="1">
      <c r="A113" s="51" t="inlineStr">
        <is>
          <t>Shippingport Power Station Phase II</t>
        </is>
      </c>
      <c r="B113" s="51" t="inlineStr">
        <is>
          <t>M20 - SUBSTATION</t>
        </is>
      </c>
      <c r="C113" s="52" t="inlineStr">
        <is>
          <t>Other - substation / switchyard: 5% of W&amp;C = $1,020,000</t>
        </is>
      </c>
    </row>
    <row r="114" ht="23" customHeight="1">
      <c r="A114" s="51" t="inlineStr">
        <is>
          <t>VPN 4420 Natural Gas Generation Component</t>
        </is>
      </c>
      <c r="B114" s="51" t="inlineStr">
        <is>
          <t>G00 - MEDIUM VOLTAGE POWER...</t>
        </is>
      </c>
      <c r="C114" s="52" t="inlineStr">
        <is>
          <t>MV power cable: 42% of W&amp;C = $5,174,400</t>
        </is>
      </c>
    </row>
    <row r="115" ht="23" customHeight="1">
      <c r="A115" s="51" t="inlineStr">
        <is>
          <t>VPN 4420 Natural Gas Generation Component</t>
        </is>
      </c>
      <c r="B115" s="51" t="inlineStr">
        <is>
          <t>J10 - INDUSTRIAL ARMORED CAB...</t>
        </is>
      </c>
      <c r="C115" s="52" t="inlineStr">
        <is>
          <t>Tray cable (TC) - control &amp; instrumentation: 43% of W&amp;C = $5,297,600</t>
        </is>
      </c>
    </row>
    <row r="116" ht="23" customHeight="1">
      <c r="A116" s="51" t="inlineStr">
        <is>
          <t>VPN 4420 Natural Gas Generation Component</t>
        </is>
      </c>
      <c r="B116" s="51" t="inlineStr">
        <is>
          <t>H00 - INDUSTRIAL SINGLE COND...</t>
        </is>
      </c>
      <c r="C116" s="52" t="inlineStr">
        <is>
          <t>PV / LV single-conductor power: 10% of W&amp;C = $1,232,000</t>
        </is>
      </c>
    </row>
    <row r="117" ht="23" customHeight="1">
      <c r="A117" s="51" t="inlineStr">
        <is>
          <t>VPN 4420 Natural Gas Generation Component</t>
        </is>
      </c>
      <c r="B117" s="51" t="inlineStr">
        <is>
          <t>M20 - SUBSTATION</t>
        </is>
      </c>
      <c r="C117" s="52" t="inlineStr">
        <is>
          <t>Other - substation / switchyard: 5% of W&amp;C = $616,000</t>
        </is>
      </c>
    </row>
    <row r="118" ht="23" customHeight="1">
      <c r="A118" s="51" t="n"/>
      <c r="B118" s="51" t="n"/>
      <c r="C118" s="52" t="n"/>
    </row>
    <row r="119" ht="23" customHeight="1">
      <c r="A119" s="51" t="n"/>
      <c r="B119" s="51" t="n"/>
      <c r="C119" s="52" t="n"/>
    </row>
    <row r="120" ht="23" customHeight="1">
      <c r="A120" s="51" t="n"/>
      <c r="B120" s="51" t="n"/>
      <c r="C120" s="52" t="n"/>
    </row>
    <row r="121" ht="23" customHeight="1">
      <c r="A121" s="51" t="n"/>
      <c r="B121" s="51" t="n"/>
      <c r="C121" s="52" t="n"/>
    </row>
    <row r="122" ht="23" customHeight="1">
      <c r="A122" s="51" t="n"/>
      <c r="B122" s="51" t="n"/>
      <c r="C122" s="52" t="n"/>
    </row>
    <row r="123" ht="23" customHeight="1">
      <c r="A123" s="51" t="n"/>
      <c r="B123" s="51" t="n"/>
      <c r="C123" s="52" t="n"/>
    </row>
    <row r="124" ht="23" customHeight="1">
      <c r="A124" s="51" t="n"/>
      <c r="B124" s="51" t="n"/>
      <c r="C124" s="52" t="n"/>
    </row>
    <row r="125" ht="23" customHeight="1">
      <c r="A125" s="51" t="n"/>
      <c r="B125" s="51" t="n"/>
      <c r="C125" s="52" t="n"/>
    </row>
    <row r="126" ht="23" customHeight="1">
      <c r="A126" s="51" t="n"/>
      <c r="B126" s="51" t="n"/>
      <c r="C126" s="52" t="n"/>
    </row>
    <row r="127" ht="23" customHeight="1">
      <c r="A127" s="51" t="n"/>
      <c r="B127" s="51" t="n"/>
      <c r="C127" s="52" t="n"/>
    </row>
    <row r="128" ht="23" customHeight="1">
      <c r="A128" s="51" t="n"/>
      <c r="B128" s="51" t="n"/>
      <c r="C128" s="52" t="n"/>
    </row>
    <row r="129" ht="23" customHeight="1">
      <c r="A129" s="51" t="n"/>
      <c r="B129" s="51" t="n"/>
      <c r="C129" s="52" t="n"/>
    </row>
    <row r="130" ht="23" customHeight="1">
      <c r="A130" s="51" t="n"/>
      <c r="B130" s="51" t="n"/>
      <c r="C130" s="52" t="n"/>
    </row>
    <row r="131" ht="23" customHeight="1">
      <c r="A131" s="51" t="n"/>
      <c r="B131" s="51" t="n"/>
      <c r="C131" s="52" t="n"/>
    </row>
    <row r="132" ht="23" customHeight="1">
      <c r="A132" s="51" t="n"/>
      <c r="B132" s="51" t="n"/>
      <c r="C132" s="52" t="n"/>
    </row>
    <row r="133" ht="23" customHeight="1">
      <c r="A133" s="51" t="n"/>
      <c r="B133" s="51" t="n"/>
      <c r="C133" s="52" t="n"/>
    </row>
    <row r="134" ht="23" customHeight="1">
      <c r="A134" s="51" t="n"/>
      <c r="B134" s="51" t="n"/>
      <c r="C134" s="52" t="n"/>
    </row>
    <row r="135" ht="23" customHeight="1">
      <c r="A135" s="51" t="n"/>
      <c r="B135" s="51" t="n"/>
      <c r="C135" s="52" t="n"/>
    </row>
    <row r="136" ht="23" customHeight="1">
      <c r="A136" s="51" t="n"/>
      <c r="B136" s="51" t="n"/>
      <c r="C136" s="52" t="n"/>
    </row>
    <row r="137" ht="23" customHeight="1">
      <c r="A137" s="51" t="n"/>
      <c r="B137" s="51" t="n"/>
      <c r="C137" s="52" t="n"/>
    </row>
    <row r="138" ht="23" customHeight="1">
      <c r="A138" s="51" t="n"/>
      <c r="B138" s="51" t="n"/>
      <c r="C138" s="52" t="n"/>
    </row>
    <row r="139" ht="23" customHeight="1">
      <c r="A139" s="51" t="n"/>
      <c r="B139" s="51" t="n"/>
      <c r="C139" s="52" t="n"/>
    </row>
    <row r="140" ht="23" customHeight="1">
      <c r="A140" s="51" t="n"/>
      <c r="B140" s="51" t="n"/>
      <c r="C140" s="52" t="n"/>
    </row>
    <row r="141" ht="23" customHeight="1">
      <c r="A141" s="51" t="n"/>
      <c r="B141" s="51" t="n"/>
      <c r="C141" s="52" t="n"/>
    </row>
    <row r="142" ht="23" customHeight="1">
      <c r="A142" s="51" t="n"/>
      <c r="B142" s="51" t="n"/>
      <c r="C142" s="52" t="n"/>
    </row>
    <row r="143" ht="23" customHeight="1">
      <c r="A143" s="51" t="n"/>
      <c r="B143" s="51" t="n"/>
      <c r="C143" s="52" t="n"/>
    </row>
    <row r="144" ht="23" customHeight="1">
      <c r="A144" s="51" t="n"/>
      <c r="B144" s="51" t="n"/>
      <c r="C144" s="52" t="n"/>
    </row>
    <row r="145" ht="23" customHeight="1">
      <c r="A145" s="51" t="n"/>
      <c r="B145" s="51" t="n"/>
      <c r="C145" s="52" t="n"/>
    </row>
    <row r="146" ht="23" customHeight="1">
      <c r="A146" s="51" t="n"/>
      <c r="B146" s="51" t="n"/>
      <c r="C146" s="52" t="n"/>
    </row>
    <row r="147" ht="23" customHeight="1">
      <c r="A147" s="51" t="n"/>
      <c r="B147" s="51" t="n"/>
      <c r="C147" s="52" t="n"/>
    </row>
    <row r="148" ht="23" customHeight="1">
      <c r="A148" s="51" t="n"/>
      <c r="B148" s="51" t="n"/>
      <c r="C148" s="52" t="n"/>
    </row>
    <row r="149" ht="23" customHeight="1">
      <c r="A149" s="51" t="n"/>
      <c r="B149" s="51" t="n"/>
      <c r="C149" s="52" t="n"/>
    </row>
    <row r="150" ht="23" customHeight="1">
      <c r="A150" s="51" t="n"/>
      <c r="B150" s="51" t="n"/>
      <c r="C150" s="52" t="n"/>
    </row>
    <row r="151" ht="23" customHeight="1">
      <c r="A151" s="51" t="n"/>
      <c r="B151" s="51" t="n"/>
      <c r="C151" s="52" t="n"/>
    </row>
    <row r="152" ht="23" customHeight="1">
      <c r="A152" s="51" t="n"/>
      <c r="B152" s="51" t="n"/>
      <c r="C152" s="52" t="n"/>
    </row>
    <row r="153" ht="23" customHeight="1">
      <c r="A153" s="51" t="n"/>
      <c r="B153" s="51" t="n"/>
      <c r="C153" s="52" t="n"/>
    </row>
    <row r="154" ht="23" customHeight="1">
      <c r="A154" s="51" t="n"/>
      <c r="B154" s="51" t="n"/>
      <c r="C154" s="52" t="n"/>
    </row>
    <row r="155" ht="23" customHeight="1">
      <c r="A155" s="51" t="n"/>
      <c r="B155" s="51" t="n"/>
      <c r="C155" s="52" t="n"/>
    </row>
    <row r="156" ht="23" customHeight="1">
      <c r="A156" s="51" t="n"/>
      <c r="B156" s="51" t="n"/>
      <c r="C156" s="52" t="n"/>
    </row>
    <row r="157" ht="23" customHeight="1">
      <c r="A157" s="51" t="n"/>
      <c r="B157" s="51" t="n"/>
      <c r="C157" s="52" t="n"/>
    </row>
    <row r="158" ht="23" customHeight="1">
      <c r="A158" s="51" t="n"/>
      <c r="B158" s="51" t="n"/>
      <c r="C158" s="52" t="n"/>
    </row>
    <row r="159" ht="23" customHeight="1">
      <c r="A159" s="51" t="n"/>
      <c r="B159" s="51" t="n"/>
      <c r="C159" s="52" t="n"/>
    </row>
    <row r="160" ht="23" customHeight="1">
      <c r="A160" s="51" t="n"/>
      <c r="B160" s="51" t="n"/>
      <c r="C160" s="52" t="n"/>
    </row>
    <row r="161" ht="23" customHeight="1">
      <c r="A161" s="51" t="n"/>
      <c r="B161" s="51" t="n"/>
      <c r="C161" s="52" t="n"/>
    </row>
    <row r="162" ht="23" customHeight="1">
      <c r="A162" s="51" t="n"/>
      <c r="B162" s="51" t="n"/>
      <c r="C162" s="52" t="n"/>
    </row>
    <row r="163" ht="23" customHeight="1">
      <c r="A163" s="51" t="n"/>
      <c r="B163" s="51" t="n"/>
      <c r="C163" s="52" t="n"/>
    </row>
    <row r="164" ht="23" customHeight="1">
      <c r="A164" s="51" t="n"/>
      <c r="B164" s="51" t="n"/>
      <c r="C164" s="52" t="n"/>
    </row>
    <row r="165" ht="23" customHeight="1">
      <c r="A165" s="51" t="n"/>
      <c r="B165" s="51" t="n"/>
      <c r="C165" s="52" t="n"/>
    </row>
    <row r="166" ht="23" customHeight="1">
      <c r="A166" s="51" t="n"/>
      <c r="B166" s="51" t="n"/>
      <c r="C166" s="52" t="n"/>
    </row>
    <row r="167" ht="23" customHeight="1">
      <c r="A167" s="51" t="n"/>
      <c r="B167" s="51" t="n"/>
      <c r="C167" s="52" t="n"/>
    </row>
    <row r="168" ht="23" customHeight="1">
      <c r="A168" s="51" t="n"/>
      <c r="B168" s="51" t="n"/>
      <c r="C168" s="52" t="n"/>
    </row>
    <row r="169" ht="23" customHeight="1">
      <c r="A169" s="51" t="n"/>
      <c r="B169" s="51" t="n"/>
      <c r="C169" s="52" t="n"/>
    </row>
    <row r="170" ht="23" customHeight="1">
      <c r="A170" s="51" t="n"/>
      <c r="B170" s="51" t="n"/>
      <c r="C170" s="52" t="n"/>
    </row>
    <row r="171" ht="23" customHeight="1">
      <c r="A171" s="51" t="n"/>
      <c r="B171" s="51" t="n"/>
      <c r="C171" s="52" t="n"/>
    </row>
    <row r="172" ht="23" customHeight="1">
      <c r="A172" s="51" t="n"/>
      <c r="B172" s="51" t="n"/>
      <c r="C172" s="52" t="n"/>
    </row>
    <row r="173" ht="23" customHeight="1">
      <c r="A173" s="51" t="n"/>
      <c r="B173" s="51" t="n"/>
      <c r="C173" s="52" t="n"/>
    </row>
    <row r="174" ht="23" customHeight="1">
      <c r="A174" s="51" t="n"/>
      <c r="B174" s="51" t="n"/>
      <c r="C174" s="52" t="n"/>
    </row>
    <row r="175" ht="23" customHeight="1">
      <c r="A175" s="51" t="n"/>
      <c r="B175" s="51" t="n"/>
      <c r="C175" s="52" t="n"/>
    </row>
    <row r="176" ht="23" customHeight="1">
      <c r="A176" s="51" t="n"/>
      <c r="B176" s="51" t="n"/>
      <c r="C176" s="52" t="n"/>
    </row>
    <row r="177" ht="23" customHeight="1">
      <c r="A177" s="51" t="n"/>
      <c r="B177" s="51" t="n"/>
      <c r="C177" s="52" t="n"/>
    </row>
    <row r="178" ht="23" customHeight="1">
      <c r="A178" s="51" t="n"/>
      <c r="B178" s="51" t="n"/>
      <c r="C178" s="52" t="n"/>
    </row>
    <row r="179" ht="23" customHeight="1">
      <c r="A179" s="51" t="n"/>
      <c r="B179" s="51" t="n"/>
      <c r="C179" s="52" t="n"/>
    </row>
    <row r="180" ht="23" customHeight="1">
      <c r="A180" s="51" t="n"/>
      <c r="B180" s="51" t="n"/>
      <c r="C180" s="52" t="n"/>
    </row>
    <row r="181" ht="23" customHeight="1">
      <c r="A181" s="51" t="n"/>
      <c r="B181" s="51" t="n"/>
      <c r="C181" s="52" t="n"/>
    </row>
    <row r="182" ht="23" customHeight="1">
      <c r="A182" s="51" t="n"/>
      <c r="B182" s="51" t="n"/>
      <c r="C182" s="52" t="n"/>
    </row>
    <row r="183" ht="23" customHeight="1">
      <c r="A183" s="51" t="n"/>
      <c r="B183" s="51" t="n"/>
      <c r="C183" s="52" t="n"/>
    </row>
    <row r="184" ht="23" customHeight="1">
      <c r="A184" s="51" t="n"/>
      <c r="B184" s="51" t="n"/>
      <c r="C184" s="52" t="n"/>
    </row>
    <row r="185" ht="23" customHeight="1">
      <c r="A185" s="51" t="n"/>
      <c r="B185" s="51" t="n"/>
      <c r="C185" s="52" t="n"/>
    </row>
    <row r="186" ht="23" customHeight="1">
      <c r="A186" s="51" t="n"/>
      <c r="B186" s="51" t="n"/>
      <c r="C186" s="52" t="n"/>
    </row>
    <row r="187" ht="23" customHeight="1">
      <c r="A187" s="51" t="n"/>
      <c r="B187" s="51" t="n"/>
      <c r="C187" s="52" t="n"/>
    </row>
    <row r="188" ht="23" customHeight="1">
      <c r="A188" s="51" t="n"/>
      <c r="B188" s="51" t="n"/>
      <c r="C188" s="52" t="n"/>
    </row>
    <row r="189" ht="23" customHeight="1">
      <c r="A189" s="51" t="n"/>
      <c r="B189" s="51" t="n"/>
      <c r="C189" s="52" t="n"/>
    </row>
    <row r="190" ht="23" customHeight="1">
      <c r="A190" s="51" t="n"/>
      <c r="B190" s="51" t="n"/>
      <c r="C190" s="52" t="n"/>
    </row>
    <row r="191" ht="23" customHeight="1">
      <c r="A191" s="51" t="n"/>
      <c r="B191" s="51" t="n"/>
      <c r="C191" s="52" t="n"/>
    </row>
    <row r="192" ht="23" customHeight="1">
      <c r="A192" s="51" t="n"/>
      <c r="B192" s="51" t="n"/>
      <c r="C192" s="52" t="n"/>
    </row>
    <row r="193" ht="23" customHeight="1">
      <c r="A193" s="51" t="n"/>
      <c r="B193" s="51" t="n"/>
      <c r="C193" s="52" t="n"/>
    </row>
    <row r="194" ht="23" customHeight="1">
      <c r="A194" s="51" t="n"/>
      <c r="B194" s="51" t="n"/>
      <c r="C194" s="52" t="n"/>
    </row>
    <row r="195" ht="23" customHeight="1">
      <c r="A195" s="51" t="n"/>
      <c r="B195" s="51" t="n"/>
      <c r="C195" s="52" t="n"/>
    </row>
    <row r="196" ht="23" customHeight="1">
      <c r="A196" s="51" t="n"/>
      <c r="B196" s="51" t="n"/>
      <c r="C196" s="52" t="n"/>
    </row>
    <row r="197" ht="23" customHeight="1">
      <c r="A197" s="51" t="n"/>
      <c r="B197" s="51" t="n"/>
      <c r="C197" s="52" t="n"/>
    </row>
    <row r="198" ht="23" customHeight="1">
      <c r="A198" s="51" t="n"/>
      <c r="B198" s="51" t="n"/>
      <c r="C198" s="52" t="n"/>
    </row>
    <row r="199" ht="23" customHeight="1">
      <c r="A199" s="51" t="n"/>
      <c r="B199" s="51" t="n"/>
      <c r="C199" s="52" t="n"/>
    </row>
    <row r="200" ht="23" customHeight="1">
      <c r="A200" s="51" t="n"/>
      <c r="B200" s="51" t="n"/>
      <c r="C200" s="52" t="n"/>
    </row>
    <row r="201" ht="23" customHeight="1">
      <c r="A201" s="51" t="n"/>
      <c r="B201" s="51" t="n"/>
      <c r="C201" s="52" t="n"/>
    </row>
    <row r="202" ht="23" customHeight="1">
      <c r="A202" s="51" t="n"/>
      <c r="B202" s="51" t="n"/>
      <c r="C202" s="52" t="n"/>
    </row>
    <row r="203" ht="23" customHeight="1">
      <c r="A203" s="51" t="n"/>
      <c r="B203" s="51" t="n"/>
      <c r="C203" s="52" t="n"/>
    </row>
    <row r="204" ht="23" customHeight="1">
      <c r="A204" s="51" t="n"/>
      <c r="B204" s="51" t="n"/>
      <c r="C204" s="52" t="n"/>
    </row>
    <row r="205" ht="23" customHeight="1">
      <c r="A205" s="51" t="n"/>
      <c r="B205" s="51" t="n"/>
      <c r="C205" s="52" t="n"/>
    </row>
    <row r="206" ht="23" customHeight="1">
      <c r="A206" s="51" t="n"/>
      <c r="B206" s="51" t="n"/>
      <c r="C206" s="52" t="n"/>
    </row>
    <row r="207" ht="23" customHeight="1">
      <c r="A207" s="51" t="n"/>
      <c r="B207" s="51" t="n"/>
      <c r="C207" s="52" t="n"/>
    </row>
    <row r="208" ht="23" customHeight="1">
      <c r="A208" s="51" t="n"/>
      <c r="B208" s="51" t="n"/>
      <c r="C208" s="52" t="n"/>
    </row>
    <row r="209" ht="23" customHeight="1">
      <c r="A209" s="51" t="n"/>
      <c r="B209" s="51" t="n"/>
      <c r="C209" s="52" t="n"/>
    </row>
    <row r="210" ht="23" customHeight="1">
      <c r="A210" s="51" t="n"/>
      <c r="B210" s="51" t="n"/>
      <c r="C210" s="52" t="n"/>
    </row>
    <row r="211" ht="23" customHeight="1">
      <c r="A211" s="51" t="n"/>
      <c r="B211" s="51" t="n"/>
      <c r="C211" s="52" t="n"/>
    </row>
    <row r="212" ht="23" customHeight="1">
      <c r="A212" s="51" t="n"/>
      <c r="B212" s="51" t="n"/>
      <c r="C212" s="52" t="n"/>
    </row>
    <row r="213" ht="23" customHeight="1">
      <c r="A213" s="51" t="n"/>
      <c r="B213" s="51" t="n"/>
      <c r="C213" s="52" t="n"/>
    </row>
    <row r="214" ht="23" customHeight="1">
      <c r="A214" s="51" t="n"/>
      <c r="B214" s="51" t="n"/>
      <c r="C214" s="52" t="n"/>
    </row>
    <row r="215" ht="23" customHeight="1">
      <c r="A215" s="51" t="n"/>
      <c r="B215" s="51" t="n"/>
      <c r="C215" s="52" t="n"/>
    </row>
    <row r="216" ht="23" customHeight="1">
      <c r="A216" s="51" t="n"/>
      <c r="B216" s="51" t="n"/>
      <c r="C216" s="52" t="n"/>
    </row>
    <row r="217" ht="23" customHeight="1">
      <c r="A217" s="51" t="n"/>
      <c r="B217" s="51" t="n"/>
      <c r="C217" s="52" t="n"/>
    </row>
    <row r="218" ht="23" customHeight="1">
      <c r="A218" s="51" t="n"/>
      <c r="B218" s="51" t="n"/>
      <c r="C218" s="52" t="n"/>
    </row>
    <row r="219" ht="23" customHeight="1">
      <c r="A219" s="51" t="n"/>
      <c r="B219" s="51" t="n"/>
      <c r="C219" s="52" t="n"/>
    </row>
    <row r="220" ht="23" customHeight="1">
      <c r="A220" s="51" t="n"/>
      <c r="B220" s="51" t="n"/>
      <c r="C220" s="52" t="n"/>
    </row>
    <row r="221" ht="23" customHeight="1">
      <c r="A221" s="51" t="n"/>
      <c r="B221" s="51" t="n"/>
      <c r="C221" s="52" t="n"/>
    </row>
    <row r="222" ht="23" customHeight="1">
      <c r="A222" s="51" t="n"/>
      <c r="B222" s="51" t="n"/>
      <c r="C222" s="52" t="n"/>
    </row>
    <row r="223" ht="23" customHeight="1">
      <c r="A223" s="51" t="n"/>
      <c r="B223" s="51" t="n"/>
      <c r="C223" s="52" t="n"/>
    </row>
    <row r="224" ht="23" customHeight="1">
      <c r="A224" s="51" t="n"/>
      <c r="B224" s="51" t="n"/>
      <c r="C224" s="52" t="n"/>
    </row>
    <row r="225" ht="23" customHeight="1">
      <c r="A225" s="51" t="n"/>
      <c r="B225" s="51" t="n"/>
      <c r="C225" s="52" t="n"/>
    </row>
    <row r="226" ht="23" customHeight="1">
      <c r="A226" s="51" t="n"/>
      <c r="B226" s="51" t="n"/>
      <c r="C226" s="52" t="n"/>
    </row>
    <row r="227" ht="23" customHeight="1">
      <c r="A227" s="51" t="n"/>
      <c r="B227" s="51" t="n"/>
      <c r="C227" s="52" t="n"/>
    </row>
    <row r="228" ht="23" customHeight="1">
      <c r="A228" s="51" t="n"/>
      <c r="B228" s="51" t="n"/>
      <c r="C228" s="52" t="n"/>
    </row>
    <row r="229" ht="23" customHeight="1">
      <c r="A229" s="51" t="n"/>
      <c r="B229" s="51" t="n"/>
      <c r="C229" s="52" t="n"/>
    </row>
    <row r="230" ht="23" customHeight="1">
      <c r="A230" s="51" t="n"/>
      <c r="B230" s="51" t="n"/>
      <c r="C230" s="52" t="n"/>
    </row>
    <row r="231" ht="23" customHeight="1">
      <c r="A231" s="51" t="n"/>
      <c r="B231" s="51" t="n"/>
      <c r="C231" s="52" t="n"/>
    </row>
    <row r="232" ht="23" customHeight="1">
      <c r="A232" s="51" t="n"/>
      <c r="B232" s="51" t="n"/>
      <c r="C232" s="52" t="n"/>
    </row>
    <row r="233" ht="23" customHeight="1">
      <c r="A233" s="51" t="n"/>
      <c r="B233" s="51" t="n"/>
      <c r="C233" s="52" t="n"/>
    </row>
    <row r="234" ht="23" customHeight="1">
      <c r="A234" s="51" t="n"/>
      <c r="B234" s="51" t="n"/>
      <c r="C234" s="52" t="n"/>
    </row>
    <row r="235" ht="23" customHeight="1">
      <c r="A235" s="51" t="n"/>
      <c r="B235" s="51" t="n"/>
      <c r="C235" s="52" t="n"/>
    </row>
    <row r="236" ht="23" customHeight="1">
      <c r="A236" s="51" t="n"/>
      <c r="B236" s="51" t="n"/>
      <c r="C236" s="52" t="n"/>
    </row>
    <row r="237" ht="23" customHeight="1">
      <c r="A237" s="51" t="n"/>
      <c r="B237" s="51" t="n"/>
      <c r="C237" s="52" t="n"/>
    </row>
    <row r="238" ht="23" customHeight="1">
      <c r="A238" s="51" t="n"/>
      <c r="B238" s="51" t="n"/>
      <c r="C238" s="52" t="n"/>
    </row>
    <row r="239" ht="23" customHeight="1">
      <c r="A239" s="51" t="n"/>
      <c r="B239" s="51" t="n"/>
      <c r="C239" s="52" t="n"/>
    </row>
    <row r="240" ht="23" customHeight="1">
      <c r="A240" s="51" t="n"/>
      <c r="B240" s="51" t="n"/>
      <c r="C240" s="52" t="n"/>
    </row>
    <row r="241" ht="23" customHeight="1">
      <c r="A241" s="51" t="n"/>
      <c r="B241" s="51" t="n"/>
      <c r="C241" s="52" t="n"/>
    </row>
    <row r="242" ht="23" customHeight="1">
      <c r="A242" s="51" t="n"/>
      <c r="B242" s="51" t="n"/>
      <c r="C242" s="52" t="n"/>
    </row>
    <row r="243" ht="23" customHeight="1">
      <c r="A243" s="51" t="n"/>
      <c r="B243" s="51" t="n"/>
      <c r="C243" s="52" t="n"/>
    </row>
    <row r="244" ht="23" customHeight="1">
      <c r="A244" s="51" t="n"/>
      <c r="B244" s="51" t="n"/>
      <c r="C244" s="52" t="n"/>
    </row>
    <row r="245" ht="23" customHeight="1">
      <c r="A245" s="51" t="n"/>
      <c r="B245" s="51" t="n"/>
      <c r="C245" s="52" t="n"/>
    </row>
    <row r="246" ht="23" customHeight="1">
      <c r="A246" s="51" t="n"/>
      <c r="B246" s="51" t="n"/>
      <c r="C246" s="52" t="n"/>
    </row>
    <row r="247" ht="23" customHeight="1">
      <c r="A247" s="51" t="n"/>
      <c r="B247" s="51" t="n"/>
      <c r="C247" s="52" t="n"/>
    </row>
    <row r="248" ht="23" customHeight="1">
      <c r="A248" s="51" t="n"/>
      <c r="B248" s="51" t="n"/>
      <c r="C248" s="52" t="n"/>
    </row>
    <row r="249" ht="23" customHeight="1">
      <c r="A249" s="51" t="n"/>
      <c r="B249" s="51" t="n"/>
      <c r="C249" s="52" t="n"/>
    </row>
    <row r="250" ht="23" customHeight="1">
      <c r="A250" s="51" t="n"/>
      <c r="B250" s="51" t="n"/>
      <c r="C250" s="52" t="n"/>
    </row>
    <row r="251" ht="23" customHeight="1">
      <c r="A251" s="51" t="n"/>
      <c r="B251" s="51" t="n"/>
      <c r="C251" s="52" t="n"/>
    </row>
    <row r="252" ht="23" customHeight="1">
      <c r="A252" s="51" t="n"/>
      <c r="B252" s="51" t="n"/>
      <c r="C252" s="52" t="n"/>
    </row>
    <row r="253" ht="23" customHeight="1">
      <c r="A253" s="51" t="n"/>
      <c r="B253" s="51" t="n"/>
      <c r="C253" s="52" t="n"/>
    </row>
    <row r="254" ht="23" customHeight="1">
      <c r="A254" s="51" t="n"/>
      <c r="B254" s="51" t="n"/>
      <c r="C254" s="52" t="n"/>
    </row>
    <row r="255" ht="23" customHeight="1">
      <c r="A255" s="51" t="n"/>
      <c r="B255" s="51" t="n"/>
      <c r="C255" s="52" t="n"/>
    </row>
    <row r="256" ht="23" customHeight="1">
      <c r="A256" s="51" t="n"/>
      <c r="B256" s="51" t="n"/>
      <c r="C256" s="52" t="n"/>
    </row>
    <row r="257" ht="23" customHeight="1">
      <c r="A257" s="51" t="n"/>
      <c r="B257" s="51" t="n"/>
      <c r="C257" s="52" t="n"/>
    </row>
    <row r="258" ht="23" customHeight="1">
      <c r="A258" s="51" t="n"/>
      <c r="B258" s="51" t="n"/>
      <c r="C258" s="52" t="n"/>
    </row>
    <row r="259" ht="23" customHeight="1">
      <c r="A259" s="51" t="n"/>
      <c r="B259" s="51" t="n"/>
      <c r="C259" s="52" t="n"/>
    </row>
    <row r="260" ht="23" customHeight="1">
      <c r="A260" s="51" t="n"/>
      <c r="B260" s="51" t="n"/>
      <c r="C260" s="52" t="n"/>
    </row>
    <row r="261" ht="23" customHeight="1">
      <c r="A261" s="51" t="n"/>
      <c r="B261" s="51" t="n"/>
      <c r="C261" s="52" t="n"/>
    </row>
    <row r="262" ht="23" customHeight="1">
      <c r="A262" s="51" t="n"/>
      <c r="B262" s="51" t="n"/>
      <c r="C262" s="52" t="n"/>
    </row>
    <row r="263" ht="23" customHeight="1">
      <c r="A263" s="51" t="n"/>
      <c r="B263" s="51" t="n"/>
      <c r="C263" s="52" t="n"/>
    </row>
    <row r="264" ht="23" customHeight="1">
      <c r="A264" s="51" t="n"/>
      <c r="B264" s="51" t="n"/>
      <c r="C264" s="52" t="n"/>
    </row>
    <row r="265" ht="23" customHeight="1">
      <c r="A265" s="51" t="n"/>
      <c r="B265" s="51" t="n"/>
      <c r="C265" s="52" t="n"/>
    </row>
    <row r="266" ht="23" customHeight="1">
      <c r="A266" s="51" t="n"/>
      <c r="B266" s="51" t="n"/>
      <c r="C266" s="52" t="n"/>
    </row>
    <row r="267" ht="23" customHeight="1">
      <c r="A267" s="51" t="n"/>
      <c r="B267" s="51" t="n"/>
      <c r="C267" s="52" t="n"/>
    </row>
    <row r="268" ht="23" customHeight="1">
      <c r="A268" s="51" t="n"/>
      <c r="B268" s="51" t="n"/>
      <c r="C268" s="52" t="n"/>
    </row>
    <row r="269" ht="23" customHeight="1">
      <c r="A269" s="51" t="n"/>
      <c r="B269" s="51" t="n"/>
      <c r="C269" s="52" t="n"/>
    </row>
    <row r="270" ht="23" customHeight="1">
      <c r="A270" s="51" t="n"/>
      <c r="B270" s="51" t="n"/>
      <c r="C270" s="52" t="n"/>
    </row>
    <row r="271" ht="23" customHeight="1">
      <c r="A271" s="51" t="n"/>
      <c r="B271" s="51" t="n"/>
      <c r="C271" s="52" t="n"/>
    </row>
    <row r="272" ht="23" customHeight="1">
      <c r="A272" s="51" t="n"/>
      <c r="B272" s="51" t="n"/>
      <c r="C272" s="52" t="n"/>
    </row>
    <row r="273" ht="23" customHeight="1">
      <c r="A273" s="51" t="n"/>
      <c r="B273" s="51" t="n"/>
      <c r="C273" s="52" t="n"/>
    </row>
    <row r="274" ht="23" customHeight="1">
      <c r="A274" s="51" t="n"/>
      <c r="B274" s="51" t="n"/>
      <c r="C274" s="52" t="n"/>
    </row>
    <row r="275" ht="23" customHeight="1">
      <c r="A275" s="51" t="n"/>
      <c r="B275" s="51" t="n"/>
      <c r="C275" s="52" t="n"/>
    </row>
    <row r="276" ht="23" customHeight="1">
      <c r="A276" s="51" t="n"/>
      <c r="B276" s="51" t="n"/>
      <c r="C276" s="52" t="n"/>
    </row>
    <row r="277" ht="23" customHeight="1">
      <c r="A277" s="51" t="n"/>
      <c r="B277" s="51" t="n"/>
      <c r="C277" s="52" t="n"/>
    </row>
    <row r="278" ht="23" customHeight="1">
      <c r="A278" s="51" t="n"/>
      <c r="B278" s="51" t="n"/>
      <c r="C278" s="52" t="n"/>
    </row>
    <row r="279" ht="23" customHeight="1">
      <c r="A279" s="51" t="n"/>
      <c r="B279" s="51" t="n"/>
      <c r="C279" s="52" t="n"/>
    </row>
    <row r="280" ht="23" customHeight="1">
      <c r="A280" s="51" t="n"/>
      <c r="B280" s="51" t="n"/>
      <c r="C280" s="52" t="n"/>
    </row>
    <row r="281" ht="23" customHeight="1">
      <c r="A281" s="51" t="n"/>
      <c r="B281" s="51" t="n"/>
      <c r="C281" s="52" t="n"/>
    </row>
    <row r="282" ht="23" customHeight="1">
      <c r="A282" s="51" t="n"/>
      <c r="B282" s="51" t="n"/>
      <c r="C282" s="52" t="n"/>
    </row>
    <row r="283" ht="23" customHeight="1">
      <c r="A283" s="51" t="n"/>
      <c r="B283" s="51" t="n"/>
      <c r="C283" s="52" t="n"/>
    </row>
    <row r="284" ht="23" customHeight="1">
      <c r="A284" s="51" t="n"/>
      <c r="B284" s="51" t="n"/>
      <c r="C284" s="52" t="n"/>
    </row>
    <row r="285" ht="23" customHeight="1">
      <c r="A285" s="51" t="n"/>
      <c r="B285" s="51" t="n"/>
      <c r="C285" s="52" t="n"/>
    </row>
    <row r="286" ht="23" customHeight="1">
      <c r="A286" s="51" t="n"/>
      <c r="B286" s="51" t="n"/>
      <c r="C286" s="52" t="n"/>
    </row>
    <row r="287" ht="23" customHeight="1">
      <c r="A287" s="51" t="n"/>
      <c r="B287" s="51" t="n"/>
      <c r="C287" s="52" t="n"/>
    </row>
    <row r="288" ht="23" customHeight="1">
      <c r="A288" s="51" t="n"/>
      <c r="B288" s="51" t="n"/>
      <c r="C288" s="52" t="n"/>
    </row>
    <row r="289" ht="23" customHeight="1">
      <c r="A289" s="51" t="n"/>
      <c r="B289" s="51" t="n"/>
      <c r="C289" s="52" t="n"/>
    </row>
    <row r="290" ht="23" customHeight="1">
      <c r="A290" s="51" t="n"/>
      <c r="B290" s="51" t="n"/>
      <c r="C290" s="52" t="n"/>
    </row>
    <row r="291" ht="23" customHeight="1">
      <c r="A291" s="51" t="n"/>
      <c r="B291" s="51" t="n"/>
      <c r="C291" s="52" t="n"/>
    </row>
    <row r="292" ht="23" customHeight="1">
      <c r="A292" s="51" t="n"/>
      <c r="B292" s="51" t="n"/>
      <c r="C292" s="52" t="n"/>
    </row>
    <row r="293" ht="23" customHeight="1">
      <c r="A293" s="51" t="n"/>
      <c r="B293" s="51" t="n"/>
      <c r="C293" s="52" t="n"/>
    </row>
    <row r="294" ht="23" customHeight="1">
      <c r="A294" s="51" t="n"/>
      <c r="B294" s="51" t="n"/>
      <c r="C294" s="52" t="n"/>
    </row>
    <row r="295" ht="23" customHeight="1">
      <c r="A295" s="51" t="n"/>
      <c r="B295" s="51" t="n"/>
      <c r="C295" s="52" t="n"/>
    </row>
    <row r="296" ht="23" customHeight="1">
      <c r="A296" s="51" t="n"/>
      <c r="B296" s="51" t="n"/>
      <c r="C296" s="52" t="n"/>
    </row>
    <row r="297" ht="23" customHeight="1">
      <c r="A297" s="51" t="n"/>
      <c r="B297" s="51" t="n"/>
      <c r="C297" s="52" t="n"/>
    </row>
    <row r="298" ht="23" customHeight="1">
      <c r="A298" s="51" t="n"/>
      <c r="B298" s="51" t="n"/>
      <c r="C298" s="52" t="n"/>
    </row>
    <row r="299" ht="23" customHeight="1">
      <c r="A299" s="51" t="n"/>
      <c r="B299" s="51" t="n"/>
      <c r="C299" s="52" t="n"/>
    </row>
    <row r="300" ht="23" customHeight="1">
      <c r="A300" s="51" t="n"/>
      <c r="B300" s="51" t="n"/>
      <c r="C300" s="52" t="n"/>
    </row>
    <row r="301" ht="23" customHeight="1">
      <c r="A301" s="51" t="n"/>
      <c r="B301" s="51" t="n"/>
      <c r="C301" s="52" t="n"/>
    </row>
    <row r="302" ht="23" customHeight="1">
      <c r="A302" s="51" t="n"/>
      <c r="B302" s="51" t="n"/>
      <c r="C302" s="52" t="n"/>
    </row>
    <row r="303" ht="23" customHeight="1">
      <c r="A303" s="51" t="n"/>
      <c r="B303" s="51" t="n"/>
      <c r="C303" s="52" t="n"/>
    </row>
    <row r="304" ht="23" customHeight="1">
      <c r="A304" s="51" t="n"/>
      <c r="B304" s="51" t="n"/>
      <c r="C304" s="52" t="n"/>
    </row>
    <row r="305" ht="23" customHeight="1">
      <c r="A305" s="51" t="n"/>
      <c r="B305" s="51" t="n"/>
      <c r="C305" s="52" t="n"/>
    </row>
    <row r="306" ht="23" customHeight="1">
      <c r="A306" s="51" t="n"/>
      <c r="B306" s="51" t="n"/>
      <c r="C306" s="52" t="n"/>
    </row>
    <row r="307" ht="23" customHeight="1">
      <c r="A307" s="51" t="n"/>
      <c r="B307" s="51" t="n"/>
      <c r="C307" s="52" t="n"/>
    </row>
    <row r="308" ht="23" customHeight="1">
      <c r="A308" s="51" t="n"/>
      <c r="B308" s="51" t="n"/>
      <c r="C308" s="52" t="n"/>
    </row>
    <row r="309" ht="23" customHeight="1">
      <c r="A309" s="51" t="n"/>
      <c r="B309" s="51" t="n"/>
      <c r="C309" s="52" t="n"/>
    </row>
    <row r="310" ht="23" customHeight="1">
      <c r="A310" s="51" t="n"/>
      <c r="B310" s="51" t="n"/>
      <c r="C310" s="52" t="n"/>
    </row>
    <row r="311" ht="23" customHeight="1">
      <c r="A311" s="51" t="n"/>
      <c r="B311" s="51" t="n"/>
      <c r="C311" s="52" t="n"/>
    </row>
    <row r="312" ht="23" customHeight="1">
      <c r="A312" s="51" t="n"/>
      <c r="B312" s="51" t="n"/>
      <c r="C312" s="52" t="n"/>
    </row>
    <row r="313" ht="23" customHeight="1">
      <c r="A313" s="51" t="n"/>
      <c r="B313" s="51" t="n"/>
      <c r="C313" s="52" t="n"/>
    </row>
    <row r="314" ht="23" customHeight="1">
      <c r="A314" s="51" t="n"/>
      <c r="B314" s="51" t="n"/>
      <c r="C314" s="52" t="n"/>
    </row>
    <row r="315" ht="23" customHeight="1">
      <c r="A315" s="51" t="n"/>
      <c r="B315" s="51" t="n"/>
      <c r="C315" s="52" t="n"/>
    </row>
    <row r="316" ht="23" customHeight="1">
      <c r="A316" s="51" t="n"/>
      <c r="B316" s="51" t="n"/>
      <c r="C316" s="52" t="n"/>
    </row>
    <row r="317" ht="23" customHeight="1">
      <c r="A317" s="51" t="n"/>
      <c r="B317" s="51" t="n"/>
      <c r="C317" s="52" t="n"/>
    </row>
    <row r="318" ht="23" customHeight="1">
      <c r="A318" s="51" t="n"/>
      <c r="B318" s="51" t="n"/>
      <c r="C318" s="52" t="n"/>
    </row>
    <row r="319" ht="23" customHeight="1">
      <c r="A319" s="51" t="n"/>
      <c r="B319" s="51" t="n"/>
      <c r="C319" s="52" t="n"/>
    </row>
    <row r="320" ht="23" customHeight="1">
      <c r="A320" s="51" t="n"/>
      <c r="B320" s="51" t="n"/>
      <c r="C320" s="52" t="n"/>
    </row>
    <row r="321" ht="23" customHeight="1">
      <c r="A321" s="51" t="n"/>
      <c r="B321" s="51" t="n"/>
      <c r="C321" s="52" t="n"/>
    </row>
    <row r="322" ht="23" customHeight="1">
      <c r="A322" s="51" t="n"/>
      <c r="B322" s="51" t="n"/>
      <c r="C322" s="52" t="n"/>
    </row>
    <row r="323" ht="23" customHeight="1">
      <c r="A323" s="51" t="n"/>
      <c r="B323" s="51" t="n"/>
      <c r="C323" s="52" t="n"/>
    </row>
    <row r="324" ht="23" customHeight="1">
      <c r="A324" s="51" t="n"/>
      <c r="B324" s="51" t="n"/>
      <c r="C324" s="52" t="n"/>
    </row>
    <row r="325" ht="23" customHeight="1">
      <c r="A325" s="51" t="n"/>
      <c r="B325" s="51" t="n"/>
      <c r="C325" s="52" t="n"/>
    </row>
    <row r="326" ht="23" customHeight="1">
      <c r="A326" s="51" t="n"/>
      <c r="B326" s="51" t="n"/>
      <c r="C326" s="52" t="n"/>
    </row>
    <row r="327" ht="23" customHeight="1">
      <c r="A327" s="51" t="n"/>
      <c r="B327" s="51" t="n"/>
      <c r="C327" s="52" t="n"/>
    </row>
    <row r="328" ht="23" customHeight="1">
      <c r="A328" s="51" t="n"/>
      <c r="B328" s="51" t="n"/>
      <c r="C328" s="52" t="n"/>
    </row>
    <row r="329" ht="23" customHeight="1">
      <c r="A329" s="51" t="n"/>
      <c r="B329" s="51" t="n"/>
      <c r="C329" s="52" t="n"/>
    </row>
    <row r="330" ht="23" customHeight="1">
      <c r="A330" s="51" t="n"/>
      <c r="B330" s="51" t="n"/>
      <c r="C330" s="52" t="n"/>
    </row>
    <row r="331" ht="23" customHeight="1">
      <c r="A331" s="51" t="n"/>
      <c r="B331" s="51" t="n"/>
      <c r="C331" s="52" t="n"/>
    </row>
    <row r="332" ht="23" customHeight="1">
      <c r="A332" s="51" t="n"/>
      <c r="B332" s="51" t="n"/>
      <c r="C332" s="52" t="n"/>
    </row>
    <row r="333" ht="23" customHeight="1">
      <c r="A333" s="51" t="n"/>
      <c r="B333" s="51" t="n"/>
      <c r="C333" s="52" t="n"/>
    </row>
    <row r="334" ht="23" customHeight="1">
      <c r="A334" s="51" t="n"/>
      <c r="B334" s="51" t="n"/>
      <c r="C334" s="52" t="n"/>
    </row>
    <row r="335" ht="23" customHeight="1">
      <c r="A335" s="51" t="n"/>
      <c r="B335" s="51" t="n"/>
      <c r="C335" s="52" t="n"/>
    </row>
    <row r="336" ht="23" customHeight="1">
      <c r="A336" s="51" t="n"/>
      <c r="B336" s="51" t="n"/>
      <c r="C336" s="52" t="n"/>
    </row>
    <row r="337" ht="23" customHeight="1">
      <c r="A337" s="51" t="n"/>
      <c r="B337" s="51" t="n"/>
      <c r="C337" s="52" t="n"/>
    </row>
    <row r="338" ht="23" customHeight="1">
      <c r="A338" s="51" t="n"/>
      <c r="B338" s="51" t="n"/>
      <c r="C338" s="52" t="n"/>
    </row>
    <row r="339" ht="23" customHeight="1">
      <c r="A339" s="51" t="n"/>
      <c r="B339" s="51" t="n"/>
      <c r="C339" s="52" t="n"/>
    </row>
    <row r="340" ht="23" customHeight="1">
      <c r="A340" s="51" t="n"/>
      <c r="B340" s="51" t="n"/>
      <c r="C340" s="52" t="n"/>
    </row>
    <row r="341" ht="23" customHeight="1">
      <c r="A341" s="51" t="n"/>
      <c r="B341" s="51" t="n"/>
      <c r="C341" s="52" t="n"/>
    </row>
    <row r="342" ht="23" customHeight="1">
      <c r="A342" s="51" t="n"/>
      <c r="B342" s="51" t="n"/>
      <c r="C342" s="52" t="n"/>
    </row>
    <row r="343" ht="23" customHeight="1">
      <c r="A343" s="51" t="n"/>
      <c r="B343" s="51" t="n"/>
      <c r="C343" s="52" t="n"/>
    </row>
    <row r="344" ht="23" customHeight="1">
      <c r="A344" s="51" t="n"/>
      <c r="B344" s="51" t="n"/>
      <c r="C344" s="52" t="n"/>
    </row>
    <row r="345" ht="23" customHeight="1">
      <c r="A345" s="51" t="n"/>
      <c r="B345" s="51" t="n"/>
      <c r="C345" s="52" t="n"/>
    </row>
    <row r="346" ht="23" customHeight="1">
      <c r="A346" s="51" t="n"/>
      <c r="B346" s="51" t="n"/>
      <c r="C346" s="52" t="n"/>
    </row>
    <row r="347" ht="23" customHeight="1">
      <c r="A347" s="51" t="n"/>
      <c r="B347" s="51" t="n"/>
      <c r="C347" s="52" t="n"/>
    </row>
    <row r="348" ht="23" customHeight="1">
      <c r="A348" s="51" t="n"/>
      <c r="B348" s="51" t="n"/>
      <c r="C348" s="52" t="n"/>
    </row>
    <row r="349" ht="23" customHeight="1">
      <c r="A349" s="51" t="n"/>
      <c r="B349" s="51" t="n"/>
      <c r="C349" s="52" t="n"/>
    </row>
    <row r="350" ht="23" customHeight="1">
      <c r="A350" s="51" t="n"/>
      <c r="B350" s="51" t="n"/>
      <c r="C350" s="52" t="n"/>
    </row>
    <row r="351" ht="23" customHeight="1">
      <c r="A351" s="51" t="n"/>
      <c r="B351" s="51" t="n"/>
      <c r="C351" s="52" t="n"/>
    </row>
    <row r="352" ht="23" customHeight="1">
      <c r="A352" s="51" t="n"/>
      <c r="B352" s="51" t="n"/>
      <c r="C352" s="52" t="n"/>
    </row>
    <row r="353" ht="23" customHeight="1">
      <c r="A353" s="51" t="n"/>
      <c r="B353" s="51" t="n"/>
      <c r="C353" s="52" t="n"/>
    </row>
    <row r="354" ht="23" customHeight="1">
      <c r="A354" s="51" t="n"/>
      <c r="B354" s="51" t="n"/>
      <c r="C354" s="52" t="n"/>
    </row>
    <row r="355" ht="23" customHeight="1">
      <c r="A355" s="51" t="n"/>
      <c r="B355" s="51" t="n"/>
      <c r="C355" s="52" t="n"/>
    </row>
    <row r="356" ht="23" customHeight="1">
      <c r="A356" s="51" t="n"/>
      <c r="B356" s="51" t="n"/>
      <c r="C356" s="52" t="n"/>
    </row>
    <row r="357" ht="23" customHeight="1">
      <c r="A357" s="51" t="n"/>
      <c r="B357" s="51" t="n"/>
      <c r="C357" s="52" t="n"/>
    </row>
    <row r="358" ht="23" customHeight="1">
      <c r="A358" s="51" t="n"/>
      <c r="B358" s="51" t="n"/>
      <c r="C358" s="52" t="n"/>
    </row>
    <row r="359" ht="23" customHeight="1">
      <c r="A359" s="51" t="n"/>
      <c r="B359" s="51" t="n"/>
      <c r="C359" s="52" t="n"/>
    </row>
    <row r="360" ht="23" customHeight="1">
      <c r="A360" s="51" t="n"/>
      <c r="B360" s="51" t="n"/>
      <c r="C360" s="52" t="n"/>
    </row>
    <row r="361" ht="23" customHeight="1">
      <c r="A361" s="51" t="n"/>
      <c r="B361" s="51" t="n"/>
      <c r="C361" s="52" t="n"/>
    </row>
    <row r="362" ht="23" customHeight="1">
      <c r="A362" s="51" t="n"/>
      <c r="B362" s="51" t="n"/>
      <c r="C362" s="52" t="n"/>
    </row>
    <row r="363" ht="23" customHeight="1">
      <c r="A363" s="51" t="n"/>
      <c r="B363" s="51" t="n"/>
      <c r="C363" s="52" t="n"/>
    </row>
    <row r="364" ht="23" customHeight="1">
      <c r="A364" s="51" t="n"/>
      <c r="B364" s="51" t="n"/>
      <c r="C364" s="52" t="n"/>
    </row>
    <row r="365" ht="23" customHeight="1">
      <c r="A365" s="51" t="n"/>
      <c r="B365" s="51" t="n"/>
      <c r="C365" s="52" t="n"/>
    </row>
    <row r="366" ht="23" customHeight="1">
      <c r="A366" s="51" t="n"/>
      <c r="B366" s="51" t="n"/>
      <c r="C366" s="52" t="n"/>
    </row>
    <row r="367" ht="23" customHeight="1">
      <c r="A367" s="51" t="n"/>
      <c r="B367" s="51" t="n"/>
      <c r="C367" s="52" t="n"/>
    </row>
    <row r="368" ht="23" customHeight="1">
      <c r="A368" s="51" t="n"/>
      <c r="B368" s="51" t="n"/>
      <c r="C368" s="52" t="n"/>
    </row>
    <row r="369" ht="23" customHeight="1">
      <c r="A369" s="51" t="n"/>
      <c r="B369" s="51" t="n"/>
      <c r="C369" s="52" t="n"/>
    </row>
    <row r="370" ht="23" customHeight="1">
      <c r="A370" s="51" t="n"/>
      <c r="B370" s="51" t="n"/>
      <c r="C370" s="52" t="n"/>
    </row>
    <row r="371" ht="23" customHeight="1">
      <c r="A371" s="51" t="n"/>
      <c r="B371" s="51" t="n"/>
      <c r="C371" s="52" t="n"/>
    </row>
    <row r="372" ht="23" customHeight="1">
      <c r="A372" s="51" t="n"/>
      <c r="B372" s="51" t="n"/>
      <c r="C372" s="52" t="n"/>
    </row>
    <row r="373" ht="23" customHeight="1">
      <c r="A373" s="51" t="n"/>
      <c r="B373" s="51" t="n"/>
      <c r="C373" s="52" t="n"/>
    </row>
    <row r="374" ht="23" customHeight="1">
      <c r="A374" s="51" t="n"/>
      <c r="B374" s="51" t="n"/>
      <c r="C374" s="52" t="n"/>
    </row>
    <row r="375" ht="23" customHeight="1">
      <c r="A375" s="51" t="n"/>
      <c r="B375" s="51" t="n"/>
      <c r="C375" s="52" t="n"/>
    </row>
    <row r="376" ht="23" customHeight="1">
      <c r="A376" s="51" t="n"/>
      <c r="B376" s="51" t="n"/>
      <c r="C376" s="52" t="n"/>
    </row>
    <row r="377" ht="23" customHeight="1">
      <c r="A377" s="51" t="n"/>
      <c r="B377" s="51" t="n"/>
      <c r="C377" s="52" t="n"/>
    </row>
    <row r="378" ht="23" customHeight="1">
      <c r="A378" s="51" t="n"/>
      <c r="B378" s="51" t="n"/>
      <c r="C378" s="52" t="n"/>
    </row>
    <row r="379" ht="23" customHeight="1">
      <c r="A379" s="51" t="n"/>
      <c r="B379" s="51" t="n"/>
      <c r="C379" s="52" t="n"/>
    </row>
    <row r="380" ht="23" customHeight="1">
      <c r="A380" s="51" t="n"/>
      <c r="B380" s="51" t="n"/>
      <c r="C380" s="52" t="n"/>
    </row>
    <row r="381" ht="23" customHeight="1">
      <c r="A381" s="51" t="n"/>
      <c r="B381" s="51" t="n"/>
      <c r="C381" s="52" t="n"/>
    </row>
    <row r="382" ht="23" customHeight="1">
      <c r="A382" s="51" t="n"/>
      <c r="B382" s="51" t="n"/>
      <c r="C382" s="52" t="n"/>
    </row>
    <row r="383" ht="23" customHeight="1">
      <c r="A383" s="51" t="n"/>
      <c r="B383" s="51" t="n"/>
      <c r="C383" s="52" t="n"/>
    </row>
    <row r="384" ht="23" customHeight="1">
      <c r="A384" s="51" t="n"/>
      <c r="B384" s="51" t="n"/>
      <c r="C384" s="52" t="n"/>
    </row>
    <row r="385" ht="23" customHeight="1">
      <c r="A385" s="51" t="n"/>
      <c r="B385" s="51" t="n"/>
      <c r="C385" s="52" t="n"/>
    </row>
    <row r="386" ht="23" customHeight="1">
      <c r="A386" s="51" t="n"/>
      <c r="B386" s="51" t="n"/>
      <c r="C386" s="52" t="n"/>
    </row>
    <row r="387" ht="23" customHeight="1">
      <c r="A387" s="51" t="n"/>
      <c r="B387" s="51" t="n"/>
      <c r="C387" s="52" t="n"/>
    </row>
    <row r="388" ht="23" customHeight="1">
      <c r="A388" s="51" t="n"/>
      <c r="B388" s="51" t="n"/>
      <c r="C388" s="52" t="n"/>
    </row>
    <row r="389" ht="23" customHeight="1">
      <c r="A389" s="51" t="n"/>
      <c r="B389" s="51" t="n"/>
      <c r="C389" s="52" t="n"/>
    </row>
    <row r="390" ht="23" customHeight="1">
      <c r="A390" s="51" t="n"/>
      <c r="B390" s="51" t="n"/>
      <c r="C390" s="52" t="n"/>
    </row>
    <row r="391" ht="23" customHeight="1">
      <c r="A391" s="51" t="n"/>
      <c r="B391" s="51" t="n"/>
      <c r="C391" s="52" t="n"/>
    </row>
    <row r="392" ht="23" customHeight="1">
      <c r="A392" s="51" t="n"/>
      <c r="B392" s="51" t="n"/>
      <c r="C392" s="52" t="n"/>
    </row>
    <row r="393" ht="23" customHeight="1">
      <c r="A393" s="51" t="n"/>
      <c r="B393" s="51" t="n"/>
      <c r="C393" s="52" t="n"/>
    </row>
    <row r="394" ht="23" customHeight="1">
      <c r="A394" s="51" t="n"/>
      <c r="B394" s="51" t="n"/>
      <c r="C394" s="52" t="n"/>
    </row>
    <row r="395" ht="23" customHeight="1">
      <c r="A395" s="51" t="n"/>
      <c r="B395" s="51" t="n"/>
      <c r="C395" s="52" t="n"/>
    </row>
    <row r="396" ht="23" customHeight="1">
      <c r="A396" s="51" t="n"/>
      <c r="B396" s="51" t="n"/>
      <c r="C396" s="52" t="n"/>
    </row>
    <row r="397" ht="23" customHeight="1">
      <c r="A397" s="51" t="n"/>
      <c r="B397" s="51" t="n"/>
      <c r="C397" s="52" t="n"/>
    </row>
    <row r="398" ht="23" customHeight="1">
      <c r="A398" s="51" t="n"/>
      <c r="B398" s="51" t="n"/>
      <c r="C398" s="52" t="n"/>
    </row>
    <row r="399" ht="23" customHeight="1">
      <c r="A399" s="51" t="n"/>
      <c r="B399" s="51" t="n"/>
      <c r="C399" s="52" t="n"/>
    </row>
    <row r="400" ht="23" customHeight="1">
      <c r="A400" s="51" t="n"/>
      <c r="B400" s="51" t="n"/>
      <c r="C400" s="52" t="n"/>
    </row>
    <row r="401" ht="23" customHeight="1">
      <c r="A401" s="51" t="n"/>
      <c r="B401" s="51" t="n"/>
      <c r="C401" s="52" t="n"/>
    </row>
    <row r="402" ht="23" customHeight="1">
      <c r="A402" s="51" t="n"/>
      <c r="B402" s="51" t="n"/>
      <c r="C402" s="52" t="n"/>
    </row>
    <row r="403" ht="23" customHeight="1">
      <c r="A403" s="51" t="n"/>
      <c r="B403" s="51" t="n"/>
      <c r="C403" s="52" t="n"/>
    </row>
    <row r="404" ht="23" customHeight="1">
      <c r="A404" s="51" t="n"/>
      <c r="B404" s="51" t="n"/>
      <c r="C404" s="52" t="n"/>
    </row>
    <row r="405" ht="23" customHeight="1">
      <c r="A405" s="51" t="n"/>
      <c r="B405" s="51" t="n"/>
      <c r="C405" s="52" t="n"/>
    </row>
    <row r="406" ht="23" customHeight="1">
      <c r="A406" s="51" t="n"/>
      <c r="B406" s="51" t="n"/>
      <c r="C406" s="52" t="n"/>
    </row>
    <row r="407" ht="23" customHeight="1">
      <c r="A407" s="51" t="n"/>
      <c r="B407" s="51" t="n"/>
      <c r="C407" s="52" t="n"/>
    </row>
    <row r="408" ht="23" customHeight="1">
      <c r="A408" s="51" t="n"/>
      <c r="B408" s="51" t="n"/>
      <c r="C408" s="52" t="n"/>
    </row>
    <row r="409" ht="23" customHeight="1">
      <c r="A409" s="51" t="n"/>
      <c r="B409" s="51" t="n"/>
      <c r="C409" s="52" t="n"/>
    </row>
    <row r="410" ht="23" customHeight="1">
      <c r="A410" s="51" t="n"/>
      <c r="B410" s="51" t="n"/>
      <c r="C410" s="52" t="n"/>
    </row>
    <row r="411" ht="23" customHeight="1">
      <c r="A411" s="51" t="n"/>
      <c r="B411" s="51" t="n"/>
      <c r="C411" s="52" t="n"/>
    </row>
    <row r="412" ht="23" customHeight="1">
      <c r="A412" s="51" t="n"/>
      <c r="B412" s="51" t="n"/>
      <c r="C412" s="52" t="n"/>
    </row>
    <row r="413" ht="23" customHeight="1">
      <c r="A413" s="51" t="n"/>
      <c r="B413" s="51" t="n"/>
      <c r="C413" s="52" t="n"/>
    </row>
    <row r="414" ht="23" customHeight="1">
      <c r="A414" s="51" t="n"/>
      <c r="B414" s="51" t="n"/>
      <c r="C414" s="52" t="n"/>
    </row>
    <row r="415" ht="23" customHeight="1">
      <c r="A415" s="51" t="n"/>
      <c r="B415" s="51" t="n"/>
      <c r="C415" s="52" t="n"/>
    </row>
    <row r="416" ht="23" customHeight="1">
      <c r="A416" s="51" t="n"/>
      <c r="B416" s="51" t="n"/>
      <c r="C416" s="52" t="n"/>
    </row>
    <row r="417" ht="23" customHeight="1">
      <c r="A417" s="51" t="n"/>
      <c r="B417" s="51" t="n"/>
      <c r="C417" s="52" t="n"/>
    </row>
    <row r="418" ht="23" customHeight="1">
      <c r="A418" s="51" t="n"/>
      <c r="B418" s="51" t="n"/>
      <c r="C418" s="52" t="n"/>
    </row>
    <row r="419" ht="23" customHeight="1">
      <c r="A419" s="51" t="n"/>
      <c r="B419" s="51" t="n"/>
      <c r="C419" s="52" t="n"/>
    </row>
    <row r="420" ht="23" customHeight="1">
      <c r="A420" s="51" t="n"/>
      <c r="B420" s="51" t="n"/>
      <c r="C420" s="52" t="n"/>
    </row>
    <row r="421" ht="23" customHeight="1">
      <c r="A421" s="51" t="n"/>
      <c r="B421" s="51" t="n"/>
      <c r="C421" s="52" t="n"/>
    </row>
    <row r="422" ht="23" customHeight="1">
      <c r="A422" s="51" t="n"/>
      <c r="B422" s="51" t="n"/>
      <c r="C422" s="52" t="n"/>
    </row>
    <row r="423" ht="23" customHeight="1">
      <c r="A423" s="51" t="n"/>
      <c r="B423" s="51" t="n"/>
      <c r="C423" s="52" t="n"/>
    </row>
    <row r="424" ht="23" customHeight="1">
      <c r="A424" s="51" t="n"/>
      <c r="B424" s="51" t="n"/>
      <c r="C424" s="52" t="n"/>
    </row>
    <row r="425" ht="23" customHeight="1">
      <c r="A425" s="51" t="n"/>
      <c r="B425" s="51" t="n"/>
      <c r="C425" s="52" t="n"/>
    </row>
    <row r="426" ht="23" customHeight="1">
      <c r="A426" s="51" t="n"/>
      <c r="B426" s="51" t="n"/>
      <c r="C426" s="52" t="n"/>
    </row>
    <row r="427" ht="23" customHeight="1">
      <c r="A427" s="51" t="n"/>
      <c r="B427" s="51" t="n"/>
      <c r="C427" s="52" t="n"/>
    </row>
    <row r="428" ht="23" customHeight="1">
      <c r="A428" s="51" t="n"/>
      <c r="B428" s="51" t="n"/>
      <c r="C428" s="52" t="n"/>
    </row>
    <row r="429" ht="23" customHeight="1">
      <c r="A429" s="51" t="n"/>
      <c r="B429" s="51" t="n"/>
      <c r="C429" s="52" t="n"/>
    </row>
    <row r="430" ht="23" customHeight="1">
      <c r="A430" s="51" t="n"/>
      <c r="B430" s="51" t="n"/>
      <c r="C430" s="52" t="n"/>
    </row>
    <row r="431" ht="23" customHeight="1">
      <c r="A431" s="51" t="n"/>
      <c r="B431" s="51" t="n"/>
      <c r="C431" s="52" t="n"/>
    </row>
    <row r="432" ht="23" customHeight="1">
      <c r="A432" s="51" t="n"/>
      <c r="B432" s="51" t="n"/>
      <c r="C432" s="52" t="n"/>
    </row>
    <row r="433" ht="23" customHeight="1">
      <c r="A433" s="51" t="n"/>
      <c r="B433" s="51" t="n"/>
      <c r="C433" s="52" t="n"/>
    </row>
    <row r="434" ht="23" customHeight="1">
      <c r="A434" s="51" t="n"/>
      <c r="B434" s="51" t="n"/>
      <c r="C434" s="52" t="n"/>
    </row>
    <row r="435" ht="23" customHeight="1">
      <c r="A435" s="51" t="n"/>
      <c r="B435" s="51" t="n"/>
      <c r="C435" s="52" t="n"/>
    </row>
    <row r="436" ht="23" customHeight="1">
      <c r="A436" s="51" t="n"/>
      <c r="B436" s="51" t="n"/>
      <c r="C436" s="52" t="n"/>
    </row>
    <row r="437" ht="23" customHeight="1">
      <c r="A437" s="51" t="n"/>
      <c r="B437" s="51" t="n"/>
      <c r="C437" s="52" t="n"/>
    </row>
    <row r="438" ht="23" customHeight="1">
      <c r="A438" s="51" t="n"/>
      <c r="B438" s="51" t="n"/>
      <c r="C438" s="52" t="n"/>
    </row>
    <row r="439" ht="23" customHeight="1">
      <c r="A439" s="51" t="n"/>
      <c r="B439" s="51" t="n"/>
      <c r="C439" s="52" t="n"/>
    </row>
    <row r="440" ht="23" customHeight="1">
      <c r="A440" s="51" t="n"/>
      <c r="B440" s="51" t="n"/>
      <c r="C440" s="52" t="n"/>
    </row>
    <row r="441" ht="23" customHeight="1">
      <c r="A441" s="51" t="n"/>
      <c r="B441" s="51" t="n"/>
      <c r="C441" s="52" t="n"/>
    </row>
    <row r="442" ht="23" customHeight="1">
      <c r="A442" s="51" t="n"/>
      <c r="B442" s="51" t="n"/>
      <c r="C442" s="52" t="n"/>
    </row>
    <row r="443" ht="23" customHeight="1">
      <c r="A443" s="51" t="n"/>
      <c r="B443" s="51" t="n"/>
      <c r="C443" s="52" t="n"/>
    </row>
    <row r="444" ht="23" customHeight="1">
      <c r="A444" s="51" t="n"/>
      <c r="B444" s="51" t="n"/>
      <c r="C444" s="52" t="n"/>
    </row>
    <row r="445" ht="23" customHeight="1">
      <c r="A445" s="51" t="n"/>
      <c r="B445" s="51" t="n"/>
      <c r="C445" s="52" t="n"/>
    </row>
    <row r="446" ht="23" customHeight="1">
      <c r="A446" s="51" t="n"/>
      <c r="B446" s="51" t="n"/>
      <c r="C446" s="52" t="n"/>
    </row>
    <row r="447" ht="23" customHeight="1">
      <c r="A447" s="51" t="n"/>
      <c r="B447" s="51" t="n"/>
      <c r="C447" s="52" t="n"/>
    </row>
    <row r="448" ht="23" customHeight="1">
      <c r="A448" s="51" t="n"/>
      <c r="B448" s="51" t="n"/>
      <c r="C448" s="52" t="n"/>
    </row>
    <row r="449" ht="23" customHeight="1">
      <c r="A449" s="51" t="n"/>
      <c r="B449" s="51" t="n"/>
      <c r="C449" s="52" t="n"/>
    </row>
    <row r="450" ht="23" customHeight="1">
      <c r="A450" s="51" t="n"/>
      <c r="B450" s="51" t="n"/>
      <c r="C450" s="52" t="n"/>
    </row>
    <row r="451" ht="23" customHeight="1">
      <c r="A451" s="51" t="n"/>
      <c r="B451" s="51" t="n"/>
      <c r="C451" s="52" t="n"/>
    </row>
    <row r="452" ht="23" customHeight="1">
      <c r="A452" s="51" t="n"/>
      <c r="B452" s="51" t="n"/>
      <c r="C452" s="52" t="n"/>
    </row>
    <row r="453" ht="23" customHeight="1">
      <c r="A453" s="51" t="n"/>
      <c r="B453" s="51" t="n"/>
      <c r="C453" s="52" t="n"/>
    </row>
    <row r="454" ht="23" customHeight="1">
      <c r="A454" s="51" t="n"/>
      <c r="B454" s="51" t="n"/>
      <c r="C454" s="52" t="n"/>
    </row>
    <row r="455" ht="23" customHeight="1">
      <c r="A455" s="51" t="n"/>
      <c r="B455" s="51" t="n"/>
      <c r="C455" s="52" t="n"/>
    </row>
    <row r="456" ht="23" customHeight="1">
      <c r="A456" s="51" t="n"/>
      <c r="B456" s="51" t="n"/>
      <c r="C456" s="52" t="n"/>
    </row>
    <row r="457" ht="23" customHeight="1">
      <c r="A457" s="51" t="n"/>
      <c r="B457" s="51" t="n"/>
      <c r="C457" s="52" t="n"/>
    </row>
    <row r="458" ht="23" customHeight="1">
      <c r="A458" s="51" t="n"/>
      <c r="B458" s="51" t="n"/>
      <c r="C458" s="52" t="n"/>
    </row>
    <row r="459" ht="23" customHeight="1">
      <c r="A459" s="51" t="n"/>
      <c r="B459" s="51" t="n"/>
      <c r="C459" s="52" t="n"/>
    </row>
    <row r="460" ht="23" customHeight="1">
      <c r="A460" s="51" t="n"/>
      <c r="B460" s="51" t="n"/>
      <c r="C460" s="52" t="n"/>
    </row>
    <row r="461" ht="23" customHeight="1">
      <c r="A461" s="51" t="n"/>
      <c r="B461" s="51" t="n"/>
      <c r="C461" s="52" t="n"/>
    </row>
    <row r="462" ht="23" customHeight="1">
      <c r="A462" s="51" t="n"/>
      <c r="B462" s="51" t="n"/>
      <c r="C462" s="52" t="n"/>
    </row>
    <row r="463" ht="23" customHeight="1">
      <c r="A463" s="51" t="n"/>
      <c r="B463" s="51" t="n"/>
      <c r="C463" s="52" t="n"/>
    </row>
    <row r="464" ht="23" customHeight="1">
      <c r="A464" s="51" t="n"/>
      <c r="B464" s="51" t="n"/>
      <c r="C464" s="52" t="n"/>
    </row>
    <row r="465" ht="23" customHeight="1">
      <c r="A465" s="51" t="n"/>
      <c r="B465" s="51" t="n"/>
      <c r="C465" s="52" t="n"/>
    </row>
    <row r="466" ht="23" customHeight="1">
      <c r="A466" s="51" t="n"/>
      <c r="B466" s="51" t="n"/>
      <c r="C466" s="52" t="n"/>
    </row>
    <row r="467" ht="23" customHeight="1">
      <c r="A467" s="51" t="n"/>
      <c r="B467" s="51" t="n"/>
      <c r="C467" s="52" t="n"/>
    </row>
    <row r="468" ht="23" customHeight="1">
      <c r="A468" s="51" t="n"/>
      <c r="B468" s="51" t="n"/>
      <c r="C468" s="52" t="n"/>
    </row>
    <row r="469" ht="23" customHeight="1">
      <c r="A469" s="51" t="n"/>
      <c r="B469" s="51" t="n"/>
      <c r="C469" s="52" t="n"/>
    </row>
    <row r="470" ht="23" customHeight="1">
      <c r="A470" s="51" t="n"/>
      <c r="B470" s="51" t="n"/>
      <c r="C470" s="52" t="n"/>
    </row>
    <row r="471" ht="23" customHeight="1">
      <c r="A471" s="51" t="n"/>
      <c r="B471" s="51" t="n"/>
      <c r="C471" s="52" t="n"/>
    </row>
    <row r="472" ht="23" customHeight="1">
      <c r="A472" s="51" t="n"/>
      <c r="B472" s="51" t="n"/>
      <c r="C472" s="52" t="n"/>
    </row>
    <row r="473" ht="23" customHeight="1">
      <c r="A473" s="51" t="n"/>
      <c r="B473" s="51" t="n"/>
      <c r="C473" s="52" t="n"/>
    </row>
    <row r="474" ht="23" customHeight="1">
      <c r="A474" s="51" t="n"/>
      <c r="B474" s="51" t="n"/>
      <c r="C474" s="52" t="n"/>
    </row>
    <row r="475" ht="23" customHeight="1">
      <c r="A475" s="51" t="n"/>
      <c r="B475" s="51" t="n"/>
      <c r="C475" s="52" t="n"/>
    </row>
    <row r="476" ht="23" customHeight="1">
      <c r="A476" s="51" t="n"/>
      <c r="B476" s="51" t="n"/>
      <c r="C476" s="52" t="n"/>
    </row>
    <row r="477" ht="23" customHeight="1">
      <c r="A477" s="51" t="n"/>
      <c r="B477" s="51" t="n"/>
      <c r="C477" s="52" t="n"/>
    </row>
    <row r="478" ht="23" customHeight="1">
      <c r="A478" s="51" t="n"/>
      <c r="B478" s="51" t="n"/>
      <c r="C478" s="52" t="n"/>
    </row>
    <row r="479" ht="23" customHeight="1">
      <c r="A479" s="51" t="n"/>
      <c r="B479" s="51" t="n"/>
      <c r="C479" s="52" t="n"/>
    </row>
    <row r="480" ht="23" customHeight="1">
      <c r="A480" s="51" t="n"/>
      <c r="B480" s="51" t="n"/>
      <c r="C480" s="52" t="n"/>
    </row>
    <row r="481" ht="23" customHeight="1">
      <c r="A481" s="51" t="n"/>
      <c r="B481" s="51" t="n"/>
      <c r="C481" s="52" t="n"/>
    </row>
    <row r="482" ht="23" customHeight="1">
      <c r="A482" s="51" t="n"/>
      <c r="B482" s="51" t="n"/>
      <c r="C482" s="52" t="n"/>
    </row>
    <row r="483" ht="23" customHeight="1">
      <c r="A483" s="51" t="n"/>
      <c r="B483" s="51" t="n"/>
      <c r="C483" s="52" t="n"/>
    </row>
    <row r="484" ht="23" customHeight="1">
      <c r="A484" s="51" t="n"/>
      <c r="B484" s="51" t="n"/>
      <c r="C484" s="52" t="n"/>
    </row>
    <row r="485" ht="23" customHeight="1">
      <c r="A485" s="51" t="n"/>
      <c r="B485" s="51" t="n"/>
      <c r="C485" s="52" t="n"/>
    </row>
    <row r="486" ht="23" customHeight="1">
      <c r="A486" s="51" t="n"/>
      <c r="B486" s="51" t="n"/>
      <c r="C486" s="52" t="n"/>
    </row>
    <row r="487" ht="23" customHeight="1">
      <c r="A487" s="51" t="n"/>
      <c r="B487" s="51" t="n"/>
      <c r="C487" s="52" t="n"/>
    </row>
    <row r="488" ht="23" customHeight="1">
      <c r="A488" s="51" t="n"/>
      <c r="B488" s="51" t="n"/>
      <c r="C488" s="52" t="n"/>
    </row>
    <row r="489" ht="23" customHeight="1">
      <c r="A489" s="51" t="n"/>
      <c r="B489" s="51" t="n"/>
      <c r="C489" s="52" t="n"/>
    </row>
    <row r="490" ht="23" customHeight="1">
      <c r="A490" s="51" t="n"/>
      <c r="B490" s="51" t="n"/>
      <c r="C490" s="52" t="n"/>
    </row>
    <row r="491" ht="23" customHeight="1">
      <c r="A491" s="51" t="n"/>
      <c r="B491" s="51" t="n"/>
      <c r="C491" s="52" t="n"/>
    </row>
    <row r="492" ht="23" customHeight="1">
      <c r="A492" s="51" t="n"/>
      <c r="B492" s="51" t="n"/>
      <c r="C492" s="52" t="n"/>
    </row>
    <row r="493" ht="23" customHeight="1">
      <c r="A493" s="51" t="n"/>
      <c r="B493" s="51" t="n"/>
      <c r="C493" s="52" t="n"/>
    </row>
    <row r="494" ht="23" customHeight="1">
      <c r="A494" s="51" t="n"/>
      <c r="B494" s="51" t="n"/>
      <c r="C494" s="52" t="n"/>
    </row>
    <row r="495" ht="23" customHeight="1">
      <c r="A495" s="51" t="n"/>
      <c r="B495" s="51" t="n"/>
      <c r="C495" s="52" t="n"/>
    </row>
    <row r="496" ht="23" customHeight="1">
      <c r="A496" s="51" t="n"/>
      <c r="B496" s="51" t="n"/>
      <c r="C496" s="52" t="n"/>
    </row>
    <row r="497" ht="23" customHeight="1">
      <c r="A497" s="51" t="n"/>
      <c r="B497" s="51" t="n"/>
      <c r="C497" s="52" t="n"/>
    </row>
    <row r="498" ht="23" customHeight="1">
      <c r="A498" s="51" t="n"/>
      <c r="B498" s="51" t="n"/>
      <c r="C498" s="52" t="n"/>
    </row>
    <row r="499" ht="23" customHeight="1">
      <c r="A499" s="51" t="n"/>
      <c r="B499" s="51" t="n"/>
      <c r="C499" s="52" t="n"/>
    </row>
    <row r="500" ht="23" customHeight="1">
      <c r="A500" s="51" t="n"/>
      <c r="B500" s="51" t="n"/>
      <c r="C500" s="52" t="n"/>
    </row>
    <row r="501" ht="23" customHeight="1">
      <c r="A501" s="51" t="n"/>
      <c r="B501" s="51" t="n"/>
      <c r="C501" s="52" t="n"/>
    </row>
    <row r="502" ht="23" customHeight="1">
      <c r="A502" s="51" t="n"/>
      <c r="B502" s="51" t="n"/>
      <c r="C502" s="52" t="n"/>
    </row>
    <row r="503" ht="23" customHeight="1">
      <c r="A503" s="51" t="n"/>
      <c r="B503" s="51" t="n"/>
      <c r="C503" s="52" t="n"/>
    </row>
    <row r="504" ht="23" customHeight="1">
      <c r="A504" s="51" t="n"/>
      <c r="B504" s="51" t="n"/>
      <c r="C504" s="52" t="n"/>
    </row>
    <row r="505" ht="23" customHeight="1">
      <c r="A505" s="51" t="n"/>
      <c r="B505" s="51" t="n"/>
      <c r="C505" s="52" t="n"/>
    </row>
    <row r="506" ht="23" customHeight="1">
      <c r="A506" s="51" t="n"/>
      <c r="B506" s="51" t="n"/>
      <c r="C506" s="52" t="n"/>
    </row>
  </sheetData>
  <conditionalFormatting sqref="B7:B506">
    <cfRule type="containsText" priority="1" operator="containsText" dxfId="6" text="DELETE - DO NOT USE"/>
  </conditionalFormatting>
  <dataValidations count="2">
    <dataValidation sqref="A7:A506" showDropDown="0" showInputMessage="0" showErrorMessage="1" allowBlank="1" errorTitle="Select a project" error="Add this project to Projects before selecting it here." type="list" errorStyle="stop">
      <formula1>ProjectNames</formula1>
    </dataValidation>
    <dataValidation sqref="B7:B506" showDropDown="0" showInputMessage="1" showErrorMessage="0" allowBlank="1" errorTitle="Choose a listed value" error="Use a dropdown choice, or first update its list on Dropdowns." promptTitle="Choose a value" prompt="Visible choices only. Type another valid value or extend Dropdowns." type="list" errorStyle="stop">
      <formula1>Products</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B88B36"/>
    <outlinePr summaryBelow="1" summaryRight="1"/>
    <pageSetUpPr/>
  </sheetPr>
  <dimension ref="A1:X106"/>
  <sheetViews>
    <sheetView showGridLines="0" workbookViewId="0">
      <pane ySplit="6" topLeftCell="A7" activePane="bottomLeft" state="frozen"/>
      <selection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43.20000076293945"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27" customWidth="1" min="17" max="17"/>
    <col width="27" customWidth="1" min="18" max="18"/>
    <col width="27" customWidth="1" min="19" max="19"/>
    <col width="27" customWidth="1" min="20" max="20"/>
    <col width="27" customWidth="1" min="21" max="21"/>
    <col width="27" customWidth="1" min="22" max="22"/>
    <col width="27" customWidth="1" min="23" max="23"/>
    <col width="48" customWidth="1" min="24" max="24"/>
  </cols>
  <sheetData>
    <row r="1" ht="22" customHeight="1">
      <c r="A1" s="35" t="inlineStr">
        <is>
          <t>Stephan Hardt | Power Generation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30" customHeight="1">
      <c r="A2" s="4" t="inlineStr">
        <is>
          <t>Dropdown options</t>
        </is>
      </c>
      <c r="B2" s="5" t="n"/>
      <c r="C2" s="5" t="n"/>
      <c r="D2" s="5" t="n"/>
      <c r="E2" s="5" t="n"/>
      <c r="F2" s="5" t="n"/>
      <c r="G2" s="5" t="n"/>
      <c r="H2" s="5" t="n"/>
      <c r="I2" s="2" t="n"/>
      <c r="J2" s="2" t="n"/>
      <c r="K2" s="2" t="n"/>
      <c r="L2" s="2" t="n"/>
      <c r="M2" s="2" t="n"/>
      <c r="N2" s="2" t="n"/>
      <c r="O2" s="2" t="n"/>
      <c r="P2" s="2" t="n"/>
      <c r="Q2" s="2" t="n"/>
      <c r="R2" s="2" t="n"/>
      <c r="S2" s="2" t="n"/>
      <c r="T2" s="2" t="n"/>
      <c r="U2" s="2" t="n"/>
      <c r="V2" s="2" t="n"/>
      <c r="W2" s="2" t="n"/>
      <c r="X2" s="2" t="n"/>
    </row>
    <row r="3" ht="22" customHeight="1">
      <c r="A3" s="6" t="inlineStr">
        <is>
          <t>Edit values from row 7 downward. Keep each list contiguous; up to 100 choices per column.</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c r="A4" s="2" t="inlineStr">
        <is>
          <t>Only visible choices are preloaded. Partial or unseen lists allow other values to be typed.</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ht="36" customHeight="1">
      <c r="A5" s="12" t="inlineStr">
        <is>
          <t>Project Stage</t>
        </is>
      </c>
      <c r="B5" s="12" t="inlineStr">
        <is>
          <t>Lead Status</t>
        </is>
      </c>
      <c r="C5" s="12" t="inlineStr">
        <is>
          <t>End User Type</t>
        </is>
      </c>
      <c r="D5" s="12" t="inlineStr">
        <is>
          <t>Main Decision Influencer</t>
        </is>
      </c>
      <c r="E5" s="12" t="inlineStr">
        <is>
          <t>Market</t>
        </is>
      </c>
      <c r="F5" s="12" t="inlineStr">
        <is>
          <t>Segment</t>
        </is>
      </c>
      <c r="G5" s="12" t="inlineStr">
        <is>
          <t>Application</t>
        </is>
      </c>
      <c r="H5" s="12" t="inlineStr">
        <is>
          <t>Demand Driver</t>
        </is>
      </c>
      <c r="I5" s="12" t="inlineStr">
        <is>
          <t>OEM Category</t>
        </is>
      </c>
      <c r="J5" s="12" t="inlineStr">
        <is>
          <t>Brownfield/Greenfield</t>
        </is>
      </c>
      <c r="K5" s="12" t="inlineStr">
        <is>
          <t>Power Needs</t>
        </is>
      </c>
      <c r="L5" s="12" t="inlineStr">
        <is>
          <t>Primary Energy Source</t>
        </is>
      </c>
      <c r="M5" s="12" t="inlineStr">
        <is>
          <t>AI Facility</t>
        </is>
      </c>
      <c r="N5" s="12" t="inlineStr">
        <is>
          <t>Checkbox fields</t>
        </is>
      </c>
      <c r="O5" s="12" t="inlineStr">
        <is>
          <t>Occupation</t>
        </is>
      </c>
      <c r="P5" s="12" t="inlineStr">
        <is>
          <t>Industry</t>
        </is>
      </c>
      <c r="Q5" s="12" t="inlineStr">
        <is>
          <t>Lead Source</t>
        </is>
      </c>
      <c r="R5" s="12" t="inlineStr">
        <is>
          <t>Project Country</t>
        </is>
      </c>
      <c r="S5" s="12" t="inlineStr">
        <is>
          <t>Salutation</t>
        </is>
      </c>
      <c r="T5" s="12" t="inlineStr">
        <is>
          <t>Win/Loss Reason</t>
        </is>
      </c>
      <c r="U5" s="12" t="inlineStr">
        <is>
          <t>Solutions</t>
        </is>
      </c>
      <c r="V5" s="12" t="inlineStr">
        <is>
          <t>Canada Province/Territory</t>
        </is>
      </c>
      <c r="W5" s="12" t="inlineStr">
        <is>
          <t>Project Canadian Region</t>
        </is>
      </c>
      <c r="X5" s="12" t="inlineStr">
        <is>
          <t>Product</t>
        </is>
      </c>
    </row>
    <row r="6" ht="32" customHeight="1">
      <c r="A6" s="15" t="inlineStr">
        <is>
          <t>Shown menu</t>
        </is>
      </c>
      <c r="B6" s="15" t="inlineStr">
        <is>
          <t>Visible status path</t>
        </is>
      </c>
      <c r="C6" s="15" t="inlineStr">
        <is>
          <t>Shown menu</t>
        </is>
      </c>
      <c r="D6" s="15" t="inlineStr">
        <is>
          <t>Shown menu</t>
        </is>
      </c>
      <c r="E6" s="15" t="inlineStr">
        <is>
          <t>Partial list</t>
        </is>
      </c>
      <c r="F6" s="15" t="inlineStr">
        <is>
          <t>Shown menu; one context</t>
        </is>
      </c>
      <c r="G6" s="15" t="inlineStr">
        <is>
          <t>Shown menu; one context</t>
        </is>
      </c>
      <c r="H6" s="15" t="inlineStr">
        <is>
          <t>Shown menu; one context</t>
        </is>
      </c>
      <c r="I6" s="15" t="inlineStr">
        <is>
          <t>Shown menu; one context</t>
        </is>
      </c>
      <c r="J6" s="15" t="inlineStr">
        <is>
          <t>Shown menu</t>
        </is>
      </c>
      <c r="K6" s="15" t="inlineStr">
        <is>
          <t>Shown menu</t>
        </is>
      </c>
      <c r="L6" s="15" t="inlineStr">
        <is>
          <t>Shown menu; one context</t>
        </is>
      </c>
      <c r="M6" s="15" t="inlineStr">
        <is>
          <t>Shown menu</t>
        </is>
      </c>
      <c r="N6" s="15" t="inlineStr">
        <is>
          <t>Excel representation</t>
        </is>
      </c>
      <c r="O6" s="15" t="inlineStr">
        <is>
          <t>Partial list</t>
        </is>
      </c>
      <c r="P6" s="15" t="inlineStr">
        <is>
          <t>Partial list</t>
        </is>
      </c>
      <c r="Q6" s="15" t="inlineStr">
        <is>
          <t>Current value only</t>
        </is>
      </c>
      <c r="R6" s="15" t="inlineStr">
        <is>
          <t>Current value only</t>
        </is>
      </c>
      <c r="S6" s="15" t="inlineStr">
        <is>
          <t>Options not shown</t>
        </is>
      </c>
      <c r="T6" s="15" t="inlineStr">
        <is>
          <t>Options not shown</t>
        </is>
      </c>
      <c r="U6" s="15" t="inlineStr">
        <is>
          <t>Options not shown</t>
        </is>
      </c>
      <c r="V6" s="15" t="inlineStr">
        <is>
          <t>Options not shown</t>
        </is>
      </c>
      <c r="W6" s="15" t="inlineStr">
        <is>
          <t>Options not shown</t>
        </is>
      </c>
      <c r="X6" s="15" t="inlineStr">
        <is>
          <t>Visible codes; labels truncated</t>
        </is>
      </c>
    </row>
    <row r="7">
      <c r="A7" s="51" t="inlineStr">
        <is>
          <t>--None--</t>
        </is>
      </c>
      <c r="B7" s="51" t="inlineStr">
        <is>
          <t>New</t>
        </is>
      </c>
      <c r="C7" s="51" t="inlineStr">
        <is>
          <t>--None--</t>
        </is>
      </c>
      <c r="D7" s="51" t="inlineStr">
        <is>
          <t>--None--</t>
        </is>
      </c>
      <c r="E7" s="51" t="inlineStr">
        <is>
          <t>--None--</t>
        </is>
      </c>
      <c r="F7" s="51" t="inlineStr">
        <is>
          <t>--None--</t>
        </is>
      </c>
      <c r="G7" s="51" t="inlineStr">
        <is>
          <t>--None--</t>
        </is>
      </c>
      <c r="H7" s="51" t="inlineStr">
        <is>
          <t>--None--</t>
        </is>
      </c>
      <c r="I7" s="51" t="inlineStr">
        <is>
          <t>--None--</t>
        </is>
      </c>
      <c r="J7" s="51" t="inlineStr">
        <is>
          <t>--None--</t>
        </is>
      </c>
      <c r="K7" s="51" t="inlineStr">
        <is>
          <t>--None--</t>
        </is>
      </c>
      <c r="L7" s="51" t="inlineStr">
        <is>
          <t>--None--</t>
        </is>
      </c>
      <c r="M7" s="51" t="inlineStr">
        <is>
          <t>--None--</t>
        </is>
      </c>
      <c r="N7" s="51" t="inlineStr">
        <is>
          <t>Yes</t>
        </is>
      </c>
      <c r="O7" s="51" t="inlineStr">
        <is>
          <t>Contractor</t>
        </is>
      </c>
      <c r="P7" s="51" t="inlineStr">
        <is>
          <t>Apparel</t>
        </is>
      </c>
      <c r="Q7" s="51" t="inlineStr">
        <is>
          <t>Sales</t>
        </is>
      </c>
      <c r="R7" s="51" t="inlineStr">
        <is>
          <t>United States</t>
        </is>
      </c>
      <c r="S7" s="51" t="inlineStr">
        <is>
          <t>--None--</t>
        </is>
      </c>
      <c r="T7" s="51" t="inlineStr">
        <is>
          <t>--None--</t>
        </is>
      </c>
      <c r="U7" s="51" t="inlineStr">
        <is>
          <t>--None--</t>
        </is>
      </c>
      <c r="V7" s="51" t="inlineStr">
        <is>
          <t>--None--</t>
        </is>
      </c>
      <c r="W7" s="51" t="inlineStr">
        <is>
          <t>--None--</t>
        </is>
      </c>
      <c r="X7" s="51" t="inlineStr">
        <is>
          <t>A00 - CU COMMERCIAL BUILD...</t>
        </is>
      </c>
    </row>
    <row r="8">
      <c r="A8" s="51" t="inlineStr">
        <is>
          <t>Open</t>
        </is>
      </c>
      <c r="B8" s="51" t="inlineStr">
        <is>
          <t>Initial Contact</t>
        </is>
      </c>
      <c r="C8" s="51" t="inlineStr">
        <is>
          <t>IOU</t>
        </is>
      </c>
      <c r="D8" s="51" t="inlineStr">
        <is>
          <t>IOU</t>
        </is>
      </c>
      <c r="E8" s="51" t="inlineStr">
        <is>
          <t>Airports</t>
        </is>
      </c>
      <c r="F8" s="51" t="inlineStr">
        <is>
          <t>Transmission</t>
        </is>
      </c>
      <c r="G8" s="51" t="inlineStr">
        <is>
          <t>New Capacity/New Build</t>
        </is>
      </c>
      <c r="H8" s="51" t="inlineStr">
        <is>
          <t>New Load Growth</t>
        </is>
      </c>
      <c r="I8" s="51" t="inlineStr">
        <is>
          <t>Generation</t>
        </is>
      </c>
      <c r="J8" s="51" t="inlineStr">
        <is>
          <t>Brownfield</t>
        </is>
      </c>
      <c r="K8" s="51" t="inlineStr">
        <is>
          <t>Traditional</t>
        </is>
      </c>
      <c r="L8" s="51" t="inlineStr">
        <is>
          <t>Solar</t>
        </is>
      </c>
      <c r="M8" s="51" t="inlineStr">
        <is>
          <t>Yes</t>
        </is>
      </c>
      <c r="N8" s="51" t="inlineStr">
        <is>
          <t>No</t>
        </is>
      </c>
      <c r="O8" s="51" t="inlineStr">
        <is>
          <t>Contractor-Field</t>
        </is>
      </c>
      <c r="P8" s="51" t="inlineStr">
        <is>
          <t>Banking</t>
        </is>
      </c>
      <c r="Q8" s="51" t="n"/>
      <c r="R8" s="51" t="n"/>
      <c r="S8" s="51" t="n"/>
      <c r="T8" s="51" t="n"/>
      <c r="U8" s="51" t="n"/>
      <c r="V8" s="51" t="n"/>
      <c r="W8" s="51" t="n"/>
      <c r="X8" s="51" t="inlineStr">
        <is>
          <t>A10 - CU RESIDENTIAL BUILDI...</t>
        </is>
      </c>
    </row>
    <row r="9">
      <c r="A9" s="51" t="inlineStr">
        <is>
          <t>In Progress</t>
        </is>
      </c>
      <c r="B9" s="51" t="inlineStr">
        <is>
          <t>Sales Discovery</t>
        </is>
      </c>
      <c r="C9" s="51" t="inlineStr">
        <is>
          <t>IPP</t>
        </is>
      </c>
      <c r="D9" s="51" t="inlineStr">
        <is>
          <t>Public Power / Coop</t>
        </is>
      </c>
      <c r="E9" s="51" t="inlineStr">
        <is>
          <t>Battery Storage</t>
        </is>
      </c>
      <c r="F9" s="51" t="inlineStr">
        <is>
          <t>Distribution</t>
        </is>
      </c>
      <c r="G9" s="51" t="inlineStr">
        <is>
          <t>Reconductoring/Uprate Substation (New/Expansion)</t>
        </is>
      </c>
      <c r="H9" s="51" t="inlineStr">
        <is>
          <t>Load Interconnection</t>
        </is>
      </c>
      <c r="I9" s="51" t="inlineStr">
        <is>
          <t>Switchgear/Protection</t>
        </is>
      </c>
      <c r="J9" s="51" t="inlineStr">
        <is>
          <t>Greenfield</t>
        </is>
      </c>
      <c r="K9" s="51" t="inlineStr">
        <is>
          <t>Behind the Meter</t>
        </is>
      </c>
      <c r="L9" s="51" t="inlineStr">
        <is>
          <t>Wind</t>
        </is>
      </c>
      <c r="M9" s="51" t="inlineStr">
        <is>
          <t>No</t>
        </is>
      </c>
      <c r="N9" s="51" t="n"/>
      <c r="O9" s="51" t="inlineStr">
        <is>
          <t>Contractor-Office</t>
        </is>
      </c>
      <c r="P9" s="51" t="inlineStr">
        <is>
          <t>Biotechnology</t>
        </is>
      </c>
      <c r="Q9" s="51" t="n"/>
      <c r="R9" s="51" t="n"/>
      <c r="S9" s="51" t="n"/>
      <c r="T9" s="51" t="n"/>
      <c r="U9" s="51" t="n"/>
      <c r="V9" s="51" t="n"/>
      <c r="W9" s="51" t="n"/>
      <c r="X9" s="51" t="inlineStr">
        <is>
          <t>A50 - AL COMMERCIAL BUILDI...</t>
        </is>
      </c>
    </row>
    <row r="10">
      <c r="A10" s="51" t="inlineStr">
        <is>
          <t>Delayed</t>
        </is>
      </c>
      <c r="B10" s="51" t="inlineStr">
        <is>
          <t>Pass to Agent</t>
        </is>
      </c>
      <c r="C10" s="51" t="inlineStr">
        <is>
          <t>MUNI</t>
        </is>
      </c>
      <c r="D10" s="51" t="inlineStr">
        <is>
          <t>IPP</t>
        </is>
      </c>
      <c r="E10" s="51" t="inlineStr">
        <is>
          <t>Clean Energy</t>
        </is>
      </c>
      <c r="F10" s="51" t="inlineStr">
        <is>
          <t>Generation</t>
        </is>
      </c>
      <c r="G10" s="51" t="inlineStr">
        <is>
          <t>Interconnection/POI</t>
        </is>
      </c>
      <c r="H10" s="51" t="inlineStr">
        <is>
          <t>Grid Hardening / Resiliency</t>
        </is>
      </c>
      <c r="I10" s="51" t="inlineStr">
        <is>
          <t>Modular/Packaged Solutions</t>
        </is>
      </c>
      <c r="J10" s="51" t="n"/>
      <c r="K10" s="51" t="n"/>
      <c r="L10" s="51" t="inlineStr">
        <is>
          <t>BESS</t>
        </is>
      </c>
      <c r="M10" s="51" t="n"/>
      <c r="N10" s="51" t="n"/>
      <c r="O10" s="51" t="inlineStr">
        <is>
          <t>Distributor</t>
        </is>
      </c>
      <c r="P10" s="51" t="inlineStr">
        <is>
          <t>Chemicals</t>
        </is>
      </c>
      <c r="Q10" s="51" t="n"/>
      <c r="R10" s="51" t="n"/>
      <c r="S10" s="51" t="n"/>
      <c r="T10" s="51" t="n"/>
      <c r="U10" s="51" t="n"/>
      <c r="V10" s="51" t="n"/>
      <c r="W10" s="51" t="n"/>
      <c r="X10" s="51" t="inlineStr">
        <is>
          <t>A60 - AL RESIDENTIAL BUILDI...</t>
        </is>
      </c>
    </row>
    <row r="11">
      <c r="A11" s="51" t="inlineStr">
        <is>
          <t>Closed</t>
        </is>
      </c>
      <c r="B11" s="51" t="inlineStr">
        <is>
          <t>Recycle</t>
        </is>
      </c>
      <c r="C11" s="51" t="inlineStr">
        <is>
          <t>COOP</t>
        </is>
      </c>
      <c r="D11" s="51" t="inlineStr">
        <is>
          <t>EPC</t>
        </is>
      </c>
      <c r="E11" s="51" t="inlineStr">
        <is>
          <t>Data Center</t>
        </is>
      </c>
      <c r="F11" s="51" t="n"/>
      <c r="G11" s="51" t="inlineStr">
        <is>
          <t>Undergrounding</t>
        </is>
      </c>
      <c r="H11" s="51" t="inlineStr">
        <is>
          <t>Grid Modernization</t>
        </is>
      </c>
      <c r="I11" s="51" t="n"/>
      <c r="J11" s="51" t="n"/>
      <c r="K11" s="51" t="n"/>
      <c r="L11" s="51" t="inlineStr">
        <is>
          <t>Natural Gas</t>
        </is>
      </c>
      <c r="M11" s="51" t="n"/>
      <c r="N11" s="51" t="n"/>
      <c r="O11" s="51" t="inlineStr">
        <is>
          <t>Distributor-Counter Sales</t>
        </is>
      </c>
      <c r="P11" s="51" t="inlineStr">
        <is>
          <t>Communications</t>
        </is>
      </c>
      <c r="Q11" s="51" t="n"/>
      <c r="R11" s="51" t="n"/>
      <c r="S11" s="51" t="n"/>
      <c r="T11" s="51" t="n"/>
      <c r="U11" s="51" t="n"/>
      <c r="V11" s="51" t="n"/>
      <c r="W11" s="51" t="n"/>
      <c r="X11" s="51" t="inlineStr">
        <is>
          <t>B00 - MC/FLEX &amp; LIQUIDTIGHT</t>
        </is>
      </c>
    </row>
    <row r="12">
      <c r="A12" s="51" t="n"/>
      <c r="B12" s="51" t="inlineStr">
        <is>
          <t>Reject</t>
        </is>
      </c>
      <c r="C12" s="51" t="inlineStr">
        <is>
          <t>PP</t>
        </is>
      </c>
      <c r="D12" s="51" t="inlineStr">
        <is>
          <t>Developer</t>
        </is>
      </c>
      <c r="E12" s="51" t="inlineStr">
        <is>
          <t>EV</t>
        </is>
      </c>
      <c r="F12" s="51" t="n"/>
      <c r="G12" s="51" t="inlineStr">
        <is>
          <t>Feeder Expansion</t>
        </is>
      </c>
      <c r="H12" s="51" t="inlineStr">
        <is>
          <t>Replacement / End-of-Life</t>
        </is>
      </c>
      <c r="I12" s="51" t="n"/>
      <c r="J12" s="51" t="n"/>
      <c r="K12" s="51" t="n"/>
      <c r="L12" s="51" t="n"/>
      <c r="M12" s="51" t="n"/>
      <c r="N12" s="51" t="n"/>
      <c r="O12" s="51" t="inlineStr">
        <is>
          <t>Distributor-Inside Sales</t>
        </is>
      </c>
      <c r="P12" s="51" t="inlineStr">
        <is>
          <t>Construction</t>
        </is>
      </c>
      <c r="Q12" s="51" t="n"/>
      <c r="R12" s="51" t="n"/>
      <c r="S12" s="51" t="n"/>
      <c r="T12" s="51" t="n"/>
      <c r="U12" s="51" t="n"/>
      <c r="V12" s="51" t="n"/>
      <c r="W12" s="51" t="n"/>
      <c r="X12" s="51" t="inlineStr">
        <is>
          <t>C00 - TOOLS &amp; EQUIPMENT</t>
        </is>
      </c>
    </row>
    <row r="13">
      <c r="A13" s="51" t="n"/>
      <c r="B13" s="51" t="inlineStr">
        <is>
          <t>Converted</t>
        </is>
      </c>
      <c r="C13" s="51" t="n"/>
      <c r="D13" s="51" t="inlineStr">
        <is>
          <t>Owner/End User</t>
        </is>
      </c>
      <c r="E13" s="51" t="inlineStr">
        <is>
          <t>Factory Automation</t>
        </is>
      </c>
      <c r="F13" s="51" t="n"/>
      <c r="G13" s="51" t="inlineStr">
        <is>
          <t>Electrical BoP/Switchyard</t>
        </is>
      </c>
      <c r="H13" s="51" t="inlineStr">
        <is>
          <t>Regulatory / Policy</t>
        </is>
      </c>
      <c r="I13" s="51" t="n"/>
      <c r="J13" s="51" t="n"/>
      <c r="K13" s="51" t="n"/>
      <c r="L13" s="51" t="n"/>
      <c r="M13" s="51" t="n"/>
      <c r="N13" s="51" t="n"/>
      <c r="O13" s="51" t="inlineStr">
        <is>
          <t>Distributor-Management</t>
        </is>
      </c>
      <c r="P13" s="51" t="inlineStr">
        <is>
          <t>Consulting</t>
        </is>
      </c>
      <c r="Q13" s="51" t="n"/>
      <c r="R13" s="51" t="n"/>
      <c r="S13" s="51" t="n"/>
      <c r="T13" s="51" t="n"/>
      <c r="U13" s="51" t="n"/>
      <c r="V13" s="51" t="n"/>
      <c r="W13" s="51" t="n"/>
      <c r="X13" s="51" t="inlineStr">
        <is>
          <t>C50 - DELETE - DO NOT USE</t>
        </is>
      </c>
    </row>
    <row r="14">
      <c r="A14" s="51" t="n"/>
      <c r="B14" s="51" t="n"/>
      <c r="C14" s="51" t="n"/>
      <c r="D14" s="51" t="inlineStr">
        <is>
          <t>Design / Build</t>
        </is>
      </c>
      <c r="E14" s="51" t="inlineStr">
        <is>
          <t>Healthcare</t>
        </is>
      </c>
      <c r="F14" s="51" t="n"/>
      <c r="G14" s="51" t="n"/>
      <c r="H14" s="51" t="n"/>
      <c r="I14" s="51" t="n"/>
      <c r="J14" s="51" t="n"/>
      <c r="K14" s="51" t="n"/>
      <c r="L14" s="51" t="n"/>
      <c r="M14" s="51" t="n"/>
      <c r="N14" s="51" t="n"/>
      <c r="O14" s="51" t="inlineStr">
        <is>
          <t>Distributor-Outside Sales</t>
        </is>
      </c>
      <c r="P14" s="51" t="inlineStr">
        <is>
          <t>Data Centers</t>
        </is>
      </c>
      <c r="Q14" s="51" t="n"/>
      <c r="R14" s="51" t="n"/>
      <c r="S14" s="51" t="n"/>
      <c r="T14" s="51" t="n"/>
      <c r="U14" s="51" t="n"/>
      <c r="V14" s="51" t="n"/>
      <c r="W14" s="51" t="n"/>
      <c r="X14" s="51" t="inlineStr">
        <is>
          <t>C60 - COMPONENTS</t>
        </is>
      </c>
    </row>
    <row r="15">
      <c r="A15" s="51" t="n"/>
      <c r="B15" s="51" t="n"/>
      <c r="C15" s="51" t="n"/>
      <c r="D15" s="51" t="n"/>
      <c r="E15" s="51" t="inlineStr">
        <is>
          <t>Mass Transit/Rail</t>
        </is>
      </c>
      <c r="F15" s="51" t="n"/>
      <c r="G15" s="51" t="n"/>
      <c r="H15" s="51" t="n"/>
      <c r="I15" s="51" t="n"/>
      <c r="J15" s="51" t="n"/>
      <c r="K15" s="51" t="n"/>
      <c r="L15" s="51" t="n"/>
      <c r="M15" s="51" t="n"/>
      <c r="N15" s="51" t="n"/>
      <c r="O15" s="51" t="inlineStr">
        <is>
          <t>Distributor-Purchasing</t>
        </is>
      </c>
      <c r="P15" s="51" t="inlineStr">
        <is>
          <t>Education</t>
        </is>
      </c>
      <c r="Q15" s="51" t="n"/>
      <c r="R15" s="51" t="n"/>
      <c r="S15" s="51" t="n"/>
      <c r="T15" s="51" t="n"/>
      <c r="U15" s="51" t="n"/>
      <c r="V15" s="51" t="n"/>
      <c r="W15" s="51" t="n"/>
      <c r="X15" s="51" t="inlineStr">
        <is>
          <t>D00 - VOICE, DATA &amp; ELECTR...</t>
        </is>
      </c>
    </row>
    <row r="16">
      <c r="A16" s="51" t="n"/>
      <c r="B16" s="51" t="n"/>
      <c r="C16" s="51" t="n"/>
      <c r="D16" s="51" t="n"/>
      <c r="E16" s="51" t="inlineStr">
        <is>
          <t>Mining</t>
        </is>
      </c>
      <c r="F16" s="51" t="n"/>
      <c r="G16" s="51" t="n"/>
      <c r="H16" s="51" t="n"/>
      <c r="I16" s="51" t="n"/>
      <c r="J16" s="51" t="n"/>
      <c r="K16" s="51" t="n"/>
      <c r="L16" s="51" t="n"/>
      <c r="M16" s="51" t="n"/>
      <c r="N16" s="51" t="n"/>
      <c r="O16" s="51" t="inlineStr">
        <is>
          <t>Distributor-Warehouse</t>
        </is>
      </c>
      <c r="P16" s="51" t="inlineStr">
        <is>
          <t>Electronics</t>
        </is>
      </c>
      <c r="Q16" s="51" t="n"/>
      <c r="R16" s="51" t="n"/>
      <c r="S16" s="51" t="n"/>
      <c r="T16" s="51" t="n"/>
      <c r="U16" s="51" t="n"/>
      <c r="V16" s="51" t="n"/>
      <c r="W16" s="51" t="n"/>
      <c r="X16" s="51" t="inlineStr">
        <is>
          <t>D11 - CU TRANSIT</t>
        </is>
      </c>
    </row>
    <row r="17">
      <c r="A17" s="51" t="n"/>
      <c r="B17" s="51" t="n"/>
      <c r="C17" s="51" t="n"/>
      <c r="D17" s="51" t="n"/>
      <c r="E17" s="51" t="inlineStr">
        <is>
          <t>Power Generation</t>
        </is>
      </c>
      <c r="F17" s="51" t="n"/>
      <c r="G17" s="51" t="n"/>
      <c r="H17" s="51" t="n"/>
      <c r="I17" s="51" t="n"/>
      <c r="J17" s="51" t="n"/>
      <c r="K17" s="51" t="n"/>
      <c r="L17" s="51" t="n"/>
      <c r="M17" s="51" t="n"/>
      <c r="N17" s="51" t="n"/>
      <c r="O17" s="51" t="inlineStr">
        <is>
          <t>End User</t>
        </is>
      </c>
      <c r="P17" s="51" t="inlineStr">
        <is>
          <t>Energy</t>
        </is>
      </c>
      <c r="Q17" s="51" t="n"/>
      <c r="R17" s="51" t="n"/>
      <c r="S17" s="51" t="n"/>
      <c r="T17" s="51" t="n"/>
      <c r="U17" s="51" t="n"/>
      <c r="V17" s="51" t="n"/>
      <c r="W17" s="51" t="n"/>
      <c r="X17" s="51" t="inlineStr">
        <is>
          <t>D30 - CORD</t>
        </is>
      </c>
    </row>
    <row r="18">
      <c r="A18" s="51" t="n"/>
      <c r="B18" s="51" t="n"/>
      <c r="C18" s="51" t="n"/>
      <c r="D18" s="51" t="n"/>
      <c r="E18" s="51" t="n"/>
      <c r="F18" s="51" t="n"/>
      <c r="G18" s="51" t="n"/>
      <c r="H18" s="51" t="n"/>
      <c r="I18" s="51" t="n"/>
      <c r="J18" s="51" t="n"/>
      <c r="K18" s="51" t="n"/>
      <c r="L18" s="51" t="n"/>
      <c r="M18" s="51" t="n"/>
      <c r="N18" s="51" t="n"/>
      <c r="O18" s="51" t="inlineStr">
        <is>
          <t>Engineer</t>
        </is>
      </c>
      <c r="P18" s="51" t="n"/>
      <c r="Q18" s="51" t="n"/>
      <c r="R18" s="51" t="n"/>
      <c r="S18" s="51" t="n"/>
      <c r="T18" s="51" t="n"/>
      <c r="U18" s="51" t="n"/>
      <c r="V18" s="51" t="n"/>
      <c r="W18" s="51" t="n"/>
      <c r="X18" s="51" t="inlineStr">
        <is>
          <t>E00 - LEAD WIRE PRODUCTS</t>
        </is>
      </c>
    </row>
    <row r="19">
      <c r="A19" s="51" t="n"/>
      <c r="B19" s="51" t="n"/>
      <c r="C19" s="51" t="n"/>
      <c r="D19" s="51" t="n"/>
      <c r="E19" s="51" t="n"/>
      <c r="F19" s="51" t="n"/>
      <c r="G19" s="51" t="n"/>
      <c r="H19" s="51" t="n"/>
      <c r="I19" s="51" t="n"/>
      <c r="J19" s="51" t="n"/>
      <c r="K19" s="51" t="n"/>
      <c r="L19" s="51" t="n"/>
      <c r="M19" s="51" t="n"/>
      <c r="N19" s="51" t="n"/>
      <c r="O19" s="51" t="inlineStr">
        <is>
          <t>General Contractor</t>
        </is>
      </c>
      <c r="P19" s="51" t="n"/>
      <c r="Q19" s="51" t="n"/>
      <c r="R19" s="51" t="n"/>
      <c r="S19" s="51" t="n"/>
      <c r="T19" s="51" t="n"/>
      <c r="U19" s="51" t="n"/>
      <c r="V19" s="51" t="n"/>
      <c r="W19" s="51" t="n"/>
      <c r="X19" s="51" t="inlineStr">
        <is>
          <t>E10 - COPPER FAB</t>
        </is>
      </c>
    </row>
    <row r="20">
      <c r="A20" s="51" t="n"/>
      <c r="B20" s="51" t="n"/>
      <c r="C20" s="51" t="n"/>
      <c r="D20" s="51" t="n"/>
      <c r="E20" s="51" t="n"/>
      <c r="F20" s="51" t="n"/>
      <c r="G20" s="51" t="n"/>
      <c r="H20" s="51" t="n"/>
      <c r="I20" s="51" t="n"/>
      <c r="J20" s="51" t="n"/>
      <c r="K20" s="51" t="n"/>
      <c r="L20" s="51" t="n"/>
      <c r="M20" s="51" t="n"/>
      <c r="N20" s="51" t="n"/>
      <c r="O20" s="51" t="inlineStr">
        <is>
          <t>Inspector</t>
        </is>
      </c>
      <c r="P20" s="51" t="n"/>
      <c r="Q20" s="51" t="n"/>
      <c r="R20" s="51" t="n"/>
      <c r="S20" s="51" t="n"/>
      <c r="T20" s="51" t="n"/>
      <c r="U20" s="51" t="n"/>
      <c r="V20" s="51" t="n"/>
      <c r="W20" s="51" t="n"/>
      <c r="X20" s="51" t="inlineStr">
        <is>
          <t>E20 - SPECIALTY MARKET PRO...</t>
        </is>
      </c>
    </row>
    <row r="21">
      <c r="A21" s="51" t="n"/>
      <c r="B21" s="51" t="n"/>
      <c r="C21" s="51" t="n"/>
      <c r="D21" s="51" t="n"/>
      <c r="E21" s="51" t="n"/>
      <c r="F21" s="51" t="n"/>
      <c r="G21" s="51" t="n"/>
      <c r="H21" s="51" t="n"/>
      <c r="I21" s="51" t="n"/>
      <c r="J21" s="51" t="n"/>
      <c r="K21" s="51" t="n"/>
      <c r="L21" s="51" t="n"/>
      <c r="M21" s="51" t="n"/>
      <c r="N21" s="51" t="n"/>
      <c r="O21" s="51" t="inlineStr">
        <is>
          <t>Internal</t>
        </is>
      </c>
      <c r="P21" s="51" t="n"/>
      <c r="Q21" s="51" t="n"/>
      <c r="R21" s="51" t="n"/>
      <c r="S21" s="51" t="n"/>
      <c r="T21" s="51" t="n"/>
      <c r="U21" s="51" t="n"/>
      <c r="V21" s="51" t="n"/>
      <c r="W21" s="51" t="n"/>
      <c r="X21" s="51" t="inlineStr">
        <is>
          <t>G00 - MEDIUM VOLTAGE POWER...</t>
        </is>
      </c>
    </row>
    <row r="22">
      <c r="A22" s="51" t="n"/>
      <c r="B22" s="51" t="n"/>
      <c r="C22" s="51" t="n"/>
      <c r="D22" s="51" t="n"/>
      <c r="E22" s="51" t="n"/>
      <c r="F22" s="51" t="n"/>
      <c r="G22" s="51" t="n"/>
      <c r="H22" s="51" t="n"/>
      <c r="I22" s="51" t="n"/>
      <c r="J22" s="51" t="n"/>
      <c r="K22" s="51" t="n"/>
      <c r="L22" s="51" t="n"/>
      <c r="M22" s="51" t="n"/>
      <c r="N22" s="51" t="n"/>
      <c r="O22" s="51" t="inlineStr">
        <is>
          <t>K-12</t>
        </is>
      </c>
      <c r="P22" s="51" t="n"/>
      <c r="Q22" s="51" t="n"/>
      <c r="R22" s="51" t="n"/>
      <c r="S22" s="51" t="n"/>
      <c r="T22" s="51" t="n"/>
      <c r="U22" s="51" t="n"/>
      <c r="V22" s="51" t="n"/>
      <c r="W22" s="51" t="n"/>
      <c r="X22" s="51" t="inlineStr">
        <is>
          <t>H00 - INDUSTRIAL SINGLE COND...</t>
        </is>
      </c>
    </row>
    <row r="23">
      <c r="A23" s="51" t="n"/>
      <c r="B23" s="51" t="n"/>
      <c r="C23" s="51" t="n"/>
      <c r="D23" s="51" t="n"/>
      <c r="E23" s="51" t="n"/>
      <c r="F23" s="51" t="n"/>
      <c r="G23" s="51" t="n"/>
      <c r="H23" s="51" t="n"/>
      <c r="I23" s="51" t="n"/>
      <c r="J23" s="51" t="n"/>
      <c r="K23" s="51" t="n"/>
      <c r="L23" s="51" t="n"/>
      <c r="M23" s="51" t="n"/>
      <c r="N23" s="51" t="n"/>
      <c r="O23" s="51" t="inlineStr">
        <is>
          <t>Local Government</t>
        </is>
      </c>
      <c r="P23" s="51" t="n"/>
      <c r="Q23" s="51" t="n"/>
      <c r="R23" s="51" t="n"/>
      <c r="S23" s="51" t="n"/>
      <c r="T23" s="51" t="n"/>
      <c r="U23" s="51" t="n"/>
      <c r="V23" s="51" t="n"/>
      <c r="W23" s="51" t="n"/>
      <c r="X23" s="51" t="inlineStr">
        <is>
          <t>J10 - INDUSTRIAL ARMORED CAB...</t>
        </is>
      </c>
    </row>
    <row r="24">
      <c r="A24" s="51" t="n"/>
      <c r="B24" s="51" t="n"/>
      <c r="C24" s="51" t="n"/>
      <c r="D24" s="51" t="n"/>
      <c r="E24" s="51" t="n"/>
      <c r="F24" s="51" t="n"/>
      <c r="G24" s="51" t="n"/>
      <c r="H24" s="51" t="n"/>
      <c r="I24" s="51" t="n"/>
      <c r="J24" s="51" t="n"/>
      <c r="K24" s="51" t="n"/>
      <c r="L24" s="51" t="n"/>
      <c r="M24" s="51" t="n"/>
      <c r="N24" s="51" t="n"/>
      <c r="O24" s="51" t="inlineStr">
        <is>
          <t>Military</t>
        </is>
      </c>
      <c r="P24" s="51" t="n"/>
      <c r="Q24" s="51" t="n"/>
      <c r="R24" s="51" t="n"/>
      <c r="S24" s="51" t="n"/>
      <c r="T24" s="51" t="n"/>
      <c r="U24" s="51" t="n"/>
      <c r="V24" s="51" t="n"/>
      <c r="W24" s="51" t="n"/>
      <c r="X24" s="51" t="inlineStr">
        <is>
          <t>K00 - CU TELEPHONE POWER...</t>
        </is>
      </c>
    </row>
    <row r="25">
      <c r="A25" s="51" t="n"/>
      <c r="B25" s="51" t="n"/>
      <c r="C25" s="51" t="n"/>
      <c r="D25" s="51" t="n"/>
      <c r="E25" s="51" t="n"/>
      <c r="F25" s="51" t="n"/>
      <c r="G25" s="51" t="n"/>
      <c r="H25" s="51" t="n"/>
      <c r="I25" s="51" t="n"/>
      <c r="J25" s="51" t="n"/>
      <c r="K25" s="51" t="n"/>
      <c r="L25" s="51" t="n"/>
      <c r="M25" s="51" t="n"/>
      <c r="N25" s="51" t="n"/>
      <c r="O25" s="51" t="inlineStr">
        <is>
          <t>Senator</t>
        </is>
      </c>
      <c r="P25" s="51" t="n"/>
      <c r="Q25" s="51" t="n"/>
      <c r="R25" s="51" t="n"/>
      <c r="S25" s="51" t="n"/>
      <c r="T25" s="51" t="n"/>
      <c r="U25" s="51" t="n"/>
      <c r="V25" s="51" t="n"/>
      <c r="W25" s="51" t="n"/>
      <c r="X25" s="51" t="inlineStr">
        <is>
          <t>M10 - CIC</t>
        </is>
      </c>
    </row>
    <row r="26">
      <c r="A26" s="51" t="n"/>
      <c r="B26" s="51" t="n"/>
      <c r="C26" s="51" t="n"/>
      <c r="D26" s="51" t="n"/>
      <c r="E26" s="51" t="n"/>
      <c r="F26" s="51" t="n"/>
      <c r="G26" s="51" t="n"/>
      <c r="H26" s="51" t="n"/>
      <c r="I26" s="51" t="n"/>
      <c r="J26" s="51" t="n"/>
      <c r="K26" s="51" t="n"/>
      <c r="L26" s="51" t="n"/>
      <c r="M26" s="51" t="n"/>
      <c r="N26" s="51" t="n"/>
      <c r="O26" s="51" t="inlineStr">
        <is>
          <t>Southwire</t>
        </is>
      </c>
      <c r="P26" s="51" t="n"/>
      <c r="Q26" s="51" t="n"/>
      <c r="R26" s="51" t="n"/>
      <c r="S26" s="51" t="n"/>
      <c r="T26" s="51" t="n"/>
      <c r="U26" s="51" t="n"/>
      <c r="V26" s="51" t="n"/>
      <c r="W26" s="51" t="n"/>
      <c r="X26" s="51" t="inlineStr">
        <is>
          <t>M20 - SUBSTATION</t>
        </is>
      </c>
    </row>
    <row r="27">
      <c r="A27" s="51" t="n"/>
      <c r="B27" s="51" t="n"/>
      <c r="C27" s="51" t="n"/>
      <c r="D27" s="51" t="n"/>
      <c r="E27" s="51" t="n"/>
      <c r="F27" s="51" t="n"/>
      <c r="G27" s="51" t="n"/>
      <c r="H27" s="51" t="n"/>
      <c r="I27" s="51" t="n"/>
      <c r="J27" s="51" t="n"/>
      <c r="K27" s="51" t="n"/>
      <c r="L27" s="51" t="n"/>
      <c r="M27" s="51" t="n"/>
      <c r="N27" s="51" t="n"/>
      <c r="O27" s="51" t="inlineStr">
        <is>
          <t>Technical</t>
        </is>
      </c>
      <c r="P27" s="51" t="n"/>
      <c r="Q27" s="51" t="n"/>
      <c r="R27" s="51" t="n"/>
      <c r="S27" s="51" t="n"/>
      <c r="T27" s="51" t="n"/>
      <c r="U27" s="51" t="n"/>
      <c r="V27" s="51" t="n"/>
      <c r="W27" s="51" t="n"/>
      <c r="X27" s="51" t="inlineStr">
        <is>
          <t>M30 - PROOF POSITIVE</t>
        </is>
      </c>
    </row>
    <row r="28">
      <c r="A28" s="51" t="n"/>
      <c r="B28" s="51" t="n"/>
      <c r="C28" s="51" t="n"/>
      <c r="D28" s="51" t="n"/>
      <c r="E28" s="51" t="n"/>
      <c r="F28" s="51" t="n"/>
      <c r="G28" s="51" t="n"/>
      <c r="H28" s="51" t="n"/>
      <c r="I28" s="51" t="n"/>
      <c r="J28" s="51" t="n"/>
      <c r="K28" s="51" t="n"/>
      <c r="L28" s="51" t="n"/>
      <c r="M28" s="51" t="n"/>
      <c r="N28" s="51" t="n"/>
      <c r="O28" s="51" t="inlineStr">
        <is>
          <t>University</t>
        </is>
      </c>
      <c r="P28" s="51" t="n"/>
      <c r="Q28" s="51" t="n"/>
      <c r="R28" s="51" t="n"/>
      <c r="S28" s="51" t="n"/>
      <c r="T28" s="51" t="n"/>
      <c r="U28" s="51" t="n"/>
      <c r="V28" s="51" t="n"/>
      <c r="W28" s="51" t="n"/>
      <c r="X28" s="51" t="inlineStr">
        <is>
          <t>N00 - HV UNDERGROUND CABLE</t>
        </is>
      </c>
    </row>
    <row r="29">
      <c r="A29" s="51" t="n"/>
      <c r="B29" s="51" t="n"/>
      <c r="C29" s="51" t="n"/>
      <c r="D29" s="51" t="n"/>
      <c r="E29" s="51" t="n"/>
      <c r="F29" s="51" t="n"/>
      <c r="G29" s="51" t="n"/>
      <c r="H29" s="51" t="n"/>
      <c r="I29" s="51" t="n"/>
      <c r="J29" s="51" t="n"/>
      <c r="K29" s="51" t="n"/>
      <c r="L29" s="51" t="n"/>
      <c r="M29" s="51" t="n"/>
      <c r="N29" s="51" t="n"/>
      <c r="O29" s="51" t="inlineStr">
        <is>
          <t>Other</t>
        </is>
      </c>
      <c r="P29" s="51" t="n"/>
      <c r="Q29" s="51" t="n"/>
      <c r="R29" s="51" t="n"/>
      <c r="S29" s="51" t="n"/>
      <c r="T29" s="51" t="n"/>
      <c r="U29" s="51" t="n"/>
      <c r="V29" s="51" t="n"/>
      <c r="W29" s="51" t="n"/>
      <c r="X29" s="51" t="inlineStr">
        <is>
          <t>P10 - BARE AL</t>
        </is>
      </c>
    </row>
    <row r="30">
      <c r="A30" s="51" t="n"/>
      <c r="B30" s="51" t="n"/>
      <c r="C30" s="51" t="n"/>
      <c r="D30" s="51" t="n"/>
      <c r="E30" s="51" t="n"/>
      <c r="F30" s="51" t="n"/>
      <c r="G30" s="51" t="n"/>
      <c r="H30" s="51" t="n"/>
      <c r="I30" s="51" t="n"/>
      <c r="J30" s="51" t="n"/>
      <c r="K30" s="51" t="n"/>
      <c r="L30" s="51" t="n"/>
      <c r="M30" s="51" t="n"/>
      <c r="N30" s="51" t="n"/>
      <c r="O30" s="51" t="n"/>
      <c r="P30" s="51" t="n"/>
      <c r="Q30" s="51" t="n"/>
      <c r="R30" s="51" t="n"/>
      <c r="S30" s="51" t="n"/>
      <c r="T30" s="51" t="n"/>
      <c r="U30" s="51" t="n"/>
      <c r="V30" s="51" t="n"/>
      <c r="W30" s="51" t="n"/>
      <c r="X30" s="51" t="inlineStr">
        <is>
          <t>P20 - INSULATED AL 600V UTI...</t>
        </is>
      </c>
    </row>
    <row r="31">
      <c r="A31" s="51" t="n"/>
      <c r="B31" s="51" t="n"/>
      <c r="C31" s="51" t="n"/>
      <c r="D31" s="51" t="n"/>
      <c r="E31" s="51" t="n"/>
      <c r="F31" s="51" t="n"/>
      <c r="G31" s="51" t="n"/>
      <c r="H31" s="51" t="n"/>
      <c r="I31" s="51" t="n"/>
      <c r="J31" s="51" t="n"/>
      <c r="K31" s="51" t="n"/>
      <c r="L31" s="51" t="n"/>
      <c r="M31" s="51" t="n"/>
      <c r="N31" s="51" t="n"/>
      <c r="O31" s="51" t="n"/>
      <c r="P31" s="51" t="n"/>
      <c r="Q31" s="51" t="n"/>
      <c r="R31" s="51" t="n"/>
      <c r="S31" s="51" t="n"/>
      <c r="T31" s="51" t="n"/>
      <c r="U31" s="51" t="n"/>
      <c r="V31" s="51" t="n"/>
      <c r="W31" s="51" t="n"/>
      <c r="X31" s="51" t="inlineStr">
        <is>
          <t>P30 - CAMP</t>
        </is>
      </c>
    </row>
    <row r="32">
      <c r="A32" s="51" t="n"/>
      <c r="B32" s="51" t="n"/>
      <c r="C32" s="51" t="n"/>
      <c r="D32" s="51" t="n"/>
      <c r="E32" s="51" t="n"/>
      <c r="F32" s="51" t="n"/>
      <c r="G32" s="51" t="n"/>
      <c r="H32" s="51" t="n"/>
      <c r="I32" s="51" t="n"/>
      <c r="J32" s="51" t="n"/>
      <c r="K32" s="51" t="n"/>
      <c r="L32" s="51" t="n"/>
      <c r="M32" s="51" t="n"/>
      <c r="N32" s="51" t="n"/>
      <c r="O32" s="51" t="n"/>
      <c r="P32" s="51" t="n"/>
      <c r="Q32" s="51" t="n"/>
      <c r="R32" s="51" t="n"/>
      <c r="S32" s="51" t="n"/>
      <c r="T32" s="51" t="n"/>
      <c r="U32" s="51" t="n"/>
      <c r="V32" s="51" t="n"/>
      <c r="W32" s="51" t="n"/>
      <c r="X32" s="51" t="inlineStr">
        <is>
          <t>P40 - MEDIUM VOLTAGE PRIM...</t>
        </is>
      </c>
    </row>
    <row r="33">
      <c r="A33" s="51" t="n"/>
      <c r="B33" s="51" t="n"/>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inlineStr">
        <is>
          <t>P50 - BARE CU</t>
        </is>
      </c>
    </row>
    <row r="34">
      <c r="A34" s="51" t="n"/>
      <c r="B34" s="51" t="n"/>
      <c r="C34" s="51" t="n"/>
      <c r="D34" s="51" t="n"/>
      <c r="E34" s="51" t="n"/>
      <c r="F34" s="51" t="n"/>
      <c r="G34" s="51" t="n"/>
      <c r="H34" s="51" t="n"/>
      <c r="I34" s="51" t="n"/>
      <c r="J34" s="51" t="n"/>
      <c r="K34" s="51" t="n"/>
      <c r="L34" s="51" t="n"/>
      <c r="M34" s="51" t="n"/>
      <c r="N34" s="51" t="n"/>
      <c r="O34" s="51" t="n"/>
      <c r="P34" s="51" t="n"/>
      <c r="Q34" s="51" t="n"/>
      <c r="R34" s="51" t="n"/>
      <c r="S34" s="51" t="n"/>
      <c r="T34" s="51" t="n"/>
      <c r="U34" s="51" t="n"/>
      <c r="V34" s="51" t="n"/>
      <c r="W34" s="51" t="n"/>
      <c r="X34" s="51" t="inlineStr">
        <is>
          <t>P60 - INSULATED CU UTILITY...</t>
        </is>
      </c>
    </row>
    <row r="35">
      <c r="A35" s="51" t="n"/>
      <c r="B35" s="51" t="n"/>
      <c r="C35" s="51" t="n"/>
      <c r="D35" s="51" t="n"/>
      <c r="E35" s="51" t="n"/>
      <c r="F35" s="51" t="n"/>
      <c r="G35" s="51" t="n"/>
      <c r="H35" s="51" t="n"/>
      <c r="I35" s="51" t="n"/>
      <c r="J35" s="51" t="n"/>
      <c r="K35" s="51" t="n"/>
      <c r="L35" s="51" t="n"/>
      <c r="M35" s="51" t="n"/>
      <c r="N35" s="51" t="n"/>
      <c r="O35" s="51" t="n"/>
      <c r="P35" s="51" t="n"/>
      <c r="Q35" s="51" t="n"/>
      <c r="R35" s="51" t="n"/>
      <c r="S35" s="51" t="n"/>
      <c r="T35" s="51" t="n"/>
      <c r="U35" s="51" t="n"/>
      <c r="V35" s="51" t="n"/>
      <c r="W35" s="51" t="n"/>
      <c r="X35" s="51" t="inlineStr">
        <is>
          <t>P70 - STEEL WIRE &amp; CABLE</t>
        </is>
      </c>
    </row>
    <row r="36">
      <c r="A36" s="51" t="n"/>
      <c r="B36" s="51" t="n"/>
      <c r="C36" s="51" t="n"/>
      <c r="D36" s="51" t="n"/>
      <c r="E36" s="51" t="n"/>
      <c r="F36" s="51" t="n"/>
      <c r="G36" s="51" t="n"/>
      <c r="H36" s="51" t="n"/>
      <c r="I36" s="51" t="n"/>
      <c r="J36" s="51" t="n"/>
      <c r="K36" s="51" t="n"/>
      <c r="L36" s="51" t="n"/>
      <c r="M36" s="51" t="n"/>
      <c r="N36" s="51" t="n"/>
      <c r="O36" s="51" t="n"/>
      <c r="P36" s="51" t="n"/>
      <c r="Q36" s="51" t="n"/>
      <c r="R36" s="51" t="n"/>
      <c r="S36" s="51" t="n"/>
      <c r="T36" s="51" t="n"/>
      <c r="U36" s="51" t="n"/>
      <c r="V36" s="51" t="n"/>
      <c r="W36" s="51" t="n"/>
      <c r="X36" s="51" t="inlineStr">
        <is>
          <t>P80 - UTILITY ACCESSORIES</t>
        </is>
      </c>
    </row>
    <row r="37">
      <c r="A37" s="51" t="n"/>
      <c r="B37" s="51" t="n"/>
      <c r="C37" s="51" t="n"/>
      <c r="D37" s="51" t="n"/>
      <c r="E37" s="51" t="n"/>
      <c r="F37" s="51" t="n"/>
      <c r="G37" s="51" t="n"/>
      <c r="H37" s="51" t="n"/>
      <c r="I37" s="51" t="n"/>
      <c r="J37" s="51" t="n"/>
      <c r="K37" s="51" t="n"/>
      <c r="L37" s="51" t="n"/>
      <c r="M37" s="51" t="n"/>
      <c r="N37" s="51" t="n"/>
      <c r="O37" s="51" t="n"/>
      <c r="P37" s="51" t="n"/>
      <c r="Q37" s="51" t="n"/>
      <c r="R37" s="51" t="n"/>
      <c r="S37" s="51" t="n"/>
      <c r="T37" s="51" t="n"/>
      <c r="U37" s="51" t="n"/>
      <c r="V37" s="51" t="n"/>
      <c r="W37" s="51" t="n"/>
      <c r="X37" s="51" t="n"/>
    </row>
    <row r="38">
      <c r="A38" s="51" t="n"/>
      <c r="B38" s="51" t="n"/>
      <c r="C38" s="51" t="n"/>
      <c r="D38" s="51" t="n"/>
      <c r="E38" s="51" t="n"/>
      <c r="F38" s="51" t="n"/>
      <c r="G38" s="51" t="n"/>
      <c r="H38" s="51" t="n"/>
      <c r="I38" s="51" t="n"/>
      <c r="J38" s="51" t="n"/>
      <c r="K38" s="51" t="n"/>
      <c r="L38" s="51" t="n"/>
      <c r="M38" s="51" t="n"/>
      <c r="N38" s="51" t="n"/>
      <c r="O38" s="51" t="n"/>
      <c r="P38" s="51" t="n"/>
      <c r="Q38" s="51" t="n"/>
      <c r="R38" s="51" t="n"/>
      <c r="S38" s="51" t="n"/>
      <c r="T38" s="51" t="n"/>
      <c r="U38" s="51" t="n"/>
      <c r="V38" s="51" t="n"/>
      <c r="W38" s="51" t="n"/>
      <c r="X38" s="51" t="n"/>
    </row>
    <row r="39">
      <c r="A39" s="51" t="n"/>
      <c r="B39" s="51" t="n"/>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row>
    <row r="40">
      <c r="A40" s="51" t="n"/>
      <c r="B40" s="51" t="n"/>
      <c r="C40" s="51" t="n"/>
      <c r="D40" s="51" t="n"/>
      <c r="E40" s="51" t="n"/>
      <c r="F40" s="51" t="n"/>
      <c r="G40" s="51" t="n"/>
      <c r="H40" s="51" t="n"/>
      <c r="I40" s="51" t="n"/>
      <c r="J40" s="51" t="n"/>
      <c r="K40" s="51" t="n"/>
      <c r="L40" s="51" t="n"/>
      <c r="M40" s="51" t="n"/>
      <c r="N40" s="51" t="n"/>
      <c r="O40" s="51" t="n"/>
      <c r="P40" s="51" t="n"/>
      <c r="Q40" s="51" t="n"/>
      <c r="R40" s="51" t="n"/>
      <c r="S40" s="51" t="n"/>
      <c r="T40" s="51" t="n"/>
      <c r="U40" s="51" t="n"/>
      <c r="V40" s="51" t="n"/>
      <c r="W40" s="51" t="n"/>
      <c r="X40" s="51" t="n"/>
    </row>
    <row r="41">
      <c r="A41" s="51" t="n"/>
      <c r="B41" s="51" t="n"/>
      <c r="C41" s="51" t="n"/>
      <c r="D41" s="51" t="n"/>
      <c r="E41" s="51" t="n"/>
      <c r="F41" s="51" t="n"/>
      <c r="G41" s="51" t="n"/>
      <c r="H41" s="51" t="n"/>
      <c r="I41" s="51" t="n"/>
      <c r="J41" s="51" t="n"/>
      <c r="K41" s="51" t="n"/>
      <c r="L41" s="51" t="n"/>
      <c r="M41" s="51" t="n"/>
      <c r="N41" s="51" t="n"/>
      <c r="O41" s="51" t="n"/>
      <c r="P41" s="51" t="n"/>
      <c r="Q41" s="51" t="n"/>
      <c r="R41" s="51" t="n"/>
      <c r="S41" s="51" t="n"/>
      <c r="T41" s="51" t="n"/>
      <c r="U41" s="51" t="n"/>
      <c r="V41" s="51" t="n"/>
      <c r="W41" s="51" t="n"/>
      <c r="X41" s="51" t="n"/>
    </row>
    <row r="42">
      <c r="A42" s="51" t="n"/>
      <c r="B42" s="51" t="n"/>
      <c r="C42" s="51" t="n"/>
      <c r="D42" s="51" t="n"/>
      <c r="E42" s="51" t="n"/>
      <c r="F42" s="51" t="n"/>
      <c r="G42" s="51" t="n"/>
      <c r="H42" s="51" t="n"/>
      <c r="I42" s="51" t="n"/>
      <c r="J42" s="51" t="n"/>
      <c r="K42" s="51" t="n"/>
      <c r="L42" s="51" t="n"/>
      <c r="M42" s="51" t="n"/>
      <c r="N42" s="51" t="n"/>
      <c r="O42" s="51" t="n"/>
      <c r="P42" s="51" t="n"/>
      <c r="Q42" s="51" t="n"/>
      <c r="R42" s="51" t="n"/>
      <c r="S42" s="51" t="n"/>
      <c r="T42" s="51" t="n"/>
      <c r="U42" s="51" t="n"/>
      <c r="V42" s="51" t="n"/>
      <c r="W42" s="51" t="n"/>
      <c r="X42" s="51" t="n"/>
    </row>
    <row r="43">
      <c r="A43" s="51" t="n"/>
      <c r="B43" s="51" t="n"/>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row>
    <row r="44">
      <c r="A44" s="51" t="n"/>
      <c r="B44" s="51" t="n"/>
      <c r="C44" s="51" t="n"/>
      <c r="D44" s="51" t="n"/>
      <c r="E44" s="51" t="n"/>
      <c r="F44" s="51" t="n"/>
      <c r="G44" s="51" t="n"/>
      <c r="H44" s="51" t="n"/>
      <c r="I44" s="51" t="n"/>
      <c r="J44" s="51" t="n"/>
      <c r="K44" s="51" t="n"/>
      <c r="L44" s="51" t="n"/>
      <c r="M44" s="51" t="n"/>
      <c r="N44" s="51" t="n"/>
      <c r="O44" s="51" t="n"/>
      <c r="P44" s="51" t="n"/>
      <c r="Q44" s="51" t="n"/>
      <c r="R44" s="51" t="n"/>
      <c r="S44" s="51" t="n"/>
      <c r="T44" s="51" t="n"/>
      <c r="U44" s="51" t="n"/>
      <c r="V44" s="51" t="n"/>
      <c r="W44" s="51" t="n"/>
      <c r="X44" s="51" t="n"/>
    </row>
    <row r="45">
      <c r="A45" s="51" t="n"/>
      <c r="B45" s="51" t="n"/>
      <c r="C45" s="51" t="n"/>
      <c r="D45" s="51" t="n"/>
      <c r="E45" s="51" t="n"/>
      <c r="F45" s="51" t="n"/>
      <c r="G45" s="51" t="n"/>
      <c r="H45" s="51" t="n"/>
      <c r="I45" s="51" t="n"/>
      <c r="J45" s="51" t="n"/>
      <c r="K45" s="51" t="n"/>
      <c r="L45" s="51" t="n"/>
      <c r="M45" s="51" t="n"/>
      <c r="N45" s="51" t="n"/>
      <c r="O45" s="51" t="n"/>
      <c r="P45" s="51" t="n"/>
      <c r="Q45" s="51" t="n"/>
      <c r="R45" s="51" t="n"/>
      <c r="S45" s="51" t="n"/>
      <c r="T45" s="51" t="n"/>
      <c r="U45" s="51" t="n"/>
      <c r="V45" s="51" t="n"/>
      <c r="W45" s="51" t="n"/>
      <c r="X45" s="51" t="n"/>
    </row>
    <row r="46">
      <c r="A46" s="51" t="n"/>
      <c r="B46" s="51" t="n"/>
      <c r="C46" s="51" t="n"/>
      <c r="D46" s="51" t="n"/>
      <c r="E46" s="51" t="n"/>
      <c r="F46" s="51" t="n"/>
      <c r="G46" s="51" t="n"/>
      <c r="H46" s="51" t="n"/>
      <c r="I46" s="51" t="n"/>
      <c r="J46" s="51" t="n"/>
      <c r="K46" s="51" t="n"/>
      <c r="L46" s="51" t="n"/>
      <c r="M46" s="51" t="n"/>
      <c r="N46" s="51" t="n"/>
      <c r="O46" s="51" t="n"/>
      <c r="P46" s="51" t="n"/>
      <c r="Q46" s="51" t="n"/>
      <c r="R46" s="51" t="n"/>
      <c r="S46" s="51" t="n"/>
      <c r="T46" s="51" t="n"/>
      <c r="U46" s="51" t="n"/>
      <c r="V46" s="51" t="n"/>
      <c r="W46" s="51" t="n"/>
      <c r="X46" s="51" t="n"/>
    </row>
    <row r="47">
      <c r="A47" s="51" t="n"/>
      <c r="B47" s="51" t="n"/>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row>
    <row r="48">
      <c r="A48" s="51" t="n"/>
      <c r="B48" s="51" t="n"/>
      <c r="C48" s="51" t="n"/>
      <c r="D48" s="51" t="n"/>
      <c r="E48" s="51" t="n"/>
      <c r="F48" s="51" t="n"/>
      <c r="G48" s="51" t="n"/>
      <c r="H48" s="51" t="n"/>
      <c r="I48" s="51" t="n"/>
      <c r="J48" s="51" t="n"/>
      <c r="K48" s="51" t="n"/>
      <c r="L48" s="51" t="n"/>
      <c r="M48" s="51" t="n"/>
      <c r="N48" s="51" t="n"/>
      <c r="O48" s="51" t="n"/>
      <c r="P48" s="51" t="n"/>
      <c r="Q48" s="51" t="n"/>
      <c r="R48" s="51" t="n"/>
      <c r="S48" s="51" t="n"/>
      <c r="T48" s="51" t="n"/>
      <c r="U48" s="51" t="n"/>
      <c r="V48" s="51" t="n"/>
      <c r="W48" s="51" t="n"/>
      <c r="X48" s="51" t="n"/>
    </row>
    <row r="49">
      <c r="A49" s="51" t="n"/>
      <c r="B49" s="51" t="n"/>
      <c r="C49" s="51" t="n"/>
      <c r="D49" s="51" t="n"/>
      <c r="E49" s="51" t="n"/>
      <c r="F49" s="51" t="n"/>
      <c r="G49" s="51" t="n"/>
      <c r="H49" s="51" t="n"/>
      <c r="I49" s="51" t="n"/>
      <c r="J49" s="51" t="n"/>
      <c r="K49" s="51" t="n"/>
      <c r="L49" s="51" t="n"/>
      <c r="M49" s="51" t="n"/>
      <c r="N49" s="51" t="n"/>
      <c r="O49" s="51" t="n"/>
      <c r="P49" s="51" t="n"/>
      <c r="Q49" s="51" t="n"/>
      <c r="R49" s="51" t="n"/>
      <c r="S49" s="51" t="n"/>
      <c r="T49" s="51" t="n"/>
      <c r="U49" s="51" t="n"/>
      <c r="V49" s="51" t="n"/>
      <c r="W49" s="51" t="n"/>
      <c r="X49" s="51" t="n"/>
    </row>
    <row r="50">
      <c r="A50" s="51" t="n"/>
      <c r="B50" s="51" t="n"/>
      <c r="C50" s="51" t="n"/>
      <c r="D50" s="51" t="n"/>
      <c r="E50" s="51" t="n"/>
      <c r="F50" s="51" t="n"/>
      <c r="G50" s="51" t="n"/>
      <c r="H50" s="51" t="n"/>
      <c r="I50" s="51" t="n"/>
      <c r="J50" s="51" t="n"/>
      <c r="K50" s="51" t="n"/>
      <c r="L50" s="51" t="n"/>
      <c r="M50" s="51" t="n"/>
      <c r="N50" s="51" t="n"/>
      <c r="O50" s="51" t="n"/>
      <c r="P50" s="51" t="n"/>
      <c r="Q50" s="51" t="n"/>
      <c r="R50" s="51" t="n"/>
      <c r="S50" s="51" t="n"/>
      <c r="T50" s="51" t="n"/>
      <c r="U50" s="51" t="n"/>
      <c r="V50" s="51" t="n"/>
      <c r="W50" s="51" t="n"/>
      <c r="X50" s="51" t="n"/>
    </row>
    <row r="51">
      <c r="A51" s="51" t="n"/>
      <c r="B51" s="51" t="n"/>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row>
    <row r="52">
      <c r="A52" s="51" t="n"/>
      <c r="B52" s="51" t="n"/>
      <c r="C52" s="51" t="n"/>
      <c r="D52" s="51" t="n"/>
      <c r="E52" s="51" t="n"/>
      <c r="F52" s="51" t="n"/>
      <c r="G52" s="51" t="n"/>
      <c r="H52" s="51" t="n"/>
      <c r="I52" s="51" t="n"/>
      <c r="J52" s="51" t="n"/>
      <c r="K52" s="51" t="n"/>
      <c r="L52" s="51" t="n"/>
      <c r="M52" s="51" t="n"/>
      <c r="N52" s="51" t="n"/>
      <c r="O52" s="51" t="n"/>
      <c r="P52" s="51" t="n"/>
      <c r="Q52" s="51" t="n"/>
      <c r="R52" s="51" t="n"/>
      <c r="S52" s="51" t="n"/>
      <c r="T52" s="51" t="n"/>
      <c r="U52" s="51" t="n"/>
      <c r="V52" s="51" t="n"/>
      <c r="W52" s="51" t="n"/>
      <c r="X52" s="51" t="n"/>
    </row>
    <row r="53">
      <c r="A53" s="51" t="n"/>
      <c r="B53" s="51" t="n"/>
      <c r="C53" s="51" t="n"/>
      <c r="D53" s="51" t="n"/>
      <c r="E53" s="51" t="n"/>
      <c r="F53" s="51" t="n"/>
      <c r="G53" s="51" t="n"/>
      <c r="H53" s="51" t="n"/>
      <c r="I53" s="51" t="n"/>
      <c r="J53" s="51" t="n"/>
      <c r="K53" s="51" t="n"/>
      <c r="L53" s="51" t="n"/>
      <c r="M53" s="51" t="n"/>
      <c r="N53" s="51" t="n"/>
      <c r="O53" s="51" t="n"/>
      <c r="P53" s="51" t="n"/>
      <c r="Q53" s="51" t="n"/>
      <c r="R53" s="51" t="n"/>
      <c r="S53" s="51" t="n"/>
      <c r="T53" s="51" t="n"/>
      <c r="U53" s="51" t="n"/>
      <c r="V53" s="51" t="n"/>
      <c r="W53" s="51" t="n"/>
      <c r="X53" s="51" t="n"/>
    </row>
    <row r="54">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c r="W54" s="51" t="n"/>
      <c r="X54" s="51" t="n"/>
    </row>
    <row r="55">
      <c r="A55" s="51" t="n"/>
      <c r="B55" s="51" t="n"/>
      <c r="C55" s="51" t="n"/>
      <c r="D55" s="51" t="n"/>
      <c r="E55" s="51" t="n"/>
      <c r="F55" s="51" t="n"/>
      <c r="G55" s="51" t="n"/>
      <c r="H55" s="51" t="n"/>
      <c r="I55" s="51" t="n"/>
      <c r="J55" s="51" t="n"/>
      <c r="K55" s="51" t="n"/>
      <c r="L55" s="51" t="n"/>
      <c r="M55" s="51" t="n"/>
      <c r="N55" s="51" t="n"/>
      <c r="O55" s="51" t="n"/>
      <c r="P55" s="51" t="n"/>
      <c r="Q55" s="51" t="n"/>
      <c r="R55" s="51" t="n"/>
      <c r="S55" s="51" t="n"/>
      <c r="T55" s="51" t="n"/>
      <c r="U55" s="51" t="n"/>
      <c r="V55" s="51" t="n"/>
      <c r="W55" s="51" t="n"/>
      <c r="X55" s="51" t="n"/>
    </row>
    <row r="56">
      <c r="A56" s="51" t="n"/>
      <c r="B56" s="51" t="n"/>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row>
    <row r="57">
      <c r="A57" s="51" t="n"/>
      <c r="B57" s="51" t="n"/>
      <c r="C57" s="51" t="n"/>
      <c r="D57" s="51" t="n"/>
      <c r="E57" s="51" t="n"/>
      <c r="F57" s="51" t="n"/>
      <c r="G57" s="51" t="n"/>
      <c r="H57" s="51" t="n"/>
      <c r="I57" s="51" t="n"/>
      <c r="J57" s="51" t="n"/>
      <c r="K57" s="51" t="n"/>
      <c r="L57" s="51" t="n"/>
      <c r="M57" s="51" t="n"/>
      <c r="N57" s="51" t="n"/>
      <c r="O57" s="51" t="n"/>
      <c r="P57" s="51" t="n"/>
      <c r="Q57" s="51" t="n"/>
      <c r="R57" s="51" t="n"/>
      <c r="S57" s="51" t="n"/>
      <c r="T57" s="51" t="n"/>
      <c r="U57" s="51" t="n"/>
      <c r="V57" s="51" t="n"/>
      <c r="W57" s="51" t="n"/>
      <c r="X57" s="51" t="n"/>
    </row>
    <row r="58">
      <c r="A58" s="51" t="n"/>
      <c r="B58" s="51" t="n"/>
      <c r="C58" s="51" t="n"/>
      <c r="D58" s="51" t="n"/>
      <c r="E58" s="51" t="n"/>
      <c r="F58" s="51" t="n"/>
      <c r="G58" s="51" t="n"/>
      <c r="H58" s="51" t="n"/>
      <c r="I58" s="51" t="n"/>
      <c r="J58" s="51" t="n"/>
      <c r="K58" s="51" t="n"/>
      <c r="L58" s="51" t="n"/>
      <c r="M58" s="51" t="n"/>
      <c r="N58" s="51" t="n"/>
      <c r="O58" s="51" t="n"/>
      <c r="P58" s="51" t="n"/>
      <c r="Q58" s="51" t="n"/>
      <c r="R58" s="51" t="n"/>
      <c r="S58" s="51" t="n"/>
      <c r="T58" s="51" t="n"/>
      <c r="U58" s="51" t="n"/>
      <c r="V58" s="51" t="n"/>
      <c r="W58" s="51" t="n"/>
      <c r="X58" s="51" t="n"/>
    </row>
    <row r="59">
      <c r="A59" s="51" t="n"/>
      <c r="B59" s="51" t="n"/>
      <c r="C59" s="51" t="n"/>
      <c r="D59" s="51" t="n"/>
      <c r="E59" s="51" t="n"/>
      <c r="F59" s="51" t="n"/>
      <c r="G59" s="51" t="n"/>
      <c r="H59" s="51" t="n"/>
      <c r="I59" s="51" t="n"/>
      <c r="J59" s="51" t="n"/>
      <c r="K59" s="51" t="n"/>
      <c r="L59" s="51" t="n"/>
      <c r="M59" s="51" t="n"/>
      <c r="N59" s="51" t="n"/>
      <c r="O59" s="51" t="n"/>
      <c r="P59" s="51" t="n"/>
      <c r="Q59" s="51" t="n"/>
      <c r="R59" s="51" t="n"/>
      <c r="S59" s="51" t="n"/>
      <c r="T59" s="51" t="n"/>
      <c r="U59" s="51" t="n"/>
      <c r="V59" s="51" t="n"/>
      <c r="W59" s="51" t="n"/>
      <c r="X59" s="51" t="n"/>
    </row>
    <row r="60">
      <c r="A60" s="51" t="n"/>
      <c r="B60" s="51" t="n"/>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row>
    <row r="61">
      <c r="A61" s="51" t="n"/>
      <c r="B61" s="51" t="n"/>
      <c r="C61" s="51" t="n"/>
      <c r="D61" s="51" t="n"/>
      <c r="E61" s="51" t="n"/>
      <c r="F61" s="51" t="n"/>
      <c r="G61" s="51" t="n"/>
      <c r="H61" s="51" t="n"/>
      <c r="I61" s="51" t="n"/>
      <c r="J61" s="51" t="n"/>
      <c r="K61" s="51" t="n"/>
      <c r="L61" s="51" t="n"/>
      <c r="M61" s="51" t="n"/>
      <c r="N61" s="51" t="n"/>
      <c r="O61" s="51" t="n"/>
      <c r="P61" s="51" t="n"/>
      <c r="Q61" s="51" t="n"/>
      <c r="R61" s="51" t="n"/>
      <c r="S61" s="51" t="n"/>
      <c r="T61" s="51" t="n"/>
      <c r="U61" s="51" t="n"/>
      <c r="V61" s="51" t="n"/>
      <c r="W61" s="51" t="n"/>
      <c r="X61" s="51" t="n"/>
    </row>
    <row r="62">
      <c r="A62" s="51" t="n"/>
      <c r="B62" s="51" t="n"/>
      <c r="C62" s="51" t="n"/>
      <c r="D62" s="51" t="n"/>
      <c r="E62" s="51" t="n"/>
      <c r="F62" s="51" t="n"/>
      <c r="G62" s="51" t="n"/>
      <c r="H62" s="51" t="n"/>
      <c r="I62" s="51" t="n"/>
      <c r="J62" s="51" t="n"/>
      <c r="K62" s="51" t="n"/>
      <c r="L62" s="51" t="n"/>
      <c r="M62" s="51" t="n"/>
      <c r="N62" s="51" t="n"/>
      <c r="O62" s="51" t="n"/>
      <c r="P62" s="51" t="n"/>
      <c r="Q62" s="51" t="n"/>
      <c r="R62" s="51" t="n"/>
      <c r="S62" s="51" t="n"/>
      <c r="T62" s="51" t="n"/>
      <c r="U62" s="51" t="n"/>
      <c r="V62" s="51" t="n"/>
      <c r="W62" s="51" t="n"/>
      <c r="X62" s="51" t="n"/>
    </row>
    <row r="63">
      <c r="A63" s="51" t="n"/>
      <c r="B63" s="51" t="n"/>
      <c r="C63" s="51" t="n"/>
      <c r="D63" s="51" t="n"/>
      <c r="E63" s="51" t="n"/>
      <c r="F63" s="51" t="n"/>
      <c r="G63" s="51" t="n"/>
      <c r="H63" s="51" t="n"/>
      <c r="I63" s="51" t="n"/>
      <c r="J63" s="51" t="n"/>
      <c r="K63" s="51" t="n"/>
      <c r="L63" s="51" t="n"/>
      <c r="M63" s="51" t="n"/>
      <c r="N63" s="51" t="n"/>
      <c r="O63" s="51" t="n"/>
      <c r="P63" s="51" t="n"/>
      <c r="Q63" s="51" t="n"/>
      <c r="R63" s="51" t="n"/>
      <c r="S63" s="51" t="n"/>
      <c r="T63" s="51" t="n"/>
      <c r="U63" s="51" t="n"/>
      <c r="V63" s="51" t="n"/>
      <c r="W63" s="51" t="n"/>
      <c r="X63" s="51" t="n"/>
    </row>
    <row r="64">
      <c r="A64" s="51" t="n"/>
      <c r="B64" s="51" t="n"/>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row>
    <row r="65">
      <c r="A65" s="51" t="n"/>
      <c r="B65" s="51" t="n"/>
      <c r="C65" s="51" t="n"/>
      <c r="D65" s="51" t="n"/>
      <c r="E65" s="51" t="n"/>
      <c r="F65" s="51" t="n"/>
      <c r="G65" s="51" t="n"/>
      <c r="H65" s="51" t="n"/>
      <c r="I65" s="51" t="n"/>
      <c r="J65" s="51" t="n"/>
      <c r="K65" s="51" t="n"/>
      <c r="L65" s="51" t="n"/>
      <c r="M65" s="51" t="n"/>
      <c r="N65" s="51" t="n"/>
      <c r="O65" s="51" t="n"/>
      <c r="P65" s="51" t="n"/>
      <c r="Q65" s="51" t="n"/>
      <c r="R65" s="51" t="n"/>
      <c r="S65" s="51" t="n"/>
      <c r="T65" s="51" t="n"/>
      <c r="U65" s="51" t="n"/>
      <c r="V65" s="51" t="n"/>
      <c r="W65" s="51" t="n"/>
      <c r="X65" s="51" t="n"/>
    </row>
    <row r="66">
      <c r="A66" s="51" t="n"/>
      <c r="B66" s="51" t="n"/>
      <c r="C66" s="51" t="n"/>
      <c r="D66" s="51" t="n"/>
      <c r="E66" s="51" t="n"/>
      <c r="F66" s="51" t="n"/>
      <c r="G66" s="51" t="n"/>
      <c r="H66" s="51" t="n"/>
      <c r="I66" s="51" t="n"/>
      <c r="J66" s="51" t="n"/>
      <c r="K66" s="51" t="n"/>
      <c r="L66" s="51" t="n"/>
      <c r="M66" s="51" t="n"/>
      <c r="N66" s="51" t="n"/>
      <c r="O66" s="51" t="n"/>
      <c r="P66" s="51" t="n"/>
      <c r="Q66" s="51" t="n"/>
      <c r="R66" s="51" t="n"/>
      <c r="S66" s="51" t="n"/>
      <c r="T66" s="51" t="n"/>
      <c r="U66" s="51" t="n"/>
      <c r="V66" s="51" t="n"/>
      <c r="W66" s="51" t="n"/>
      <c r="X66" s="51" t="n"/>
    </row>
    <row r="67">
      <c r="A67" s="51" t="n"/>
      <c r="B67" s="51" t="n"/>
      <c r="C67" s="51" t="n"/>
      <c r="D67" s="51" t="n"/>
      <c r="E67" s="51" t="n"/>
      <c r="F67" s="51" t="n"/>
      <c r="G67" s="51" t="n"/>
      <c r="H67" s="51" t="n"/>
      <c r="I67" s="51" t="n"/>
      <c r="J67" s="51" t="n"/>
      <c r="K67" s="51" t="n"/>
      <c r="L67" s="51" t="n"/>
      <c r="M67" s="51" t="n"/>
      <c r="N67" s="51" t="n"/>
      <c r="O67" s="51" t="n"/>
      <c r="P67" s="51" t="n"/>
      <c r="Q67" s="51" t="n"/>
      <c r="R67" s="51" t="n"/>
      <c r="S67" s="51" t="n"/>
      <c r="T67" s="51" t="n"/>
      <c r="U67" s="51" t="n"/>
      <c r="V67" s="51" t="n"/>
      <c r="W67" s="51" t="n"/>
      <c r="X67" s="51" t="n"/>
    </row>
    <row r="68">
      <c r="A68" s="51" t="n"/>
      <c r="B68" s="51" t="n"/>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row>
    <row r="69">
      <c r="A69" s="51" t="n"/>
      <c r="B69" s="51" t="n"/>
      <c r="C69" s="51" t="n"/>
      <c r="D69" s="51" t="n"/>
      <c r="E69" s="51" t="n"/>
      <c r="F69" s="51" t="n"/>
      <c r="G69" s="51" t="n"/>
      <c r="H69" s="51" t="n"/>
      <c r="I69" s="51" t="n"/>
      <c r="J69" s="51" t="n"/>
      <c r="K69" s="51" t="n"/>
      <c r="L69" s="51" t="n"/>
      <c r="M69" s="51" t="n"/>
      <c r="N69" s="51" t="n"/>
      <c r="O69" s="51" t="n"/>
      <c r="P69" s="51" t="n"/>
      <c r="Q69" s="51" t="n"/>
      <c r="R69" s="51" t="n"/>
      <c r="S69" s="51" t="n"/>
      <c r="T69" s="51" t="n"/>
      <c r="U69" s="51" t="n"/>
      <c r="V69" s="51" t="n"/>
      <c r="W69" s="51" t="n"/>
      <c r="X69" s="51" t="n"/>
    </row>
    <row r="70">
      <c r="A70" s="51" t="n"/>
      <c r="B70" s="51" t="n"/>
      <c r="C70" s="51" t="n"/>
      <c r="D70" s="51" t="n"/>
      <c r="E70" s="51" t="n"/>
      <c r="F70" s="51" t="n"/>
      <c r="G70" s="51" t="n"/>
      <c r="H70" s="51" t="n"/>
      <c r="I70" s="51" t="n"/>
      <c r="J70" s="51" t="n"/>
      <c r="K70" s="51" t="n"/>
      <c r="L70" s="51" t="n"/>
      <c r="M70" s="51" t="n"/>
      <c r="N70" s="51" t="n"/>
      <c r="O70" s="51" t="n"/>
      <c r="P70" s="51" t="n"/>
      <c r="Q70" s="51" t="n"/>
      <c r="R70" s="51" t="n"/>
      <c r="S70" s="51" t="n"/>
      <c r="T70" s="51" t="n"/>
      <c r="U70" s="51" t="n"/>
      <c r="V70" s="51" t="n"/>
      <c r="W70" s="51" t="n"/>
      <c r="X70" s="51" t="n"/>
    </row>
    <row r="71">
      <c r="A71" s="51" t="n"/>
      <c r="B71" s="51" t="n"/>
      <c r="C71" s="51" t="n"/>
      <c r="D71" s="51" t="n"/>
      <c r="E71" s="51" t="n"/>
      <c r="F71" s="51" t="n"/>
      <c r="G71" s="51" t="n"/>
      <c r="H71" s="51" t="n"/>
      <c r="I71" s="51" t="n"/>
      <c r="J71" s="51" t="n"/>
      <c r="K71" s="51" t="n"/>
      <c r="L71" s="51" t="n"/>
      <c r="M71" s="51" t="n"/>
      <c r="N71" s="51" t="n"/>
      <c r="O71" s="51" t="n"/>
      <c r="P71" s="51" t="n"/>
      <c r="Q71" s="51" t="n"/>
      <c r="R71" s="51" t="n"/>
      <c r="S71" s="51" t="n"/>
      <c r="T71" s="51" t="n"/>
      <c r="U71" s="51" t="n"/>
      <c r="V71" s="51" t="n"/>
      <c r="W71" s="51" t="n"/>
      <c r="X71" s="51" t="n"/>
    </row>
    <row r="72">
      <c r="A72" s="51" t="n"/>
      <c r="B72" s="51" t="n"/>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row>
    <row r="73">
      <c r="A73" s="51" t="n"/>
      <c r="B73" s="51" t="n"/>
      <c r="C73" s="51" t="n"/>
      <c r="D73" s="51" t="n"/>
      <c r="E73" s="51" t="n"/>
      <c r="F73" s="51" t="n"/>
      <c r="G73" s="51" t="n"/>
      <c r="H73" s="51" t="n"/>
      <c r="I73" s="51" t="n"/>
      <c r="J73" s="51" t="n"/>
      <c r="K73" s="51" t="n"/>
      <c r="L73" s="51" t="n"/>
      <c r="M73" s="51" t="n"/>
      <c r="N73" s="51" t="n"/>
      <c r="O73" s="51" t="n"/>
      <c r="P73" s="51" t="n"/>
      <c r="Q73" s="51" t="n"/>
      <c r="R73" s="51" t="n"/>
      <c r="S73" s="51" t="n"/>
      <c r="T73" s="51" t="n"/>
      <c r="U73" s="51" t="n"/>
      <c r="V73" s="51" t="n"/>
      <c r="W73" s="51" t="n"/>
      <c r="X73" s="51" t="n"/>
    </row>
    <row r="74">
      <c r="A74" s="51" t="n"/>
      <c r="B74" s="51" t="n"/>
      <c r="C74" s="51" t="n"/>
      <c r="D74" s="51" t="n"/>
      <c r="E74" s="51" t="n"/>
      <c r="F74" s="51" t="n"/>
      <c r="G74" s="51" t="n"/>
      <c r="H74" s="51" t="n"/>
      <c r="I74" s="51" t="n"/>
      <c r="J74" s="51" t="n"/>
      <c r="K74" s="51" t="n"/>
      <c r="L74" s="51" t="n"/>
      <c r="M74" s="51" t="n"/>
      <c r="N74" s="51" t="n"/>
      <c r="O74" s="51" t="n"/>
      <c r="P74" s="51" t="n"/>
      <c r="Q74" s="51" t="n"/>
      <c r="R74" s="51" t="n"/>
      <c r="S74" s="51" t="n"/>
      <c r="T74" s="51" t="n"/>
      <c r="U74" s="51" t="n"/>
      <c r="V74" s="51" t="n"/>
      <c r="W74" s="51" t="n"/>
      <c r="X74" s="51" t="n"/>
    </row>
    <row r="75">
      <c r="A75" s="51" t="n"/>
      <c r="B75" s="51" t="n"/>
      <c r="C75" s="51" t="n"/>
      <c r="D75" s="51" t="n"/>
      <c r="E75" s="51" t="n"/>
      <c r="F75" s="51" t="n"/>
      <c r="G75" s="51" t="n"/>
      <c r="H75" s="51" t="n"/>
      <c r="I75" s="51" t="n"/>
      <c r="J75" s="51" t="n"/>
      <c r="K75" s="51" t="n"/>
      <c r="L75" s="51" t="n"/>
      <c r="M75" s="51" t="n"/>
      <c r="N75" s="51" t="n"/>
      <c r="O75" s="51" t="n"/>
      <c r="P75" s="51" t="n"/>
      <c r="Q75" s="51" t="n"/>
      <c r="R75" s="51" t="n"/>
      <c r="S75" s="51" t="n"/>
      <c r="T75" s="51" t="n"/>
      <c r="U75" s="51" t="n"/>
      <c r="V75" s="51" t="n"/>
      <c r="W75" s="51" t="n"/>
      <c r="X75" s="51" t="n"/>
    </row>
    <row r="76">
      <c r="A76" s="51" t="n"/>
      <c r="B76" s="51" t="n"/>
      <c r="C76" s="51" t="n"/>
      <c r="D76" s="51" t="n"/>
      <c r="E76" s="51" t="n"/>
      <c r="F76" s="51" t="n"/>
      <c r="G76" s="51" t="n"/>
      <c r="H76" s="51" t="n"/>
      <c r="I76" s="51" t="n"/>
      <c r="J76" s="51" t="n"/>
      <c r="K76" s="51" t="n"/>
      <c r="L76" s="51" t="n"/>
      <c r="M76" s="51" t="n"/>
      <c r="N76" s="51" t="n"/>
      <c r="O76" s="51" t="n"/>
      <c r="P76" s="51" t="n"/>
      <c r="Q76" s="51" t="n"/>
      <c r="R76" s="51" t="n"/>
      <c r="S76" s="51" t="n"/>
      <c r="T76" s="51" t="n"/>
      <c r="U76" s="51" t="n"/>
      <c r="V76" s="51" t="n"/>
      <c r="W76" s="51" t="n"/>
      <c r="X76" s="51" t="n"/>
    </row>
    <row r="77">
      <c r="A77" s="51" t="n"/>
      <c r="B77" s="51" t="n"/>
      <c r="C77" s="51" t="n"/>
      <c r="D77" s="51" t="n"/>
      <c r="E77" s="51" t="n"/>
      <c r="F77" s="51" t="n"/>
      <c r="G77" s="51" t="n"/>
      <c r="H77" s="51" t="n"/>
      <c r="I77" s="51" t="n"/>
      <c r="J77" s="51" t="n"/>
      <c r="K77" s="51" t="n"/>
      <c r="L77" s="51" t="n"/>
      <c r="M77" s="51" t="n"/>
      <c r="N77" s="51" t="n"/>
      <c r="O77" s="51" t="n"/>
      <c r="P77" s="51" t="n"/>
      <c r="Q77" s="51" t="n"/>
      <c r="R77" s="51" t="n"/>
      <c r="S77" s="51" t="n"/>
      <c r="T77" s="51" t="n"/>
      <c r="U77" s="51" t="n"/>
      <c r="V77" s="51" t="n"/>
      <c r="W77" s="51" t="n"/>
      <c r="X77" s="51" t="n"/>
    </row>
    <row r="78">
      <c r="A78" s="51" t="n"/>
      <c r="B78" s="51" t="n"/>
      <c r="C78" s="51" t="n"/>
      <c r="D78" s="51" t="n"/>
      <c r="E78" s="51" t="n"/>
      <c r="F78" s="51" t="n"/>
      <c r="G78" s="51" t="n"/>
      <c r="H78" s="51" t="n"/>
      <c r="I78" s="51" t="n"/>
      <c r="J78" s="51" t="n"/>
      <c r="K78" s="51" t="n"/>
      <c r="L78" s="51" t="n"/>
      <c r="M78" s="51" t="n"/>
      <c r="N78" s="51" t="n"/>
      <c r="O78" s="51" t="n"/>
      <c r="P78" s="51" t="n"/>
      <c r="Q78" s="51" t="n"/>
      <c r="R78" s="51" t="n"/>
      <c r="S78" s="51" t="n"/>
      <c r="T78" s="51" t="n"/>
      <c r="U78" s="51" t="n"/>
      <c r="V78" s="51" t="n"/>
      <c r="W78" s="51" t="n"/>
      <c r="X78" s="51" t="n"/>
    </row>
    <row r="79">
      <c r="A79" s="51" t="n"/>
      <c r="B79" s="51" t="n"/>
      <c r="C79" s="51" t="n"/>
      <c r="D79" s="51" t="n"/>
      <c r="E79" s="51" t="n"/>
      <c r="F79" s="51" t="n"/>
      <c r="G79" s="51" t="n"/>
      <c r="H79" s="51" t="n"/>
      <c r="I79" s="51" t="n"/>
      <c r="J79" s="51" t="n"/>
      <c r="K79" s="51" t="n"/>
      <c r="L79" s="51" t="n"/>
      <c r="M79" s="51" t="n"/>
      <c r="N79" s="51" t="n"/>
      <c r="O79" s="51" t="n"/>
      <c r="P79" s="51" t="n"/>
      <c r="Q79" s="51" t="n"/>
      <c r="R79" s="51" t="n"/>
      <c r="S79" s="51" t="n"/>
      <c r="T79" s="51" t="n"/>
      <c r="U79" s="51" t="n"/>
      <c r="V79" s="51" t="n"/>
      <c r="W79" s="51" t="n"/>
      <c r="X79" s="51" t="n"/>
    </row>
    <row r="80">
      <c r="A80" s="51" t="n"/>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row>
    <row r="81">
      <c r="A81" s="51" t="n"/>
      <c r="B81" s="51" t="n"/>
      <c r="C81" s="51" t="n"/>
      <c r="D81" s="51" t="n"/>
      <c r="E81" s="51" t="n"/>
      <c r="F81" s="51" t="n"/>
      <c r="G81" s="51" t="n"/>
      <c r="H81" s="51" t="n"/>
      <c r="I81" s="51" t="n"/>
      <c r="J81" s="51" t="n"/>
      <c r="K81" s="51" t="n"/>
      <c r="L81" s="51" t="n"/>
      <c r="M81" s="51" t="n"/>
      <c r="N81" s="51" t="n"/>
      <c r="O81" s="51" t="n"/>
      <c r="P81" s="51" t="n"/>
      <c r="Q81" s="51" t="n"/>
      <c r="R81" s="51" t="n"/>
      <c r="S81" s="51" t="n"/>
      <c r="T81" s="51" t="n"/>
      <c r="U81" s="51" t="n"/>
      <c r="V81" s="51" t="n"/>
      <c r="W81" s="51" t="n"/>
      <c r="X81" s="51" t="n"/>
    </row>
    <row r="82">
      <c r="A82" s="51" t="n"/>
      <c r="B82" s="51" t="n"/>
      <c r="C82" s="51" t="n"/>
      <c r="D82" s="51" t="n"/>
      <c r="E82" s="51" t="n"/>
      <c r="F82" s="51" t="n"/>
      <c r="G82" s="51" t="n"/>
      <c r="H82" s="51" t="n"/>
      <c r="I82" s="51" t="n"/>
      <c r="J82" s="51" t="n"/>
      <c r="K82" s="51" t="n"/>
      <c r="L82" s="51" t="n"/>
      <c r="M82" s="51" t="n"/>
      <c r="N82" s="51" t="n"/>
      <c r="O82" s="51" t="n"/>
      <c r="P82" s="51" t="n"/>
      <c r="Q82" s="51" t="n"/>
      <c r="R82" s="51" t="n"/>
      <c r="S82" s="51" t="n"/>
      <c r="T82" s="51" t="n"/>
      <c r="U82" s="51" t="n"/>
      <c r="V82" s="51" t="n"/>
      <c r="W82" s="51" t="n"/>
      <c r="X82" s="51" t="n"/>
    </row>
    <row r="83">
      <c r="A83" s="51" t="n"/>
      <c r="B83" s="51" t="n"/>
      <c r="C83" s="51" t="n"/>
      <c r="D83" s="51" t="n"/>
      <c r="E83" s="51" t="n"/>
      <c r="F83" s="51" t="n"/>
      <c r="G83" s="51" t="n"/>
      <c r="H83" s="51" t="n"/>
      <c r="I83" s="51" t="n"/>
      <c r="J83" s="51" t="n"/>
      <c r="K83" s="51" t="n"/>
      <c r="L83" s="51" t="n"/>
      <c r="M83" s="51" t="n"/>
      <c r="N83" s="51" t="n"/>
      <c r="O83" s="51" t="n"/>
      <c r="P83" s="51" t="n"/>
      <c r="Q83" s="51" t="n"/>
      <c r="R83" s="51" t="n"/>
      <c r="S83" s="51" t="n"/>
      <c r="T83" s="51" t="n"/>
      <c r="U83" s="51" t="n"/>
      <c r="V83" s="51" t="n"/>
      <c r="W83" s="51" t="n"/>
      <c r="X83" s="51" t="n"/>
    </row>
    <row r="84">
      <c r="A84" s="51" t="n"/>
      <c r="B84" s="51" t="n"/>
      <c r="C84" s="51" t="n"/>
      <c r="D84" s="51" t="n"/>
      <c r="E84" s="51" t="n"/>
      <c r="F84" s="51" t="n"/>
      <c r="G84" s="51" t="n"/>
      <c r="H84" s="51" t="n"/>
      <c r="I84" s="51" t="n"/>
      <c r="J84" s="51" t="n"/>
      <c r="K84" s="51" t="n"/>
      <c r="L84" s="51" t="n"/>
      <c r="M84" s="51" t="n"/>
      <c r="N84" s="51" t="n"/>
      <c r="O84" s="51" t="n"/>
      <c r="P84" s="51" t="n"/>
      <c r="Q84" s="51" t="n"/>
      <c r="R84" s="51" t="n"/>
      <c r="S84" s="51" t="n"/>
      <c r="T84" s="51" t="n"/>
      <c r="U84" s="51" t="n"/>
      <c r="V84" s="51" t="n"/>
      <c r="W84" s="51" t="n"/>
      <c r="X84" s="51" t="n"/>
    </row>
    <row r="85">
      <c r="A85" s="51" t="n"/>
      <c r="B85" s="51" t="n"/>
      <c r="C85" s="51" t="n"/>
      <c r="D85" s="51" t="n"/>
      <c r="E85" s="51" t="n"/>
      <c r="F85" s="51" t="n"/>
      <c r="G85" s="51" t="n"/>
      <c r="H85" s="51" t="n"/>
      <c r="I85" s="51" t="n"/>
      <c r="J85" s="51" t="n"/>
      <c r="K85" s="51" t="n"/>
      <c r="L85" s="51" t="n"/>
      <c r="M85" s="51" t="n"/>
      <c r="N85" s="51" t="n"/>
      <c r="O85" s="51" t="n"/>
      <c r="P85" s="51" t="n"/>
      <c r="Q85" s="51" t="n"/>
      <c r="R85" s="51" t="n"/>
      <c r="S85" s="51" t="n"/>
      <c r="T85" s="51" t="n"/>
      <c r="U85" s="51" t="n"/>
      <c r="V85" s="51" t="n"/>
      <c r="W85" s="51" t="n"/>
      <c r="X85" s="51" t="n"/>
    </row>
    <row r="86">
      <c r="A86" s="51" t="n"/>
      <c r="B86" s="51" t="n"/>
      <c r="C86" s="51" t="n"/>
      <c r="D86" s="51" t="n"/>
      <c r="E86" s="51" t="n"/>
      <c r="F86" s="51" t="n"/>
      <c r="G86" s="51" t="n"/>
      <c r="H86" s="51" t="n"/>
      <c r="I86" s="51" t="n"/>
      <c r="J86" s="51" t="n"/>
      <c r="K86" s="51" t="n"/>
      <c r="L86" s="51" t="n"/>
      <c r="M86" s="51" t="n"/>
      <c r="N86" s="51" t="n"/>
      <c r="O86" s="51" t="n"/>
      <c r="P86" s="51" t="n"/>
      <c r="Q86" s="51" t="n"/>
      <c r="R86" s="51" t="n"/>
      <c r="S86" s="51" t="n"/>
      <c r="T86" s="51" t="n"/>
      <c r="U86" s="51" t="n"/>
      <c r="V86" s="51" t="n"/>
      <c r="W86" s="51" t="n"/>
      <c r="X86" s="51" t="n"/>
    </row>
    <row r="87">
      <c r="A87" s="51" t="n"/>
      <c r="B87" s="51" t="n"/>
      <c r="C87" s="51" t="n"/>
      <c r="D87" s="51" t="n"/>
      <c r="E87" s="51" t="n"/>
      <c r="F87" s="51" t="n"/>
      <c r="G87" s="51" t="n"/>
      <c r="H87" s="51" t="n"/>
      <c r="I87" s="51" t="n"/>
      <c r="J87" s="51" t="n"/>
      <c r="K87" s="51" t="n"/>
      <c r="L87" s="51" t="n"/>
      <c r="M87" s="51" t="n"/>
      <c r="N87" s="51" t="n"/>
      <c r="O87" s="51" t="n"/>
      <c r="P87" s="51" t="n"/>
      <c r="Q87" s="51" t="n"/>
      <c r="R87" s="51" t="n"/>
      <c r="S87" s="51" t="n"/>
      <c r="T87" s="51" t="n"/>
      <c r="U87" s="51" t="n"/>
      <c r="V87" s="51" t="n"/>
      <c r="W87" s="51" t="n"/>
      <c r="X87" s="51" t="n"/>
    </row>
    <row r="88">
      <c r="A88" s="51" t="n"/>
      <c r="B88" s="51" t="n"/>
      <c r="C88" s="51" t="n"/>
      <c r="D88" s="51" t="n"/>
      <c r="E88" s="51" t="n"/>
      <c r="F88" s="51" t="n"/>
      <c r="G88" s="51" t="n"/>
      <c r="H88" s="51" t="n"/>
      <c r="I88" s="51" t="n"/>
      <c r="J88" s="51" t="n"/>
      <c r="K88" s="51" t="n"/>
      <c r="L88" s="51" t="n"/>
      <c r="M88" s="51" t="n"/>
      <c r="N88" s="51" t="n"/>
      <c r="O88" s="51" t="n"/>
      <c r="P88" s="51" t="n"/>
      <c r="Q88" s="51" t="n"/>
      <c r="R88" s="51" t="n"/>
      <c r="S88" s="51" t="n"/>
      <c r="T88" s="51" t="n"/>
      <c r="U88" s="51" t="n"/>
      <c r="V88" s="51" t="n"/>
      <c r="W88" s="51" t="n"/>
      <c r="X88" s="51" t="n"/>
    </row>
    <row r="89">
      <c r="A89" s="51" t="n"/>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row>
    <row r="90">
      <c r="A90" s="51" t="n"/>
      <c r="B90" s="51" t="n"/>
      <c r="C90" s="51" t="n"/>
      <c r="D90" s="51" t="n"/>
      <c r="E90" s="51" t="n"/>
      <c r="F90" s="51" t="n"/>
      <c r="G90" s="51" t="n"/>
      <c r="H90" s="51" t="n"/>
      <c r="I90" s="51" t="n"/>
      <c r="J90" s="51" t="n"/>
      <c r="K90" s="51" t="n"/>
      <c r="L90" s="51" t="n"/>
      <c r="M90" s="51" t="n"/>
      <c r="N90" s="51" t="n"/>
      <c r="O90" s="51" t="n"/>
      <c r="P90" s="51" t="n"/>
      <c r="Q90" s="51" t="n"/>
      <c r="R90" s="51" t="n"/>
      <c r="S90" s="51" t="n"/>
      <c r="T90" s="51" t="n"/>
      <c r="U90" s="51" t="n"/>
      <c r="V90" s="51" t="n"/>
      <c r="W90" s="51" t="n"/>
      <c r="X90" s="51" t="n"/>
    </row>
    <row r="91">
      <c r="A91" s="51" t="n"/>
      <c r="B91" s="51" t="n"/>
      <c r="C91" s="51" t="n"/>
      <c r="D91" s="51" t="n"/>
      <c r="E91" s="51" t="n"/>
      <c r="F91" s="51" t="n"/>
      <c r="G91" s="51" t="n"/>
      <c r="H91" s="51" t="n"/>
      <c r="I91" s="51" t="n"/>
      <c r="J91" s="51" t="n"/>
      <c r="K91" s="51" t="n"/>
      <c r="L91" s="51" t="n"/>
      <c r="M91" s="51" t="n"/>
      <c r="N91" s="51" t="n"/>
      <c r="O91" s="51" t="n"/>
      <c r="P91" s="51" t="n"/>
      <c r="Q91" s="51" t="n"/>
      <c r="R91" s="51" t="n"/>
      <c r="S91" s="51" t="n"/>
      <c r="T91" s="51" t="n"/>
      <c r="U91" s="51" t="n"/>
      <c r="V91" s="51" t="n"/>
      <c r="W91" s="51" t="n"/>
      <c r="X91" s="51" t="n"/>
    </row>
    <row r="92">
      <c r="A92" s="51" t="n"/>
      <c r="B92" s="51" t="n"/>
      <c r="C92" s="51" t="n"/>
      <c r="D92" s="51" t="n"/>
      <c r="E92" s="51" t="n"/>
      <c r="F92" s="51" t="n"/>
      <c r="G92" s="51" t="n"/>
      <c r="H92" s="51" t="n"/>
      <c r="I92" s="51" t="n"/>
      <c r="J92" s="51" t="n"/>
      <c r="K92" s="51" t="n"/>
      <c r="L92" s="51" t="n"/>
      <c r="M92" s="51" t="n"/>
      <c r="N92" s="51" t="n"/>
      <c r="O92" s="51" t="n"/>
      <c r="P92" s="51" t="n"/>
      <c r="Q92" s="51" t="n"/>
      <c r="R92" s="51" t="n"/>
      <c r="S92" s="51" t="n"/>
      <c r="T92" s="51" t="n"/>
      <c r="U92" s="51" t="n"/>
      <c r="V92" s="51" t="n"/>
      <c r="W92" s="51" t="n"/>
      <c r="X92" s="51" t="n"/>
    </row>
    <row r="93">
      <c r="A93" s="51" t="n"/>
      <c r="B93" s="51" t="n"/>
      <c r="C93" s="51" t="n"/>
      <c r="D93" s="51" t="n"/>
      <c r="E93" s="51" t="n"/>
      <c r="F93" s="51" t="n"/>
      <c r="G93" s="51" t="n"/>
      <c r="H93" s="51" t="n"/>
      <c r="I93" s="51" t="n"/>
      <c r="J93" s="51" t="n"/>
      <c r="K93" s="51" t="n"/>
      <c r="L93" s="51" t="n"/>
      <c r="M93" s="51" t="n"/>
      <c r="N93" s="51" t="n"/>
      <c r="O93" s="51" t="n"/>
      <c r="P93" s="51" t="n"/>
      <c r="Q93" s="51" t="n"/>
      <c r="R93" s="51" t="n"/>
      <c r="S93" s="51" t="n"/>
      <c r="T93" s="51" t="n"/>
      <c r="U93" s="51" t="n"/>
      <c r="V93" s="51" t="n"/>
      <c r="W93" s="51" t="n"/>
      <c r="X93" s="51" t="n"/>
    </row>
    <row r="94">
      <c r="A94" s="51" t="n"/>
      <c r="B94" s="51" t="n"/>
      <c r="C94" s="51" t="n"/>
      <c r="D94" s="51" t="n"/>
      <c r="E94" s="51" t="n"/>
      <c r="F94" s="51" t="n"/>
      <c r="G94" s="51" t="n"/>
      <c r="H94" s="51" t="n"/>
      <c r="I94" s="51" t="n"/>
      <c r="J94" s="51" t="n"/>
      <c r="K94" s="51" t="n"/>
      <c r="L94" s="51" t="n"/>
      <c r="M94" s="51" t="n"/>
      <c r="N94" s="51" t="n"/>
      <c r="O94" s="51" t="n"/>
      <c r="P94" s="51" t="n"/>
      <c r="Q94" s="51" t="n"/>
      <c r="R94" s="51" t="n"/>
      <c r="S94" s="51" t="n"/>
      <c r="T94" s="51" t="n"/>
      <c r="U94" s="51" t="n"/>
      <c r="V94" s="51" t="n"/>
      <c r="W94" s="51" t="n"/>
      <c r="X94" s="51" t="n"/>
    </row>
    <row r="95">
      <c r="A95" s="51" t="n"/>
      <c r="B95" s="51" t="n"/>
      <c r="C95" s="51" t="n"/>
      <c r="D95" s="51" t="n"/>
      <c r="E95" s="51" t="n"/>
      <c r="F95" s="51" t="n"/>
      <c r="G95" s="51" t="n"/>
      <c r="H95" s="51" t="n"/>
      <c r="I95" s="51" t="n"/>
      <c r="J95" s="51" t="n"/>
      <c r="K95" s="51" t="n"/>
      <c r="L95" s="51" t="n"/>
      <c r="M95" s="51" t="n"/>
      <c r="N95" s="51" t="n"/>
      <c r="O95" s="51" t="n"/>
      <c r="P95" s="51" t="n"/>
      <c r="Q95" s="51" t="n"/>
      <c r="R95" s="51" t="n"/>
      <c r="S95" s="51" t="n"/>
      <c r="T95" s="51" t="n"/>
      <c r="U95" s="51" t="n"/>
      <c r="V95" s="51" t="n"/>
      <c r="W95" s="51" t="n"/>
      <c r="X95" s="51" t="n"/>
    </row>
    <row r="96">
      <c r="A96" s="51" t="n"/>
      <c r="B96" s="51" t="n"/>
      <c r="C96" s="51" t="n"/>
      <c r="D96" s="51" t="n"/>
      <c r="E96" s="51" t="n"/>
      <c r="F96" s="51" t="n"/>
      <c r="G96" s="51" t="n"/>
      <c r="H96" s="51" t="n"/>
      <c r="I96" s="51" t="n"/>
      <c r="J96" s="51" t="n"/>
      <c r="K96" s="51" t="n"/>
      <c r="L96" s="51" t="n"/>
      <c r="M96" s="51" t="n"/>
      <c r="N96" s="51" t="n"/>
      <c r="O96" s="51" t="n"/>
      <c r="P96" s="51" t="n"/>
      <c r="Q96" s="51" t="n"/>
      <c r="R96" s="51" t="n"/>
      <c r="S96" s="51" t="n"/>
      <c r="T96" s="51" t="n"/>
      <c r="U96" s="51" t="n"/>
      <c r="V96" s="51" t="n"/>
      <c r="W96" s="51" t="n"/>
      <c r="X96" s="51" t="n"/>
    </row>
    <row r="97">
      <c r="A97" s="51" t="n"/>
      <c r="B97" s="51" t="n"/>
      <c r="C97" s="51" t="n"/>
      <c r="D97" s="51" t="n"/>
      <c r="E97" s="51" t="n"/>
      <c r="F97" s="51" t="n"/>
      <c r="G97" s="51" t="n"/>
      <c r="H97" s="51" t="n"/>
      <c r="I97" s="51" t="n"/>
      <c r="J97" s="51" t="n"/>
      <c r="K97" s="51" t="n"/>
      <c r="L97" s="51" t="n"/>
      <c r="M97" s="51" t="n"/>
      <c r="N97" s="51" t="n"/>
      <c r="O97" s="51" t="n"/>
      <c r="P97" s="51" t="n"/>
      <c r="Q97" s="51" t="n"/>
      <c r="R97" s="51" t="n"/>
      <c r="S97" s="51" t="n"/>
      <c r="T97" s="51" t="n"/>
      <c r="U97" s="51" t="n"/>
      <c r="V97" s="51" t="n"/>
      <c r="W97" s="51" t="n"/>
      <c r="X97" s="51" t="n"/>
    </row>
    <row r="98">
      <c r="A98" s="51" t="n"/>
      <c r="B98" s="51" t="n"/>
      <c r="C98" s="51" t="n"/>
      <c r="D98" s="51" t="n"/>
      <c r="E98" s="51" t="n"/>
      <c r="F98" s="51" t="n"/>
      <c r="G98" s="51" t="n"/>
      <c r="H98" s="51" t="n"/>
      <c r="I98" s="51" t="n"/>
      <c r="J98" s="51" t="n"/>
      <c r="K98" s="51" t="n"/>
      <c r="L98" s="51" t="n"/>
      <c r="M98" s="51" t="n"/>
      <c r="N98" s="51" t="n"/>
      <c r="O98" s="51" t="n"/>
      <c r="P98" s="51" t="n"/>
      <c r="Q98" s="51" t="n"/>
      <c r="R98" s="51" t="n"/>
      <c r="S98" s="51" t="n"/>
      <c r="T98" s="51" t="n"/>
      <c r="U98" s="51" t="n"/>
      <c r="V98" s="51" t="n"/>
      <c r="W98" s="51" t="n"/>
      <c r="X98" s="51" t="n"/>
    </row>
    <row r="99">
      <c r="A99" s="51" t="n"/>
      <c r="B99" s="51" t="n"/>
      <c r="C99" s="51" t="n"/>
      <c r="D99" s="51" t="n"/>
      <c r="E99" s="51" t="n"/>
      <c r="F99" s="51" t="n"/>
      <c r="G99" s="51" t="n"/>
      <c r="H99" s="51" t="n"/>
      <c r="I99" s="51" t="n"/>
      <c r="J99" s="51" t="n"/>
      <c r="K99" s="51" t="n"/>
      <c r="L99" s="51" t="n"/>
      <c r="M99" s="51" t="n"/>
      <c r="N99" s="51" t="n"/>
      <c r="O99" s="51" t="n"/>
      <c r="P99" s="51" t="n"/>
      <c r="Q99" s="51" t="n"/>
      <c r="R99" s="51" t="n"/>
      <c r="S99" s="51" t="n"/>
      <c r="T99" s="51" t="n"/>
      <c r="U99" s="51" t="n"/>
      <c r="V99" s="51" t="n"/>
      <c r="W99" s="51" t="n"/>
      <c r="X99" s="51" t="n"/>
    </row>
    <row r="100">
      <c r="A100" s="51" t="n"/>
      <c r="B100" s="51" t="n"/>
      <c r="C100" s="51" t="n"/>
      <c r="D100" s="51" t="n"/>
      <c r="E100" s="51" t="n"/>
      <c r="F100" s="51" t="n"/>
      <c r="G100" s="51" t="n"/>
      <c r="H100" s="51" t="n"/>
      <c r="I100" s="51" t="n"/>
      <c r="J100" s="51" t="n"/>
      <c r="K100" s="51" t="n"/>
      <c r="L100" s="51" t="n"/>
      <c r="M100" s="51" t="n"/>
      <c r="N100" s="51" t="n"/>
      <c r="O100" s="51" t="n"/>
      <c r="P100" s="51" t="n"/>
      <c r="Q100" s="51" t="n"/>
      <c r="R100" s="51" t="n"/>
      <c r="S100" s="51" t="n"/>
      <c r="T100" s="51" t="n"/>
      <c r="U100" s="51" t="n"/>
      <c r="V100" s="51" t="n"/>
      <c r="W100" s="51" t="n"/>
      <c r="X100" s="51" t="n"/>
    </row>
    <row r="101">
      <c r="A101" s="51" t="n"/>
      <c r="B101" s="51" t="n"/>
      <c r="C101" s="51" t="n"/>
      <c r="D101" s="51" t="n"/>
      <c r="E101" s="51" t="n"/>
      <c r="F101" s="51" t="n"/>
      <c r="G101" s="51" t="n"/>
      <c r="H101" s="51" t="n"/>
      <c r="I101" s="51" t="n"/>
      <c r="J101" s="51" t="n"/>
      <c r="K101" s="51" t="n"/>
      <c r="L101" s="51" t="n"/>
      <c r="M101" s="51" t="n"/>
      <c r="N101" s="51" t="n"/>
      <c r="O101" s="51" t="n"/>
      <c r="P101" s="51" t="n"/>
      <c r="Q101" s="51" t="n"/>
      <c r="R101" s="51" t="n"/>
      <c r="S101" s="51" t="n"/>
      <c r="T101" s="51" t="n"/>
      <c r="U101" s="51" t="n"/>
      <c r="V101" s="51" t="n"/>
      <c r="W101" s="51" t="n"/>
      <c r="X101" s="51" t="n"/>
    </row>
    <row r="102">
      <c r="A102" s="51" t="n"/>
      <c r="B102" s="51" t="n"/>
      <c r="C102" s="51" t="n"/>
      <c r="D102" s="51" t="n"/>
      <c r="E102" s="51" t="n"/>
      <c r="F102" s="51" t="n"/>
      <c r="G102" s="51" t="n"/>
      <c r="H102" s="51" t="n"/>
      <c r="I102" s="51" t="n"/>
      <c r="J102" s="51" t="n"/>
      <c r="K102" s="51" t="n"/>
      <c r="L102" s="51" t="n"/>
      <c r="M102" s="51" t="n"/>
      <c r="N102" s="51" t="n"/>
      <c r="O102" s="51" t="n"/>
      <c r="P102" s="51" t="n"/>
      <c r="Q102" s="51" t="n"/>
      <c r="R102" s="51" t="n"/>
      <c r="S102" s="51" t="n"/>
      <c r="T102" s="51" t="n"/>
      <c r="U102" s="51" t="n"/>
      <c r="V102" s="51" t="n"/>
      <c r="W102" s="51" t="n"/>
      <c r="X102" s="51" t="n"/>
    </row>
    <row r="103">
      <c r="A103" s="51" t="n"/>
      <c r="B103" s="51" t="n"/>
      <c r="C103" s="51" t="n"/>
      <c r="D103" s="51" t="n"/>
      <c r="E103" s="51" t="n"/>
      <c r="F103" s="51" t="n"/>
      <c r="G103" s="51" t="n"/>
      <c r="H103" s="51" t="n"/>
      <c r="I103" s="51" t="n"/>
      <c r="J103" s="51" t="n"/>
      <c r="K103" s="51" t="n"/>
      <c r="L103" s="51" t="n"/>
      <c r="M103" s="51" t="n"/>
      <c r="N103" s="51" t="n"/>
      <c r="O103" s="51" t="n"/>
      <c r="P103" s="51" t="n"/>
      <c r="Q103" s="51" t="n"/>
      <c r="R103" s="51" t="n"/>
      <c r="S103" s="51" t="n"/>
      <c r="T103" s="51" t="n"/>
      <c r="U103" s="51" t="n"/>
      <c r="V103" s="51" t="n"/>
      <c r="W103" s="51" t="n"/>
      <c r="X103" s="51" t="n"/>
    </row>
    <row r="104">
      <c r="A104" s="51" t="n"/>
      <c r="B104" s="51" t="n"/>
      <c r="C104" s="51" t="n"/>
      <c r="D104" s="51" t="n"/>
      <c r="E104" s="51" t="n"/>
      <c r="F104" s="51" t="n"/>
      <c r="G104" s="51" t="n"/>
      <c r="H104" s="51" t="n"/>
      <c r="I104" s="51" t="n"/>
      <c r="J104" s="51" t="n"/>
      <c r="K104" s="51" t="n"/>
      <c r="L104" s="51" t="n"/>
      <c r="M104" s="51" t="n"/>
      <c r="N104" s="51" t="n"/>
      <c r="O104" s="51" t="n"/>
      <c r="P104" s="51" t="n"/>
      <c r="Q104" s="51" t="n"/>
      <c r="R104" s="51" t="n"/>
      <c r="S104" s="51" t="n"/>
      <c r="T104" s="51" t="n"/>
      <c r="U104" s="51" t="n"/>
      <c r="V104" s="51" t="n"/>
      <c r="W104" s="51" t="n"/>
      <c r="X104" s="51" t="n"/>
    </row>
    <row r="105">
      <c r="A105" s="51" t="n"/>
      <c r="B105" s="51" t="n"/>
      <c r="C105" s="51" t="n"/>
      <c r="D105" s="51" t="n"/>
      <c r="E105" s="51" t="n"/>
      <c r="F105" s="51" t="n"/>
      <c r="G105" s="51" t="n"/>
      <c r="H105" s="51" t="n"/>
      <c r="I105" s="51" t="n"/>
      <c r="J105" s="51" t="n"/>
      <c r="K105" s="51" t="n"/>
      <c r="L105" s="51" t="n"/>
      <c r="M105" s="51" t="n"/>
      <c r="N105" s="51" t="n"/>
      <c r="O105" s="51" t="n"/>
      <c r="P105" s="51" t="n"/>
      <c r="Q105" s="51" t="n"/>
      <c r="R105" s="51" t="n"/>
      <c r="S105" s="51" t="n"/>
      <c r="T105" s="51" t="n"/>
      <c r="U105" s="51" t="n"/>
      <c r="V105" s="51" t="n"/>
      <c r="W105" s="51" t="n"/>
      <c r="X105" s="51" t="n"/>
    </row>
    <row r="106">
      <c r="A106" s="51" t="n"/>
      <c r="B106" s="51" t="n"/>
      <c r="C106" s="51" t="n"/>
      <c r="D106" s="51" t="n"/>
      <c r="E106" s="51" t="n"/>
      <c r="F106" s="51" t="n"/>
      <c r="G106" s="51" t="n"/>
      <c r="H106" s="51" t="n"/>
      <c r="I106" s="51" t="n"/>
      <c r="J106" s="51" t="n"/>
      <c r="K106" s="51" t="n"/>
      <c r="L106" s="51" t="n"/>
      <c r="M106" s="51" t="n"/>
      <c r="N106" s="51" t="n"/>
      <c r="O106" s="51" t="n"/>
      <c r="P106" s="51" t="n"/>
      <c r="Q106" s="51" t="n"/>
      <c r="R106" s="51" t="n"/>
      <c r="S106" s="51" t="n"/>
      <c r="T106" s="51" t="n"/>
      <c r="U106" s="51" t="n"/>
      <c r="V106" s="51" t="n"/>
      <c r="W106" s="51" t="n"/>
      <c r="X106" s="51" t="n"/>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8895A2"/>
    <outlinePr summaryBelow="1" summaryRight="1"/>
    <pageSetUpPr/>
  </sheetPr>
  <dimension ref="A1:H190"/>
  <sheetViews>
    <sheetView showGridLines="0" workbookViewId="0">
      <selection activeCell="A1" sqref="A1"/>
    </sheetView>
  </sheetViews>
  <sheetFormatPr baseColWidth="8" defaultRowHeight="15"/>
  <cols>
    <col width="22" customWidth="1" min="1" max="1"/>
    <col width="32" customWidth="1" min="2" max="2"/>
    <col width="30" customWidth="1" min="3" max="3"/>
    <col width="75" customWidth="1" min="4" max="4"/>
    <col width="24" customWidth="1" min="5" max="5"/>
    <col width="24" customWidth="1" min="6" max="6"/>
  </cols>
  <sheetData>
    <row r="1" ht="22" customHeight="1">
      <c r="A1" s="35" t="inlineStr">
        <is>
          <t>Stephan Hardt | Power Generation</t>
        </is>
      </c>
      <c r="B1" s="2" t="n"/>
      <c r="C1" s="2" t="n"/>
      <c r="D1" s="2" t="n"/>
      <c r="E1" s="2" t="n"/>
      <c r="F1" s="2" t="n"/>
    </row>
    <row r="2" ht="30" customHeight="1">
      <c r="A2" s="4" t="inlineStr">
        <is>
          <t>Using the template</t>
        </is>
      </c>
      <c r="B2" s="5" t="n"/>
      <c r="C2" s="5" t="n"/>
      <c r="D2" s="5" t="n"/>
      <c r="E2" s="5" t="n"/>
      <c r="F2" s="5" t="n"/>
      <c r="G2" s="32" t="n"/>
      <c r="H2" s="32" t="n"/>
    </row>
    <row r="3" ht="22" customHeight="1">
      <c r="A3" s="6" t="inlineStr">
        <is>
          <t>Fields and visible choices transcribed from the two supplied Salesforce recordings.</t>
        </is>
      </c>
      <c r="B3" s="2" t="n"/>
      <c r="C3" s="2" t="n"/>
      <c r="D3" s="2" t="n"/>
      <c r="E3" s="2" t="n"/>
      <c r="F3" s="2" t="n"/>
    </row>
    <row r="4">
      <c r="A4" s="2" t="n"/>
      <c r="B4" s="2" t="n"/>
      <c r="C4" s="2" t="n"/>
      <c r="D4" s="2" t="n"/>
      <c r="E4" s="2" t="n"/>
      <c r="F4" s="2" t="n"/>
    </row>
    <row r="5" ht="28" customHeight="1">
      <c r="A5" s="33" t="inlineStr">
        <is>
          <t>Action / topic</t>
        </is>
      </c>
      <c r="B5" s="33" t="inlineStr">
        <is>
          <t>Where</t>
        </is>
      </c>
      <c r="C5" s="33" t="inlineStr">
        <is>
          <t>Format / behavior</t>
        </is>
      </c>
      <c r="D5" s="33" t="inlineStr">
        <is>
          <t>Instructions</t>
        </is>
      </c>
      <c r="E5" s="2" t="n"/>
      <c r="F5" s="2" t="n"/>
    </row>
    <row r="6" ht="44" customHeight="1">
      <c r="A6" s="34" t="inlineStr">
        <is>
          <t>Enter records</t>
        </is>
      </c>
      <c r="B6" s="34" t="inlineStr">
        <is>
          <t>Projects and Leads</t>
        </is>
      </c>
      <c r="C6" s="34" t="inlineStr">
        <is>
          <t>Rows 7–206</t>
        </is>
      </c>
      <c r="D6" s="34" t="inlineStr">
        <is>
          <t>Use one row per record. Required fields turn pale red if a started row is missing them.</t>
        </is>
      </c>
      <c r="E6" s="2" t="n"/>
      <c r="F6" s="2" t="n"/>
    </row>
    <row r="7" ht="44" customHeight="1">
      <c r="A7" s="34" t="inlineStr">
        <is>
          <t>Use dropdowns</t>
        </is>
      </c>
      <c r="B7" s="34" t="inlineStr">
        <is>
          <t>Amber cells</t>
        </is>
      </c>
      <c r="C7" s="34" t="inlineStr">
        <is>
          <t>Click a cell to select</t>
        </is>
      </c>
      <c r="D7" s="34" t="inlineStr">
        <is>
          <t>Source choices remain editable on Dropdowns. Blank and --None-- are distinct.</t>
        </is>
      </c>
      <c r="E7" s="2" t="n"/>
      <c r="F7" s="2" t="n"/>
    </row>
    <row r="8" ht="44" customHeight="1">
      <c r="A8" s="34" t="inlineStr">
        <is>
          <t>Add choices</t>
        </is>
      </c>
      <c r="B8" s="34" t="inlineStr">
        <is>
          <t>Dropdowns</t>
        </is>
      </c>
      <c r="C8" s="34" t="inlineStr">
        <is>
          <t>Rows 7–106</t>
        </is>
      </c>
      <c r="D8" s="34" t="inlineStr">
        <is>
          <t>Append below the last option without gaps. Lists update through named ranges.</t>
        </is>
      </c>
      <c r="E8" s="2" t="n"/>
      <c r="F8" s="2" t="n"/>
    </row>
    <row r="9" ht="44" customHeight="1">
      <c r="A9" s="34" t="inlineStr">
        <is>
          <t>Select products</t>
        </is>
      </c>
      <c r="B9" s="34" t="inlineStr">
        <is>
          <t>Project Products</t>
        </is>
      </c>
      <c r="C9" s="34" t="inlineStr">
        <is>
          <t>Rows 7–506</t>
        </is>
      </c>
      <c r="D9" s="34" t="inlineStr">
        <is>
          <t>Repeat a project name for each product. Lead product checkboxes use Yes/No columns.</t>
        </is>
      </c>
      <c r="E9" s="2" t="n"/>
      <c r="F9" s="2" t="n"/>
    </row>
    <row r="10" ht="44" customHeight="1">
      <c r="A10" s="34" t="inlineStr">
        <is>
          <t>Enter dates</t>
        </is>
      </c>
      <c r="B10" s="34" t="inlineStr">
        <is>
          <t>Date columns</t>
        </is>
      </c>
      <c r="C10" s="34" t="inlineStr">
        <is>
          <t>MM/DD/YY</t>
        </is>
      </c>
      <c r="D10" s="34" t="inlineStr">
        <is>
          <t>Enter real Excel dates. Enter Project Probability as a percentage, such as 50%.</t>
        </is>
      </c>
      <c r="E10" s="2" t="n"/>
      <c r="F10" s="2" t="n"/>
    </row>
    <row r="11" ht="44" customHeight="1">
      <c r="A11" s="34" t="inlineStr">
        <is>
          <t>Extend records</t>
        </is>
      </c>
      <c r="B11" s="34" t="inlineStr">
        <is>
          <t>After prepared rows</t>
        </is>
      </c>
      <c r="C11" s="34" t="inlineStr">
        <is>
          <t>Copy a full input row</t>
        </is>
      </c>
      <c r="D11" s="34" t="inlineStr">
        <is>
          <t>Insert a table row and copy the preceding row to preserve validation and formatting. Extend ProjectNames in Name Manager beyond row 206 when needed.</t>
        </is>
      </c>
      <c r="E11" s="2" t="n"/>
      <c r="F11" s="2" t="n"/>
    </row>
    <row r="12" ht="44" customHeight="1">
      <c r="A12" s="34" t="inlineStr">
        <is>
          <t>Preserve identifiers</t>
        </is>
      </c>
      <c r="B12" s="34" t="inlineStr">
        <is>
          <t>IDs, phones and ZIPs</t>
        </is>
      </c>
      <c r="C12" s="34" t="inlineStr">
        <is>
          <t>Stored as text</t>
        </is>
      </c>
      <c r="D12" s="34" t="inlineStr">
        <is>
          <t>Leading zeros and punctuation are preserved.</t>
        </is>
      </c>
      <c r="E12" s="2" t="n"/>
      <c r="F12" s="2" t="n"/>
    </row>
    <row r="13" ht="44" customHeight="1">
      <c r="A13" s="34" t="inlineStr">
        <is>
          <t>Read long notes</t>
        </is>
      </c>
      <c r="B13" s="34" t="inlineStr">
        <is>
          <t>Comments and descriptions</t>
        </is>
      </c>
      <c r="C13" s="34" t="inlineStr">
        <is>
          <t>Use the formula bar</t>
        </is>
      </c>
      <c r="D13" s="34" t="inlineStr">
        <is>
          <t>Increase row height as needed to show longer text.</t>
        </is>
      </c>
      <c r="E13" s="2" t="n"/>
      <c r="F13" s="2" t="n"/>
    </row>
    <row r="14" ht="44" customHeight="1">
      <c r="A14" s="34" t="inlineStr">
        <is>
          <t>Lookup fields</t>
        </is>
      </c>
      <c r="B14" s="34" t="inlineStr">
        <is>
          <t>Accounts and contacts</t>
        </is>
      </c>
      <c r="C14" s="34" t="inlineStr">
        <is>
          <t>Manual entry</t>
        </is>
      </c>
      <c r="D14" s="34" t="inlineStr">
        <is>
          <t>The recordings do not provide the full account/contact/owner lists. These remain text fields.</t>
        </is>
      </c>
      <c r="E14" s="2" t="n"/>
      <c r="F14" s="2" t="n"/>
    </row>
    <row r="15" ht="44" customHeight="1">
      <c r="A15" s="34" t="inlineStr">
        <is>
          <t>Dependent lists</t>
        </is>
      </c>
      <c r="B15" s="34" t="inlineStr">
        <is>
          <t>Market classifications</t>
        </is>
      </c>
      <c r="C15" s="34" t="inlineStr">
        <is>
          <t>Independent dropdowns</t>
        </is>
      </c>
      <c r="D15" s="34" t="inlineStr">
        <is>
          <t>Salesforce dependencies are not shown. Options shown under Power Generation are not rules for other markets.</t>
        </is>
      </c>
      <c r="E15" s="2" t="n"/>
      <c r="F15" s="2" t="n"/>
    </row>
    <row r="16" ht="44" customHeight="1">
      <c r="A16" s="34" t="inlineStr">
        <is>
          <t>Unavailable options</t>
        </is>
      </c>
      <c r="B16" s="34" t="inlineStr">
        <is>
          <t>Lists marked partial</t>
        </is>
      </c>
      <c r="C16" s="34" t="inlineStr">
        <is>
          <t>Typing allowed</t>
        </is>
      </c>
      <c r="D16" s="34" t="inlineStr">
        <is>
          <t>Market, Occupation, Industry, Lead Source, Country, Salutation, Win/Loss Reason, Solutions and Canadian lists are incomplete or not opened. Add confirmed values when available.</t>
        </is>
      </c>
      <c r="E16" s="2" t="n"/>
      <c r="F16" s="2" t="n"/>
    </row>
    <row r="17" ht="44" customHeight="1">
      <c r="A17" s="34" t="inlineStr">
        <is>
          <t>Product text</t>
        </is>
      </c>
      <c r="B17" s="34" t="inlineStr">
        <is>
          <t>Product dropdown</t>
        </is>
      </c>
      <c r="C17" s="34" t="inlineStr">
        <is>
          <t>Visible text retained</t>
        </is>
      </c>
      <c r="D17" s="34" t="inlineStr">
        <is>
          <t>Truncated labels retain ellipses. C50 is marked DELETE - DO NOT USE in the source and is highlighted if selected.</t>
        </is>
      </c>
      <c r="E17" s="2" t="n"/>
      <c r="F17" s="2" t="n"/>
    </row>
    <row r="18" ht="44" customHeight="1">
      <c r="A18" s="34" t="inlineStr">
        <is>
          <t>Template scope</t>
        </is>
      </c>
      <c r="B18" s="34" t="inlineStr">
        <is>
          <t>Editable business fields</t>
        </is>
      </c>
      <c r="C18" s="34" t="inlineStr">
        <is>
          <t>No example records copied</t>
        </is>
      </c>
      <c r="D18" s="34" t="inlineStr">
        <is>
          <t>System audit fields, lead score, activities, duplicate checks and address-search controls are not reproduced.</t>
        </is>
      </c>
      <c r="E18" s="2" t="n"/>
      <c r="F18" s="2" t="n"/>
    </row>
    <row r="19" ht="44" customHeight="1">
      <c r="A19" s="34" t="inlineStr">
        <is>
          <t>Repeated fields</t>
        </is>
      </c>
      <c r="B19" s="34" t="inlineStr">
        <is>
          <t>Lead form</t>
        </is>
      </c>
      <c r="C19" s="34" t="inlineStr">
        <is>
          <t>One authoritative column</t>
        </is>
      </c>
      <c r="D19" s="34" t="inlineStr">
        <is>
          <t>End User, Project State and Sales Agent Contact each appear once, even where the Salesforce layout repeats them.</t>
        </is>
      </c>
      <c r="E19" s="2" t="n"/>
      <c r="F19" s="2" t="n"/>
    </row>
    <row r="20" ht="44" customHeight="1">
      <c r="A20" s="34" t="inlineStr">
        <is>
          <t>Automation</t>
        </is>
      </c>
      <c r="B20" s="34" t="inlineStr">
        <is>
          <t>Create Project Record</t>
        </is>
      </c>
      <c r="C20" s="34" t="inlineStr">
        <is>
          <t>Intent field only</t>
        </is>
      </c>
      <c r="D20" s="34" t="inlineStr">
        <is>
          <t>Selecting Yes does not create a Salesforce project or convert a lead. This workbook is a standalone template.</t>
        </is>
      </c>
      <c r="E20" s="2" t="n"/>
      <c r="F20" s="2" t="n"/>
    </row>
    <row r="21" ht="44" customHeight="1">
      <c r="A21" s="34" t="inlineStr">
        <is>
          <t>Calculated CRM field</t>
        </is>
      </c>
      <c r="B21" s="34" t="inlineStr">
        <is>
          <t>Project Pipeline Amount</t>
        </is>
      </c>
      <c r="C21" s="34" t="inlineStr">
        <is>
          <t>Manual input</t>
        </is>
      </c>
      <c r="D21" s="34" t="inlineStr">
        <is>
          <t>The recording does not reveal the Salesforce calculation. No formula has been assumed.</t>
        </is>
      </c>
      <c r="E21" s="2" t="n"/>
      <c r="F21" s="2" t="n"/>
    </row>
    <row r="22" ht="44" customHeight="1">
      <c r="A22" s="34" t="inlineStr">
        <is>
          <t>Checkboxes</t>
        </is>
      </c>
      <c r="B22" s="34" t="inlineStr">
        <is>
          <t>Yes / No</t>
        </is>
      </c>
      <c r="C22" s="34" t="inlineStr">
        <is>
          <t>Excel adaptation</t>
        </is>
      </c>
      <c r="D22" s="34" t="inlineStr">
        <is>
          <t>Checkbox controls are represented as selectable Yes/No values. Blank means no entry.</t>
        </is>
      </c>
      <c r="E22" s="2" t="n"/>
      <c r="F22" s="2" t="n"/>
    </row>
    <row r="23" ht="44" customHeight="1">
      <c r="A23" s="34" t="inlineStr">
        <is>
          <t>Required fields</t>
        </is>
      </c>
      <c r="B23" s="34" t="inlineStr">
        <is>
          <t>Asterisk in header</t>
        </is>
      </c>
      <c r="C23" s="34" t="inlineStr">
        <is>
          <t>Visible requirements only</t>
        </is>
      </c>
      <c r="D23" s="34" t="inlineStr">
        <is>
          <t>Projects: Project Name, Est. Close Date. Leads: Last Name, Company, Lead Source, Lead Status. Other Salesforce rules may apply.</t>
        </is>
      </c>
      <c r="E23" s="2" t="n"/>
      <c r="F23" s="2" t="n"/>
    </row>
    <row r="24">
      <c r="A24" s="2" t="n"/>
      <c r="B24" s="2" t="n"/>
      <c r="C24" s="2" t="n"/>
      <c r="D24" s="2" t="n"/>
      <c r="E24" s="2" t="n"/>
      <c r="F24" s="2" t="n"/>
    </row>
    <row r="25">
      <c r="A25" s="2" t="n"/>
      <c r="B25" s="2" t="n"/>
      <c r="C25" s="2" t="n"/>
      <c r="D25" s="2" t="n"/>
      <c r="E25" s="2" t="n"/>
      <c r="F25" s="2" t="n"/>
    </row>
    <row r="26" ht="28" customHeight="1">
      <c r="A26" s="33" t="inlineStr">
        <is>
          <t>Source</t>
        </is>
      </c>
      <c r="B26" s="33" t="inlineStr">
        <is>
          <t>Recording</t>
        </is>
      </c>
      <c r="C26" s="33" t="inlineStr">
        <is>
          <t>Coverage</t>
        </is>
      </c>
      <c r="D26" s="33" t="inlineStr">
        <is>
          <t>Notes</t>
        </is>
      </c>
      <c r="E26" s="2" t="n"/>
      <c r="F26" s="2" t="n"/>
    </row>
    <row r="27" ht="48" customHeight="1">
      <c r="A27" s="34" t="inlineStr">
        <is>
          <t>Project video</t>
        </is>
      </c>
      <c r="B27" s="34" t="inlineStr">
        <is>
          <t>c881c3f9-fadc-4146-9e5d-7c55f502af58.mp4</t>
        </is>
      </c>
      <c r="C27" s="34" t="inlineStr">
        <is>
          <t>00:00–01:12</t>
        </is>
      </c>
      <c r="D27" s="34" t="inlineStr">
        <is>
          <t>Project form fields, market dropdowns and product list.</t>
        </is>
      </c>
      <c r="E27" s="2" t="n"/>
      <c r="F27" s="2" t="n"/>
    </row>
    <row r="28" ht="48" customHeight="1">
      <c r="A28" s="34" t="inlineStr">
        <is>
          <t>Lead video</t>
        </is>
      </c>
      <c r="B28" s="34" t="inlineStr">
        <is>
          <t>7efc2092-401f-4844-8c8b-102de2ac427e.mp4</t>
        </is>
      </c>
      <c r="C28" s="34" t="inlineStr">
        <is>
          <t>00:00–01:26</t>
        </is>
      </c>
      <c r="D28" s="34" t="inlineStr">
        <is>
          <t>Lead contact and project details, status path and visible dropdowns.</t>
        </is>
      </c>
      <c r="E28" s="2" t="n"/>
      <c r="F28" s="2" t="n"/>
    </row>
    <row r="29">
      <c r="A29" s="2" t="n"/>
      <c r="B29" s="2" t="n"/>
      <c r="C29" s="2" t="n"/>
      <c r="D29" s="2" t="n"/>
      <c r="E29" s="2" t="n"/>
      <c r="F29" s="2" t="n"/>
    </row>
    <row r="30">
      <c r="A30" s="2" t="n"/>
      <c r="B30" s="2" t="n"/>
      <c r="C30" s="2" t="n"/>
      <c r="D30" s="2" t="n"/>
      <c r="E30" s="2" t="n"/>
      <c r="F30" s="2" t="n"/>
    </row>
    <row r="31" ht="28" customHeight="1">
      <c r="A31" s="33" t="inlineStr">
        <is>
          <t>Dropdown</t>
        </is>
      </c>
      <c r="B31" s="33" t="inlineStr">
        <is>
          <t>Coverage</t>
        </is>
      </c>
      <c r="C31" s="33" t="inlineStr">
        <is>
          <t>Dropdowns column</t>
        </is>
      </c>
      <c r="D31" s="33" t="inlineStr">
        <is>
          <t>Source / limitation</t>
        </is>
      </c>
      <c r="E31" s="2" t="n"/>
      <c r="F31" s="2" t="n"/>
    </row>
    <row r="32" ht="34" customHeight="1">
      <c r="A32" s="34" t="inlineStr">
        <is>
          <t>Project Stage</t>
        </is>
      </c>
      <c r="B32" s="34" t="inlineStr">
        <is>
          <t>Shown menu</t>
        </is>
      </c>
      <c r="C32" s="34" t="inlineStr">
        <is>
          <t>A</t>
        </is>
      </c>
      <c r="D32" s="34" t="inlineStr">
        <is>
          <t>Project video 00:10</t>
        </is>
      </c>
      <c r="E32" s="2" t="n"/>
      <c r="F32" s="2" t="n"/>
    </row>
    <row r="33" ht="34" customHeight="1">
      <c r="A33" s="34" t="inlineStr">
        <is>
          <t>Lead Status</t>
        </is>
      </c>
      <c r="B33" s="34" t="inlineStr">
        <is>
          <t>Visible status path</t>
        </is>
      </c>
      <c r="C33" s="34" t="inlineStr">
        <is>
          <t>B</t>
        </is>
      </c>
      <c r="D33" s="34" t="inlineStr">
        <is>
          <t>Lead video 00:25</t>
        </is>
      </c>
      <c r="E33" s="2" t="n"/>
      <c r="F33" s="2" t="n"/>
    </row>
    <row r="34" ht="34" customHeight="1">
      <c r="A34" s="34" t="inlineStr">
        <is>
          <t>End User Type</t>
        </is>
      </c>
      <c r="B34" s="34" t="inlineStr">
        <is>
          <t>Shown menu</t>
        </is>
      </c>
      <c r="C34" s="34" t="inlineStr">
        <is>
          <t>C</t>
        </is>
      </c>
      <c r="D34" s="34" t="inlineStr">
        <is>
          <t>Project video 00:07</t>
        </is>
      </c>
      <c r="E34" s="2" t="n"/>
      <c r="F34" s="2" t="n"/>
    </row>
    <row r="35" ht="34" customHeight="1">
      <c r="A35" s="34" t="inlineStr">
        <is>
          <t>Main Decision Influencer</t>
        </is>
      </c>
      <c r="B35" s="34" t="inlineStr">
        <is>
          <t>Shown menu</t>
        </is>
      </c>
      <c r="C35" s="34" t="inlineStr">
        <is>
          <t>D</t>
        </is>
      </c>
      <c r="D35" s="34" t="inlineStr">
        <is>
          <t>Project video 00:19</t>
        </is>
      </c>
      <c r="E35" s="2" t="n"/>
      <c r="F35" s="2" t="n"/>
    </row>
    <row r="36" ht="34" customHeight="1">
      <c r="A36" s="34" t="inlineStr">
        <is>
          <t>Market</t>
        </is>
      </c>
      <c r="B36" s="34" t="inlineStr">
        <is>
          <t>Partial list</t>
        </is>
      </c>
      <c r="C36" s="34" t="inlineStr">
        <is>
          <t>E</t>
        </is>
      </c>
      <c r="D36" s="34" t="inlineStr">
        <is>
          <t>Project video 00:53; list not fully scrolled</t>
        </is>
      </c>
      <c r="E36" s="2" t="n"/>
      <c r="F36" s="2" t="n"/>
    </row>
    <row r="37" ht="34" customHeight="1">
      <c r="A37" s="34" t="inlineStr">
        <is>
          <t>Segment</t>
        </is>
      </c>
      <c r="B37" s="34" t="inlineStr">
        <is>
          <t>Shown menu; one context</t>
        </is>
      </c>
      <c r="C37" s="34" t="inlineStr">
        <is>
          <t>F</t>
        </is>
      </c>
      <c r="D37" s="34" t="inlineStr">
        <is>
          <t>Project video 00:50; Power Generation selected</t>
        </is>
      </c>
      <c r="E37" s="2" t="n"/>
      <c r="F37" s="2" t="n"/>
    </row>
    <row r="38" ht="34" customHeight="1">
      <c r="A38" s="34" t="inlineStr">
        <is>
          <t>Application</t>
        </is>
      </c>
      <c r="B38" s="34" t="inlineStr">
        <is>
          <t>Shown menu; one context</t>
        </is>
      </c>
      <c r="C38" s="34" t="inlineStr">
        <is>
          <t>G</t>
        </is>
      </c>
      <c r="D38" s="34" t="inlineStr">
        <is>
          <t>Project video 00:47; Power Generation selected</t>
        </is>
      </c>
      <c r="E38" s="2" t="n"/>
      <c r="F38" s="2" t="n"/>
    </row>
    <row r="39" ht="34" customHeight="1">
      <c r="A39" s="34" t="inlineStr">
        <is>
          <t>Demand Driver</t>
        </is>
      </c>
      <c r="B39" s="34" t="inlineStr">
        <is>
          <t>Shown menu; one context</t>
        </is>
      </c>
      <c r="C39" s="34" t="inlineStr">
        <is>
          <t>H</t>
        </is>
      </c>
      <c r="D39" s="34" t="inlineStr">
        <is>
          <t>Project video 00:44; Power Generation selected</t>
        </is>
      </c>
      <c r="E39" s="2" t="n"/>
      <c r="F39" s="2" t="n"/>
    </row>
    <row r="40" ht="34" customHeight="1">
      <c r="A40" s="34" t="inlineStr">
        <is>
          <t>OEM Category</t>
        </is>
      </c>
      <c r="B40" s="34" t="inlineStr">
        <is>
          <t>Shown menu; one context</t>
        </is>
      </c>
      <c r="C40" s="34" t="inlineStr">
        <is>
          <t>I</t>
        </is>
      </c>
      <c r="D40" s="34" t="inlineStr">
        <is>
          <t>Project video 00:39; Power Generation selected</t>
        </is>
      </c>
      <c r="E40" s="2" t="n"/>
      <c r="F40" s="2" t="n"/>
    </row>
    <row r="41" ht="34" customHeight="1">
      <c r="A41" s="34" t="inlineStr">
        <is>
          <t>Brownfield/Greenfield</t>
        </is>
      </c>
      <c r="B41" s="34" t="inlineStr">
        <is>
          <t>Shown menu</t>
        </is>
      </c>
      <c r="C41" s="34" t="inlineStr">
        <is>
          <t>J</t>
        </is>
      </c>
      <c r="D41" s="34" t="inlineStr">
        <is>
          <t>Lead video 00:58</t>
        </is>
      </c>
      <c r="E41" s="2" t="n"/>
      <c r="F41" s="2" t="n"/>
    </row>
    <row r="42" ht="34" customHeight="1">
      <c r="A42" s="34" t="inlineStr">
        <is>
          <t>Power Needs</t>
        </is>
      </c>
      <c r="B42" s="34" t="inlineStr">
        <is>
          <t>Shown menu</t>
        </is>
      </c>
      <c r="C42" s="34" t="inlineStr">
        <is>
          <t>K</t>
        </is>
      </c>
      <c r="D42" s="34" t="inlineStr">
        <is>
          <t>Project video 00:58</t>
        </is>
      </c>
      <c r="E42" s="2" t="n"/>
      <c r="F42" s="2" t="n"/>
    </row>
    <row r="43" ht="34" customHeight="1">
      <c r="A43" s="34" t="inlineStr">
        <is>
          <t>Primary Energy Source</t>
        </is>
      </c>
      <c r="B43" s="34" t="inlineStr">
        <is>
          <t>Shown menu; one context</t>
        </is>
      </c>
      <c r="C43" s="34" t="inlineStr">
        <is>
          <t>L</t>
        </is>
      </c>
      <c r="D43" s="34" t="inlineStr">
        <is>
          <t>Project video 01:01; Power Generation selected</t>
        </is>
      </c>
      <c r="E43" s="2" t="n"/>
      <c r="F43" s="2" t="n"/>
    </row>
    <row r="44" ht="34" customHeight="1">
      <c r="A44" s="34" t="inlineStr">
        <is>
          <t>AI Facility</t>
        </is>
      </c>
      <c r="B44" s="34" t="inlineStr">
        <is>
          <t>Shown menu</t>
        </is>
      </c>
      <c r="C44" s="34" t="inlineStr">
        <is>
          <t>M</t>
        </is>
      </c>
      <c r="D44" s="34" t="inlineStr">
        <is>
          <t>Lead video 01:07</t>
        </is>
      </c>
      <c r="E44" s="2" t="n"/>
      <c r="F44" s="2" t="n"/>
    </row>
    <row r="45" ht="34" customHeight="1">
      <c r="A45" s="34" t="inlineStr">
        <is>
          <t>Checkbox fields</t>
        </is>
      </c>
      <c r="B45" s="34" t="inlineStr">
        <is>
          <t>Excel representation</t>
        </is>
      </c>
      <c r="C45" s="34" t="inlineStr">
        <is>
          <t>N</t>
        </is>
      </c>
      <c r="D45" s="34" t="inlineStr">
        <is>
          <t>Yes = checked; No = unchecked; blank = not entered</t>
        </is>
      </c>
      <c r="E45" s="2" t="n"/>
      <c r="F45" s="2" t="n"/>
    </row>
    <row r="46" ht="34" customHeight="1">
      <c r="A46" s="34" t="inlineStr">
        <is>
          <t>Occupation</t>
        </is>
      </c>
      <c r="B46" s="34" t="inlineStr">
        <is>
          <t>Partial list</t>
        </is>
      </c>
      <c r="C46" s="34" t="inlineStr">
        <is>
          <t>O</t>
        </is>
      </c>
      <c r="D46" s="34" t="inlineStr">
        <is>
          <t>Lead video 00:03–00:09; top not shown; one unclear label omitted</t>
        </is>
      </c>
      <c r="E46" s="2" t="n"/>
      <c r="F46" s="2" t="n"/>
    </row>
    <row r="47" ht="34" customHeight="1">
      <c r="A47" s="34" t="inlineStr">
        <is>
          <t>Industry</t>
        </is>
      </c>
      <c r="B47" s="34" t="inlineStr">
        <is>
          <t>Partial list</t>
        </is>
      </c>
      <c r="C47" s="34" t="inlineStr">
        <is>
          <t>P</t>
        </is>
      </c>
      <c r="D47" s="34" t="inlineStr">
        <is>
          <t>Lead video 00:14; list not fully scrolled</t>
        </is>
      </c>
      <c r="E47" s="2" t="n"/>
      <c r="F47" s="2" t="n"/>
    </row>
    <row r="48" ht="34" customHeight="1">
      <c r="A48" s="34" t="inlineStr">
        <is>
          <t>Lead Source</t>
        </is>
      </c>
      <c r="B48" s="34" t="inlineStr">
        <is>
          <t>Current value only</t>
        </is>
      </c>
      <c r="C48" s="34" t="inlineStr">
        <is>
          <t>Q</t>
        </is>
      </c>
      <c r="D48" s="34" t="inlineStr">
        <is>
          <t>Lead video 00:01; menu not expanded</t>
        </is>
      </c>
      <c r="E48" s="2" t="n"/>
      <c r="F48" s="2" t="n"/>
    </row>
    <row r="49" ht="34" customHeight="1">
      <c r="A49" s="34" t="inlineStr">
        <is>
          <t>Project Country</t>
        </is>
      </c>
      <c r="B49" s="34" t="inlineStr">
        <is>
          <t>Current value only</t>
        </is>
      </c>
      <c r="C49" s="34" t="inlineStr">
        <is>
          <t>R</t>
        </is>
      </c>
      <c r="D49" s="34" t="inlineStr">
        <is>
          <t>Project video 00:22; menu not expanded</t>
        </is>
      </c>
      <c r="E49" s="2" t="n"/>
      <c r="F49" s="2" t="n"/>
    </row>
    <row r="50" ht="34" customHeight="1">
      <c r="A50" s="34" t="inlineStr">
        <is>
          <t>Salutation</t>
        </is>
      </c>
      <c r="B50" s="34" t="inlineStr">
        <is>
          <t>Options not shown</t>
        </is>
      </c>
      <c r="C50" s="34" t="inlineStr">
        <is>
          <t>S</t>
        </is>
      </c>
      <c r="D50" s="34" t="inlineStr">
        <is>
          <t>Lead video 00:01; menu not expanded</t>
        </is>
      </c>
      <c r="E50" s="2" t="n"/>
      <c r="F50" s="2" t="n"/>
    </row>
    <row r="51" ht="34" customHeight="1">
      <c r="A51" s="34" t="inlineStr">
        <is>
          <t>Win/Loss Reason</t>
        </is>
      </c>
      <c r="B51" s="34" t="inlineStr">
        <is>
          <t>Options not shown</t>
        </is>
      </c>
      <c r="C51" s="34" t="inlineStr">
        <is>
          <t>T</t>
        </is>
      </c>
      <c r="D51" s="34" t="inlineStr">
        <is>
          <t>Project video 00:10; menu disabled</t>
        </is>
      </c>
      <c r="E51" s="2" t="n"/>
      <c r="F51" s="2" t="n"/>
    </row>
    <row r="52" ht="34" customHeight="1">
      <c r="A52" s="34" t="inlineStr">
        <is>
          <t>Solutions</t>
        </is>
      </c>
      <c r="B52" s="34" t="inlineStr">
        <is>
          <t>Options not shown</t>
        </is>
      </c>
      <c r="C52" s="34" t="inlineStr">
        <is>
          <t>U</t>
        </is>
      </c>
      <c r="D52" s="34" t="inlineStr">
        <is>
          <t>Project video 00:13; menu not expanded</t>
        </is>
      </c>
      <c r="E52" s="2" t="n"/>
      <c r="F52" s="2" t="n"/>
    </row>
    <row r="53" ht="34" customHeight="1">
      <c r="A53" s="34" t="inlineStr">
        <is>
          <t>Canada Province/Territory</t>
        </is>
      </c>
      <c r="B53" s="34" t="inlineStr">
        <is>
          <t>Options not shown</t>
        </is>
      </c>
      <c r="C53" s="34" t="inlineStr">
        <is>
          <t>V</t>
        </is>
      </c>
      <c r="D53" s="34" t="inlineStr">
        <is>
          <t>Project video 00:22; menu not expanded</t>
        </is>
      </c>
      <c r="E53" s="2" t="n"/>
      <c r="F53" s="2" t="n"/>
    </row>
    <row r="54" ht="34" customHeight="1">
      <c r="A54" s="34" t="inlineStr">
        <is>
          <t>Project Canadian Region</t>
        </is>
      </c>
      <c r="B54" s="34" t="inlineStr">
        <is>
          <t>Options not shown</t>
        </is>
      </c>
      <c r="C54" s="34" t="inlineStr">
        <is>
          <t>W</t>
        </is>
      </c>
      <c r="D54" s="34" t="inlineStr">
        <is>
          <t>Lead video 01:11; menu not expanded</t>
        </is>
      </c>
      <c r="E54" s="2" t="n"/>
      <c r="F54" s="2" t="n"/>
    </row>
    <row r="55" ht="34" customHeight="1">
      <c r="A55" s="34" t="inlineStr">
        <is>
          <t>Product</t>
        </is>
      </c>
      <c r="B55" s="34" t="inlineStr">
        <is>
          <t>Visible codes; labels truncated</t>
        </is>
      </c>
      <c r="C55" s="34" t="inlineStr">
        <is>
          <t>X</t>
        </is>
      </c>
      <c r="D55" s="34" t="inlineStr">
        <is>
          <t>Project video 00:31–00:37; ellipses retained from screen</t>
        </is>
      </c>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ht="28" customHeight="1">
      <c r="A59" s="33" t="inlineStr">
        <is>
          <t>Sheet</t>
        </is>
      </c>
      <c r="B59" s="33" t="inlineStr">
        <is>
          <t>Section</t>
        </is>
      </c>
      <c r="C59" s="33" t="inlineStr">
        <is>
          <t>Columns</t>
        </is>
      </c>
      <c r="D59" s="33" t="inlineStr">
        <is>
          <t>Entry fields</t>
        </is>
      </c>
      <c r="E59" s="2" t="n"/>
      <c r="F59" s="2" t="n"/>
    </row>
    <row r="60" ht="24" customHeight="1">
      <c r="A60" s="2" t="inlineStr">
        <is>
          <t>Projects</t>
        </is>
      </c>
      <c r="B60" s="2" t="inlineStr">
        <is>
          <t>Key Details</t>
        </is>
      </c>
      <c r="C60" s="2" t="inlineStr">
        <is>
          <t>A–Q</t>
        </is>
      </c>
      <c r="D60" s="2" t="inlineStr">
        <is>
          <t>17 fields</t>
        </is>
      </c>
      <c r="E60" s="2" t="n"/>
      <c r="F60" s="2" t="n"/>
    </row>
    <row r="61" ht="24" customHeight="1">
      <c r="A61" s="2" t="inlineStr">
        <is>
          <t>Projects</t>
        </is>
      </c>
      <c r="B61" s="2" t="inlineStr">
        <is>
          <t>Date + Location</t>
        </is>
      </c>
      <c r="C61" s="2" t="inlineStr">
        <is>
          <t>R–Y</t>
        </is>
      </c>
      <c r="D61" s="2" t="inlineStr">
        <is>
          <t>8 fields</t>
        </is>
      </c>
      <c r="E61" s="2" t="n"/>
      <c r="F61" s="2" t="n"/>
    </row>
    <row r="62" ht="24" customHeight="1">
      <c r="A62" s="2" t="inlineStr">
        <is>
          <t>Projects</t>
        </is>
      </c>
      <c r="B62" s="2" t="inlineStr">
        <is>
          <t>Market + Application</t>
        </is>
      </c>
      <c r="C62" s="2" t="inlineStr">
        <is>
          <t>Z–AI</t>
        </is>
      </c>
      <c r="D62" s="2" t="inlineStr">
        <is>
          <t>10 fields</t>
        </is>
      </c>
      <c r="E62" s="2" t="n"/>
      <c r="F62" s="2" t="n"/>
    </row>
    <row r="63" ht="24" customHeight="1">
      <c r="A63" s="2" t="inlineStr">
        <is>
          <t>Projects</t>
        </is>
      </c>
      <c r="B63" s="2" t="inlineStr">
        <is>
          <t>Sales Updates</t>
        </is>
      </c>
      <c r="C63" s="2" t="inlineStr">
        <is>
          <t>AJ–AN</t>
        </is>
      </c>
      <c r="D63" s="2" t="inlineStr">
        <is>
          <t>5 fields</t>
        </is>
      </c>
      <c r="E63" s="2" t="n"/>
      <c r="F63" s="2" t="n"/>
    </row>
    <row r="64" ht="24" customHeight="1">
      <c r="A64" s="2" t="inlineStr">
        <is>
          <t>Projects</t>
        </is>
      </c>
      <c r="B64" s="2" t="inlineStr">
        <is>
          <t>Additional Project Details</t>
        </is>
      </c>
      <c r="C64" s="2" t="inlineStr">
        <is>
          <t>AO–AR</t>
        </is>
      </c>
      <c r="D64" s="2" t="inlineStr">
        <is>
          <t>4 fields</t>
        </is>
      </c>
      <c r="E64" s="2" t="n"/>
      <c r="F64" s="2" t="n"/>
    </row>
    <row r="65" ht="24" customHeight="1">
      <c r="A65" s="2" t="inlineStr">
        <is>
          <t>Projects</t>
        </is>
      </c>
      <c r="B65" s="2" t="inlineStr">
        <is>
          <t>Project Metadata</t>
        </is>
      </c>
      <c r="C65" s="2" t="inlineStr">
        <is>
          <t>AS–AW</t>
        </is>
      </c>
      <c r="D65" s="2" t="inlineStr">
        <is>
          <t>5 fields</t>
        </is>
      </c>
      <c r="E65" s="2" t="n"/>
      <c r="F65" s="2" t="n"/>
    </row>
    <row r="66" ht="24" customHeight="1">
      <c r="A66" s="2" t="inlineStr">
        <is>
          <t>Leads</t>
        </is>
      </c>
      <c r="B66" s="2" t="inlineStr">
        <is>
          <t>Contact Details</t>
        </is>
      </c>
      <c r="C66" s="2" t="inlineStr">
        <is>
          <t>A–T</t>
        </is>
      </c>
      <c r="D66" s="2" t="inlineStr">
        <is>
          <t>20 fields</t>
        </is>
      </c>
      <c r="E66" s="2" t="n"/>
      <c r="F66" s="2" t="n"/>
    </row>
    <row r="67" ht="24" customHeight="1">
      <c r="A67" s="2" t="inlineStr">
        <is>
          <t>Leads</t>
        </is>
      </c>
      <c r="B67" s="2" t="inlineStr">
        <is>
          <t>Contact Address</t>
        </is>
      </c>
      <c r="C67" s="2" t="inlineStr">
        <is>
          <t>U–Y</t>
        </is>
      </c>
      <c r="D67" s="2" t="inlineStr">
        <is>
          <t>5 fields</t>
        </is>
      </c>
      <c r="E67" s="2" t="n"/>
      <c r="F67" s="2" t="n"/>
    </row>
    <row r="68" ht="24" customHeight="1">
      <c r="A68" s="2" t="inlineStr">
        <is>
          <t>Leads</t>
        </is>
      </c>
      <c r="B68" s="2" t="inlineStr">
        <is>
          <t>Contact Tracking</t>
        </is>
      </c>
      <c r="C68" s="2" t="inlineStr">
        <is>
          <t>Z–AC</t>
        </is>
      </c>
      <c r="D68" s="2" t="inlineStr">
        <is>
          <t>4 fields</t>
        </is>
      </c>
      <c r="E68" s="2" t="n"/>
      <c r="F68" s="2" t="n"/>
    </row>
    <row r="69" ht="24" customHeight="1">
      <c r="A69" s="2" t="inlineStr">
        <is>
          <t>Leads</t>
        </is>
      </c>
      <c r="B69" s="2" t="inlineStr">
        <is>
          <t>Key Project Details</t>
        </is>
      </c>
      <c r="C69" s="2" t="inlineStr">
        <is>
          <t>AD–AM</t>
        </is>
      </c>
      <c r="D69" s="2" t="inlineStr">
        <is>
          <t>10 fields</t>
        </is>
      </c>
      <c r="E69" s="2" t="n"/>
      <c r="F69" s="2" t="n"/>
    </row>
    <row r="70" ht="24" customHeight="1">
      <c r="A70" s="2" t="inlineStr">
        <is>
          <t>Leads</t>
        </is>
      </c>
      <c r="B70" s="2" t="inlineStr">
        <is>
          <t>Market + Application</t>
        </is>
      </c>
      <c r="C70" s="2" t="inlineStr">
        <is>
          <t>AN–AW</t>
        </is>
      </c>
      <c r="D70" s="2" t="inlineStr">
        <is>
          <t>10 fields</t>
        </is>
      </c>
      <c r="E70" s="2" t="n"/>
      <c r="F70" s="2" t="n"/>
    </row>
    <row r="71" ht="24" customHeight="1">
      <c r="A71" s="2" t="inlineStr">
        <is>
          <t>Leads</t>
        </is>
      </c>
      <c r="B71" s="2" t="inlineStr">
        <is>
          <t>Project Address</t>
        </is>
      </c>
      <c r="C71" s="2" t="inlineStr">
        <is>
          <t>AX–BD</t>
        </is>
      </c>
      <c r="D71" s="2" t="inlineStr">
        <is>
          <t>7 fields</t>
        </is>
      </c>
      <c r="E71" s="2" t="n"/>
      <c r="F71" s="2" t="n"/>
    </row>
    <row r="72" ht="24" customHeight="1">
      <c r="A72" s="2" t="inlineStr">
        <is>
          <t>Leads</t>
        </is>
      </c>
      <c r="B72" s="2" t="inlineStr">
        <is>
          <t>Project Stakeholders</t>
        </is>
      </c>
      <c r="C72" s="2" t="inlineStr">
        <is>
          <t>BE–BO</t>
        </is>
      </c>
      <c r="D72" s="2" t="inlineStr">
        <is>
          <t>11 fields</t>
        </is>
      </c>
      <c r="E72" s="2" t="n"/>
      <c r="F72" s="2" t="n"/>
    </row>
    <row r="73" ht="24" customHeight="1">
      <c r="A73" s="2" t="inlineStr">
        <is>
          <t>Leads</t>
        </is>
      </c>
      <c r="B73" s="2" t="inlineStr">
        <is>
          <t>Project Product Offering</t>
        </is>
      </c>
      <c r="C73" s="2" t="inlineStr">
        <is>
          <t>BP–BW</t>
        </is>
      </c>
      <c r="D73" s="2" t="inlineStr">
        <is>
          <t>8 fields</t>
        </is>
      </c>
      <c r="E73" s="2" t="n"/>
      <c r="F73" s="2" t="n"/>
    </row>
    <row r="74" ht="24" customHeight="1">
      <c r="A74" s="2" t="inlineStr">
        <is>
          <t>Leads</t>
        </is>
      </c>
      <c r="B74" s="2" t="inlineStr">
        <is>
          <t>Additional Project Details</t>
        </is>
      </c>
      <c r="C74" s="2" t="inlineStr">
        <is>
          <t>BX–CA</t>
        </is>
      </c>
      <c r="D74" s="2" t="inlineStr">
        <is>
          <t>4 fields</t>
        </is>
      </c>
      <c r="E74" s="2" t="n"/>
      <c r="F74" s="2" t="n"/>
    </row>
    <row r="75" ht="24" customHeight="1">
      <c r="A75" s="2" t="inlineStr">
        <is>
          <t>Leads</t>
        </is>
      </c>
      <c r="B75" s="2" t="inlineStr">
        <is>
          <t>Project Metadata</t>
        </is>
      </c>
      <c r="C75" s="2" t="inlineStr">
        <is>
          <t>CB–CF</t>
        </is>
      </c>
      <c r="D75" s="2" t="inlineStr">
        <is>
          <t>5 fields</t>
        </is>
      </c>
      <c r="E75" s="2" t="n"/>
      <c r="F75" s="2" t="n"/>
    </row>
    <row r="76" ht="24" customHeight="1">
      <c r="A76" s="2" t="inlineStr">
        <is>
          <t>Leads</t>
        </is>
      </c>
      <c r="B76" s="2" t="inlineStr">
        <is>
          <t>Sales Update</t>
        </is>
      </c>
      <c r="C76" s="2" t="inlineStr">
        <is>
          <t>CG–CJ</t>
        </is>
      </c>
      <c r="D76" s="2" t="inlineStr">
        <is>
          <t>4 fields</t>
        </is>
      </c>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57" t="inlineStr">
        <is>
          <t>Whole-plant cable benchmark ($/kW)</t>
        </is>
      </c>
      <c r="B81" s="2" t="n">
        <v>8</v>
      </c>
      <c r="C81" s="2" t="inlineStr">
        <is>
          <t>Change this one cell to update every Amount ($) on Projects and Leads.</t>
        </is>
      </c>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cols>
    <col width="48" customWidth="1" min="1" max="1"/>
    <col width="140" customWidth="1" min="2" max="2"/>
  </cols>
  <sheetData>
    <row r="1">
      <c r="A1" s="53" t="inlineStr">
        <is>
          <t>Project</t>
        </is>
      </c>
      <c r="B1" s="53" t="inlineStr">
        <is>
          <t>Source link</t>
        </is>
      </c>
    </row>
    <row r="2">
      <c r="A2" t="inlineStr">
        <is>
          <t>Forest Junction Energy Center</t>
        </is>
      </c>
      <c r="B2" s="55" t="inlineStr">
        <is>
          <t>https://dailyreporter.com/2026/08/31/invenergy-proposes-two-natural-gas-plants-calumet-county/</t>
        </is>
      </c>
    </row>
    <row r="3">
      <c r="A3" t="inlineStr">
        <is>
          <t>Forest Junction Energy Center</t>
        </is>
      </c>
      <c r="B3" s="55" t="inlineStr">
        <is>
          <t>https://fox11online.com/news/local/calumet-county-power-plant-proposed-energy-centers-town-of-brillion-power-megawatts-gigawatts-we-energies-invenergy-town-of-woodville-forest-junction-union-depot</t>
        </is>
      </c>
    </row>
    <row r="4">
      <c r="A4" t="inlineStr">
        <is>
          <t>Forest Junction Energy Center</t>
        </is>
      </c>
      <c r="B4" s="55" t="inlineStr">
        <is>
          <t>https://forestjunctionenergycenter.invenergy.com/</t>
        </is>
      </c>
    </row>
    <row r="5">
      <c r="A5" t="inlineStr">
        <is>
          <t>Forest Junction Energy Center</t>
        </is>
      </c>
      <c r="B5" s="55" t="inlineStr">
        <is>
          <t>https://www.nbc26.com/lakeshore/neighbors-push-back-against-proposed-natural-gas-facility-in-town-of-brillion</t>
        </is>
      </c>
    </row>
    <row r="6">
      <c r="A6" t="inlineStr">
        <is>
          <t>Orange County Advanced Power Station (OCAPS)</t>
        </is>
      </c>
      <c r="B6" s="55" t="inlineStr">
        <is>
          <t>https://www.click2houston.com/news/local/2026/10/14/entergy-texas-orange-county-advanced-power-station-now-delivering-power-to-southeast-texas/</t>
        </is>
      </c>
    </row>
    <row r="7">
      <c r="A7" t="inlineStr">
        <is>
          <t>Orange County Advanced Power Station (OCAPS)</t>
        </is>
      </c>
      <c r="B7" s="55" t="inlineStr">
        <is>
          <t>https://www.power-eng.com/gas/turbines/entergy-texas-1-2-gw-ccgt-plant-is-now-online/</t>
        </is>
      </c>
    </row>
    <row r="8">
      <c r="A8" t="inlineStr">
        <is>
          <t>Orange County Advanced Power Station (OCAPS)</t>
        </is>
      </c>
      <c r="B8" s="55" t="inlineStr">
        <is>
          <t>https://www.sargentlundy.com/projects/orange-county-advanced-power-station/</t>
        </is>
      </c>
    </row>
    <row r="9">
      <c r="A9" t="inlineStr">
        <is>
          <t>Vast Sands Power I (Vistra Permian Basin expansion)</t>
        </is>
      </c>
      <c r="B9" s="55" t="inlineStr">
        <is>
          <t>https://gov.texas.gov/news/post/governor-abbott-announces-texas-energy-fund-loan-for-860-mw-of-new-power-in-west-texas</t>
        </is>
      </c>
    </row>
    <row r="10">
      <c r="A10" t="inlineStr">
        <is>
          <t>Vast Sands Power I (Vistra Permian Basin expansion)</t>
        </is>
      </c>
      <c r="B10" s="55" t="inlineStr">
        <is>
          <t>https://investor.vistracorp.com/2025-09-29-Vistra-Announces-Plans-to-Build-New-Gas-Fueled-Dispatchable-Power-Units-in-the-Permian-Basin</t>
        </is>
      </c>
    </row>
    <row r="11">
      <c r="A11" t="inlineStr">
        <is>
          <t>Vast Sands Power I (Vistra Permian Basin expansion)</t>
        </is>
      </c>
      <c r="B11" s="55" t="inlineStr">
        <is>
          <t>https://www.gem.wiki/Permian_Power_power_station</t>
        </is>
      </c>
    </row>
    <row r="12">
      <c r="A12" t="inlineStr">
        <is>
          <t>Vast Sands Power I (Vistra Permian Basin expansion)</t>
        </is>
      </c>
      <c r="B12" s="55" t="inlineStr">
        <is>
          <t>https://www.tceq.texas.gov/downloads/permitting/air/bilingual/pending-permit-notices/178462-pls-english.pdf</t>
        </is>
      </c>
    </row>
    <row r="13">
      <c r="A13" t="inlineStr">
        <is>
          <t>Plant Yates Unit 9 (Yates CT Units 8-10)</t>
        </is>
      </c>
      <c r="B13" s="55" t="inlineStr">
        <is>
          <t>https://www.georgiapower.com/news-hub/press-releases/turbine-generator-unit-9-plant-yates.html</t>
        </is>
      </c>
    </row>
    <row r="14">
      <c r="A14" t="inlineStr">
        <is>
          <t>Plant Yates Unit 9 (Yates CT Units 8-10)</t>
        </is>
      </c>
      <c r="B14" s="55" t="inlineStr">
        <is>
          <t>https://www.energy.gov/sites/default/files/2026-07/20260622_EnvReview_Completion_Yates.pdf</t>
        </is>
      </c>
    </row>
    <row r="15">
      <c r="A15" t="inlineStr">
        <is>
          <t>Plant Yates Unit 9 (Yates CT Units 8-10)</t>
        </is>
      </c>
      <c r="B15" s="55" t="inlineStr">
        <is>
          <t>https://www.modernpowersystems.com/news/progress-at-1-3-gw-plant-yates-gas-fired-plant/</t>
        </is>
      </c>
    </row>
    <row r="16">
      <c r="A16" t="inlineStr">
        <is>
          <t>Ironwood Power Station</t>
        </is>
      </c>
      <c r="B16" s="55" t="inlineStr">
        <is>
          <t>https://www.entergy.com/news/entergy-arkansas-breaks-ground-on-ironwood-power-station</t>
        </is>
      </c>
    </row>
    <row r="17">
      <c r="A17" t="inlineStr">
        <is>
          <t>Ironwood Power Station</t>
        </is>
      </c>
      <c r="B17" s="55" t="inlineStr">
        <is>
          <t>https://www.modernpowersystems.com/news/entergy-arkansas-starts-construction-on-446-mw-ironwood-power-station/</t>
        </is>
      </c>
    </row>
    <row r="18">
      <c r="A18" t="inlineStr">
        <is>
          <t>Ironwood Power Station</t>
        </is>
      </c>
      <c r="B18" s="55" t="inlineStr">
        <is>
          <t>https://www.entergy.com/news/ironwood-power-plant-vendor-fair-for-arkansas-contractors-announced</t>
        </is>
      </c>
    </row>
    <row r="19">
      <c r="A19" t="inlineStr">
        <is>
          <t>Person County Combined Cycle 1 (CC1)</t>
        </is>
      </c>
      <c r="B19" s="55" t="inlineStr">
        <is>
          <t>https://zachrygroup.com/press-releases/Duke_Energy_Awards_EPC_Contract_for_the_first_Person_County_Combined_Cycle_Project_to_Zachry_Group.html</t>
        </is>
      </c>
    </row>
    <row r="20">
      <c r="A20" t="inlineStr">
        <is>
          <t>Person County Combined Cycle 1 (CC1)</t>
        </is>
      </c>
      <c r="B20" s="55" t="inlineStr">
        <is>
          <t>https://www.duke-energy.com/info/person</t>
        </is>
      </c>
    </row>
    <row r="21">
      <c r="A21" t="inlineStr">
        <is>
          <t>Person County Combined Cycle 1 (CC1)</t>
        </is>
      </c>
      <c r="B21" s="55" t="inlineStr">
        <is>
          <t>https://www.theassemblync.com/news/business/person-county-microsoft-data-center-nondisclosure-agreements/</t>
        </is>
      </c>
    </row>
    <row r="22">
      <c r="A22" t="inlineStr">
        <is>
          <t>Delta Blues Advanced Power Station</t>
        </is>
      </c>
      <c r="B22" s="55" t="inlineStr">
        <is>
          <t>https://www.power-eng.com/gas/combined-cycle/entergy-mississippi-breaks-ground-on-754-mw-combined-cycle-plant/</t>
        </is>
      </c>
    </row>
    <row r="23">
      <c r="A23" t="inlineStr">
        <is>
          <t>Delta Blues Advanced Power Station</t>
        </is>
      </c>
      <c r="B23" s="55" t="inlineStr">
        <is>
          <t>https://www.entergy.com/blog/delta-blues-reaches-important-milestone-in-construction</t>
        </is>
      </c>
    </row>
    <row r="24">
      <c r="A24" t="inlineStr">
        <is>
          <t>Delta Blues Advanced Power Station</t>
        </is>
      </c>
      <c r="B24" s="55" t="inlineStr">
        <is>
          <t>https://www.gem.wiki/Delta_Blues_Advanced_Power_Station</t>
        </is>
      </c>
    </row>
    <row r="25">
      <c r="A25" t="inlineStr">
        <is>
          <t>Delta Blues Advanced Power Station</t>
        </is>
      </c>
      <c r="B25" s="55" t="inlineStr">
        <is>
          <t>https://opcgis.deq.state.ms.us/ensearchonline/ai_info.aspx?ai=86260</t>
        </is>
      </c>
    </row>
    <row r="26">
      <c r="A26" t="inlineStr">
        <is>
          <t>Vicksburg Advanced Power Station</t>
        </is>
      </c>
      <c r="B26" s="55" t="inlineStr">
        <is>
          <t>https://www.entergymississippi.com/generation/vicksburg</t>
        </is>
      </c>
    </row>
    <row r="27">
      <c r="A27" t="inlineStr">
        <is>
          <t>Vicksburg Advanced Power Station</t>
        </is>
      </c>
      <c r="B27" s="55" t="inlineStr">
        <is>
          <t>https://www.powermag.com/entergy-mississippi-adding-third-gas-fired-power-plant-to-superpower-strategy/</t>
        </is>
      </c>
    </row>
    <row r="28">
      <c r="A28" t="inlineStr">
        <is>
          <t>Vicksburg Advanced Power Station</t>
        </is>
      </c>
      <c r="B28" s="55" t="inlineStr">
        <is>
          <t>https://www.datacenterdynamics.com/en/news/amazon-to-build-3bn-data-center-campus-in-vicksburg-mississippi/</t>
        </is>
      </c>
    </row>
    <row r="29">
      <c r="A29" t="inlineStr">
        <is>
          <t>Sycamore Riverside Energy Center</t>
        </is>
      </c>
      <c r="B29" s="55" t="inlineStr">
        <is>
          <t>https://www.aep.com/news/stories/view/11850/</t>
        </is>
      </c>
    </row>
    <row r="30">
      <c r="A30" t="inlineStr">
        <is>
          <t>Sycamore Riverside Energy Center</t>
        </is>
      </c>
      <c r="B30" s="55" t="inlineStr">
        <is>
          <t>https://sycamoreriverside.invenergy.com/about-project</t>
        </is>
      </c>
    </row>
    <row r="31">
      <c r="A31" t="inlineStr">
        <is>
          <t>Sycamore Riverside Energy Center</t>
        </is>
      </c>
      <c r="B31" s="55" t="inlineStr">
        <is>
          <t>https://www.pjm.com/pub/planning/project-queues/facilities/ab1087_fac.pdf</t>
        </is>
      </c>
    </row>
    <row r="32">
      <c r="A32" t="inlineStr">
        <is>
          <t>Sycamore Riverside Energy Center</t>
        </is>
      </c>
      <c r="B32" s="55" t="inlineStr">
        <is>
          <t>https://www.gem.wiki/Sycamore_Riverside_Energy_Center</t>
        </is>
      </c>
    </row>
    <row r="33">
      <c r="A33" t="inlineStr">
        <is>
          <t>Franklin Farms Power Station (Units 1 &amp; 2)</t>
        </is>
      </c>
      <c r="B33" s="55" t="inlineStr">
        <is>
          <t>https://www.entergy.com/news/entergy-louisiana-breaks-ground-on-new-state-of-the-art-generation-facilities-to-power-reliability-growth-and-innovation</t>
        </is>
      </c>
    </row>
    <row r="34">
      <c r="A34" t="inlineStr">
        <is>
          <t>Franklin Farms Power Station (Units 1 &amp; 2)</t>
        </is>
      </c>
      <c r="B34" s="55" t="inlineStr">
        <is>
          <t>https://www.ticus.com/entergy-program/</t>
        </is>
      </c>
    </row>
    <row r="35">
      <c r="A35" t="inlineStr">
        <is>
          <t>Franklin Farms Power Station (Units 1 &amp; 2)</t>
        </is>
      </c>
      <c r="B35" s="55" t="inlineStr">
        <is>
          <t>https://www.gem.wiki/Franklin_Farms_power_station</t>
        </is>
      </c>
    </row>
    <row r="36">
      <c r="A36" t="inlineStr">
        <is>
          <t>Franklin Farms Power Station (Units 1 &amp; 2)</t>
        </is>
      </c>
      <c r="B36" s="55" t="inlineStr">
        <is>
          <t>https://www.datacenterdynamics.com/en/news/entergy-breaks-ground-on-two-natural-gas-plants-for-metas-2gw-data-center-in-richland-parish-louisiana/</t>
        </is>
      </c>
    </row>
    <row r="37">
      <c r="A37" t="inlineStr">
        <is>
          <t>Waterford 5 Power Station</t>
        </is>
      </c>
      <c r="B37" s="55" t="inlineStr">
        <is>
          <t>https://www.entergylouisiana.com/waterford5-6</t>
        </is>
      </c>
    </row>
    <row r="38">
      <c r="A38" t="inlineStr">
        <is>
          <t>Waterford 5 Power Station</t>
        </is>
      </c>
      <c r="B38" s="55" t="inlineStr">
        <is>
          <t>https://www.interconnection.fyi/project/miso-e0029</t>
        </is>
      </c>
    </row>
    <row r="39">
      <c r="A39" t="inlineStr">
        <is>
          <t>Waterford 5 Power Station</t>
        </is>
      </c>
      <c r="B39" s="55" t="inlineStr">
        <is>
          <t>https://www.entergy.com/blog/the-dirt-on-dirt-from-digging-soil-to-boosting-louisianas-economy</t>
        </is>
      </c>
    </row>
    <row r="40">
      <c r="A40" t="inlineStr">
        <is>
          <t>AES Petersburg Unit 4 Repowered</t>
        </is>
      </c>
      <c r="B40" s="55" t="inlineStr">
        <is>
          <t>https://www.babcock.com/home/about/corporate/news/babcock-and-wilcox-receives-full-notice-to-proceed-on-246-million-contract-for-indiana-power-plant-coal-to-gas-fuel-switching-project</t>
        </is>
      </c>
    </row>
    <row r="41">
      <c r="A41" t="inlineStr">
        <is>
          <t>AES Petersburg Unit 4 Repowered</t>
        </is>
      </c>
      <c r="B41" s="55" t="inlineStr">
        <is>
          <t>https://www.cdmsmith.com/en/projects/aes-coal-to-gas</t>
        </is>
      </c>
    </row>
    <row r="42">
      <c r="A42" t="inlineStr">
        <is>
          <t>AES Petersburg Unit 4 Repowered</t>
        </is>
      </c>
      <c r="B42" s="55" t="inlineStr">
        <is>
          <t>https://aesindiana.com/press-release/aes-indiana-receives-approval-repower-remaining-petersburg-units-coal-natural-gas</t>
        </is>
      </c>
    </row>
    <row r="43">
      <c r="A43" t="inlineStr">
        <is>
          <t>Trumbull Energy Center</t>
        </is>
      </c>
      <c r="B43" s="55" t="inlineStr">
        <is>
          <t>https://www.tribtoday.com/news/local-news/2026/06/trumbull-energy-center-complete/</t>
        </is>
      </c>
    </row>
    <row r="44">
      <c r="A44" t="inlineStr">
        <is>
          <t>Trumbull Energy Center</t>
        </is>
      </c>
      <c r="B44" s="55" t="inlineStr">
        <is>
          <t>https://www.gemmapower.com/our-work/combined-cycle/trumbull-energy-center/</t>
        </is>
      </c>
    </row>
    <row r="45">
      <c r="A45" t="inlineStr">
        <is>
          <t>Trumbull Energy Center</t>
        </is>
      </c>
      <c r="B45" s="55" t="inlineStr">
        <is>
          <t>https://www.interconnection.fyi/project/pjm-ab1-105</t>
        </is>
      </c>
    </row>
    <row r="46">
      <c r="A46" t="inlineStr">
        <is>
          <t>Socrates South Power Generation</t>
        </is>
      </c>
      <c r="B46" s="55" t="inlineStr">
        <is>
          <t>https://www.sec.gov/Archives/edgar/data/0000107263/000010726326000026/wmb-20260630.htm</t>
        </is>
      </c>
    </row>
    <row r="47">
      <c r="A47" t="inlineStr">
        <is>
          <t>Socrates South Power Generation</t>
        </is>
      </c>
      <c r="B47" s="55" t="inlineStr">
        <is>
          <t>https://www.power-eng.com/onsite-power/onsite-gas-turbines-reciprocating-engines-to-power-meta-data-center/</t>
        </is>
      </c>
    </row>
    <row r="48">
      <c r="A48" t="inlineStr">
        <is>
          <t>Socrates South Power Generation</t>
        </is>
      </c>
      <c r="B48" s="55" t="inlineStr">
        <is>
          <t>https://www.williams.com/wp-content/uploads/sites/14/2026/02/Socrates-North-and-South-Fact-Sheet-1.pdf</t>
        </is>
      </c>
    </row>
    <row r="49">
      <c r="A49" t="inlineStr">
        <is>
          <t>Socrates North Power Generation</t>
        </is>
      </c>
      <c r="B49" s="55" t="inlineStr">
        <is>
          <t>https://opsb.ohio.gov/cases/25-0188-el-bgn</t>
        </is>
      </c>
    </row>
    <row r="50">
      <c r="A50" t="inlineStr">
        <is>
          <t>Socrates North Power Generation</t>
        </is>
      </c>
      <c r="B50" s="55" t="inlineStr">
        <is>
          <t>https://investor.williams.com/news-releases/news-release-details/williams-delivers-strong-second-quarter-2026-results-announces</t>
        </is>
      </c>
    </row>
    <row r="51">
      <c r="A51" t="inlineStr">
        <is>
          <t>Homer City Energy Campus</t>
        </is>
      </c>
      <c r="B51" s="55" t="inlineStr">
        <is>
          <t>https://www.businesswire.com/news/home/20260401716982/en/Homer-City-Redevelopment-Crosses-the-First-Steel-Threshold</t>
        </is>
      </c>
    </row>
    <row r="52">
      <c r="A52" t="inlineStr">
        <is>
          <t>Homer City Energy Campus</t>
        </is>
      </c>
      <c r="B52" s="55" t="inlineStr">
        <is>
          <t>https://www.gevernova.com/news/press-releases/homer-city-redevelopment-kiewit-announce-country-largest-natural-gas-powered-data-center-support-ai-hpc-demand</t>
        </is>
      </c>
    </row>
    <row r="53">
      <c r="A53" t="inlineStr">
        <is>
          <t>Homer City Energy Campus</t>
        </is>
      </c>
      <c r="B53" s="55" t="inlineStr">
        <is>
          <t>https://marcellusdrilling.com/2026/10/homer-city-update-first-turbine-set-amazon-plan-now-under-review/</t>
        </is>
      </c>
    </row>
    <row r="54">
      <c r="A54" t="inlineStr">
        <is>
          <t>Sandow Lakes Energy Station</t>
        </is>
      </c>
      <c r="B54" s="55" t="inlineStr">
        <is>
          <t>https://www.businesswire.com/news/home/20250206210188/en/Argan-Inc.s-Gemma-Power-Systems-Executes-EPC-Contract-for-a-1.2-GW-Power-Project-in-Texas</t>
        </is>
      </c>
    </row>
    <row r="55">
      <c r="A55" t="inlineStr">
        <is>
          <t>Sandow Lakes Energy Station</t>
        </is>
      </c>
      <c r="B55" s="55" t="inlineStr">
        <is>
          <t>https://www.powermag.com/new-1-2-gw-natural-gas-fired-plant-announced-for-texas/</t>
        </is>
      </c>
    </row>
    <row r="56">
      <c r="A56" t="inlineStr">
        <is>
          <t>Sandow Lakes Energy Station</t>
        </is>
      </c>
      <c r="B56" s="55" t="inlineStr">
        <is>
          <t>https://interchange.puc.texas.gov/Documents/56455_62_1398423.PDF</t>
        </is>
      </c>
    </row>
    <row r="57">
      <c r="A57" t="inlineStr">
        <is>
          <t>Wolf Summit Energy Center</t>
        </is>
      </c>
      <c r="B57" s="55" t="inlineStr">
        <is>
          <t>https://www.businesswire.com/news/home/20260422186042/en/Kindle-Energy-Breaks-Ground-on-Blackstone-Backed-$1.2-Billion-Natural-Gas-Power-Generation-Facility-in-West-Virginia</t>
        </is>
      </c>
    </row>
    <row r="58">
      <c r="A58" t="inlineStr">
        <is>
          <t>Wolf Summit Energy Center</t>
        </is>
      </c>
      <c r="B58" s="55" t="inlineStr">
        <is>
          <t>https://wolf-summit.com/</t>
        </is>
      </c>
    </row>
    <row r="59">
      <c r="A59" t="inlineStr">
        <is>
          <t>Wolf Summit Energy Center</t>
        </is>
      </c>
      <c r="B59" s="55" t="inlineStr">
        <is>
          <t>https://www.powermag.com/blackstone-investing-1-2-billion-for-600-mw-gas-fired-plant-in-west-virginia/</t>
        </is>
      </c>
    </row>
    <row r="60">
      <c r="A60" t="inlineStr">
        <is>
          <t>Cedar Bayou Unit 5</t>
        </is>
      </c>
      <c r="B60" s="55" t="inlineStr">
        <is>
          <t>https://gov.texas.gov/news/post/governor-abbott-announces-texas-energy-fund-loan-to-721-mw-natural-gas-facility-in-southeast-texas</t>
        </is>
      </c>
    </row>
    <row r="61">
      <c r="A61" t="inlineStr">
        <is>
          <t>Cedar Bayou Unit 5</t>
        </is>
      </c>
      <c r="B61" s="55" t="inlineStr">
        <is>
          <t>https://www.utilitydive.com/news/nrg-close-to-completing-415-mw-gas-plant-backed-by-texas-energy-fund/819587/</t>
        </is>
      </c>
    </row>
    <row r="62">
      <c r="A62" t="inlineStr">
        <is>
          <t>Cedar Bayou Unit 5</t>
        </is>
      </c>
      <c r="B62" s="55" t="inlineStr">
        <is>
          <t>https://www.texastribune.org/2025/09/26/texas-energy-fund-loan-nrg-baytown</t>
        </is>
      </c>
    </row>
    <row r="63">
      <c r="A63" t="inlineStr">
        <is>
          <t>CPV Basin Ranch Energy Center</t>
        </is>
      </c>
      <c r="B63" s="55" t="inlineStr">
        <is>
          <t>https://cpv.com/2025/11/20/cpv-basin-ranch-energy-center-breaks-ground-in-ward-county-texas/</t>
        </is>
      </c>
    </row>
    <row r="64">
      <c r="A64" t="inlineStr">
        <is>
          <t>CPV Basin Ranch Energy Center</t>
        </is>
      </c>
      <c r="B64" s="55" t="inlineStr">
        <is>
          <t>https://www.businesswire.com/news/home/20251030500209/en/Argan-Inc.s-Gemma-Power-Systems-Receives-Full-Notice-to-Proceed-on-EPC-Contract-for-1350-MW-Combined-Cycle-Power-Plant-in-Texas</t>
        </is>
      </c>
    </row>
    <row r="65">
      <c r="A65" t="inlineStr">
        <is>
          <t>CPV Basin Ranch Energy Center</t>
        </is>
      </c>
      <c r="B65" s="55" t="inlineStr">
        <is>
          <t>https://cpv.com/our-fleet/cpv-basin-ranch-energy-center/</t>
        </is>
      </c>
    </row>
    <row r="66">
      <c r="A66" t="inlineStr">
        <is>
          <t>CPV Shay Energy Center</t>
        </is>
      </c>
      <c r="B66" s="55" t="inlineStr">
        <is>
          <t>https://cpv.com/our-fleet/cpv-shay-energy-center/</t>
        </is>
      </c>
    </row>
    <row r="67">
      <c r="A67" t="inlineStr">
        <is>
          <t>CPV Shay Energy Center</t>
        </is>
      </c>
      <c r="B67" s="55" t="inlineStr">
        <is>
          <t>https://cpv.com/2026/08/12/cpv-secures-10-year-gas-netback-with-eqt-to-supply-2-gw-cpv-shay-energy-center/</t>
        </is>
      </c>
    </row>
    <row r="68">
      <c r="A68" t="inlineStr">
        <is>
          <t>CPV Shay Energy Center</t>
        </is>
      </c>
      <c r="B68" s="55" t="inlineStr">
        <is>
          <t>https://cpv.com/wp-content/uploads/2026/03/CPV-Shay-Energy-Center-Project-Fact-Sheet-March-2026-1.pdf</t>
        </is>
      </c>
    </row>
    <row r="69">
      <c r="A69" t="inlineStr">
        <is>
          <t>CPV Clean Energy Future - Oregon (Oregon Energy Center)</t>
        </is>
      </c>
      <c r="B69" s="55" t="inlineStr">
        <is>
          <t>https://opsb.ohio.gov/news/opsb-extends-certificate-for-lucas-county-natural-gas-fired-power-plant</t>
        </is>
      </c>
    </row>
    <row r="70">
      <c r="A70" t="inlineStr">
        <is>
          <t>CPV Clean Energy Future - Oregon (Oregon Energy Center)</t>
        </is>
      </c>
      <c r="B70" s="55" t="inlineStr">
        <is>
          <t>https://www.presspublications.com/stories/natural-gas-power-plant-oregon-ohio-reliability-resource-initiative-pjm,58407</t>
        </is>
      </c>
    </row>
    <row r="71">
      <c r="A71" t="inlineStr">
        <is>
          <t>CPV Clean Energy Future - Oregon (Oregon Energy Center)</t>
        </is>
      </c>
      <c r="B71" s="55" t="inlineStr">
        <is>
          <t>https://www.recordherald.com/2026/05/04/cpv-walker-energy-center-begins-state-review-for-new-power-plant/</t>
        </is>
      </c>
    </row>
    <row r="72">
      <c r="A72" t="inlineStr">
        <is>
          <t>Lincoln Land Energy Center (LLEC)</t>
        </is>
      </c>
      <c r="B72" s="55" t="inlineStr">
        <is>
          <t>https://emberclear.com/lincoln-land-2/</t>
        </is>
      </c>
    </row>
    <row r="73">
      <c r="A73" t="inlineStr">
        <is>
          <t>Lincoln Land Energy Center (LLEC)</t>
        </is>
      </c>
      <c r="B73" s="55" t="inlineStr">
        <is>
          <t>https://www.illinoistimes.com/news/data-center-development-linked-to-power-plant-construction/</t>
        </is>
      </c>
    </row>
    <row r="74">
      <c r="A74" t="inlineStr">
        <is>
          <t>Lincoln Land Energy Center (LLEC)</t>
        </is>
      </c>
      <c r="B74" s="55" t="inlineStr">
        <is>
          <t>https://www.springfieldbusinessjournal.com/news/data-center-developer-abandons-plans-for-christian-county/</t>
        </is>
      </c>
    </row>
    <row r="75">
      <c r="A75" t="inlineStr">
        <is>
          <t>Project Kilby (Chevron West Texas Power)</t>
        </is>
      </c>
      <c r="B75" s="55" t="inlineStr">
        <is>
          <t>https://www.chevron.com/newsroom/2026/q2/chevron-signs-20-year-power-agreement-with-microsoft-for-west-texas-data-center</t>
        </is>
      </c>
    </row>
    <row r="76">
      <c r="A76" t="inlineStr">
        <is>
          <t>Project Kilby (Chevron West Texas Power)</t>
        </is>
      </c>
      <c r="B76" s="55" t="inlineStr">
        <is>
          <t>https://www.tceq.texas.gov/downloads/permitting/air/bilingual/pending-permit-notices/181895-pls-english.pdf</t>
        </is>
      </c>
    </row>
    <row r="77">
      <c r="A77" t="inlineStr">
        <is>
          <t>Project Kilby (Chevron West Texas Power)</t>
        </is>
      </c>
      <c r="B77" s="55" t="inlineStr">
        <is>
          <t>https://blogs.microsoft.com/blog/2026/06/22/powering-the-next-wave-of-ai-expanding-capacity-with-our-new-datacenter-in-pecos/</t>
        </is>
      </c>
    </row>
    <row r="78">
      <c r="A78" t="inlineStr">
        <is>
          <t>Shippingport Power Station Phase II</t>
        </is>
      </c>
      <c r="B78" s="55" t="inlineStr">
        <is>
          <t>https://frontier-companies.com/shippingport-power-station-featured-in-energy-oil-gas-magazine/</t>
        </is>
      </c>
    </row>
    <row r="79">
      <c r="A79" t="inlineStr">
        <is>
          <t>Shippingport Power Station Phase II</t>
        </is>
      </c>
      <c r="B79" s="55" t="inlineStr">
        <is>
          <t>https://www.businesswire.com/news/home/20250715103342/en/The-Frontier-Group-of-Companies-to-Transform-Bruce-Mansfield-Power-Plant-into-State-of-the-Art-Natural-Gas-Power-Plant-Supporting-Americas-Energy-Goals-and-Pennsylvanias-Economic-Growth</t>
        </is>
      </c>
    </row>
    <row r="80">
      <c r="A80" t="inlineStr">
        <is>
          <t>Shippingport Power Station Phase II</t>
        </is>
      </c>
      <c r="B80" s="55" t="inlineStr">
        <is>
          <t>https://aligneddc.com/press-release/project-phoenix-data-center-shippingport-pa/</t>
        </is>
      </c>
    </row>
    <row r="81">
      <c r="A81" t="inlineStr">
        <is>
          <t>VPN 4420 Natural Gas Generation Component</t>
        </is>
      </c>
      <c r="B81" s="55" t="inlineStr">
        <is>
          <t>https://comptroller.texas.gov/economy/development/prop-tax/ch313/agreement-docs-details.php?id=1993</t>
        </is>
      </c>
    </row>
    <row r="82">
      <c r="A82" t="inlineStr">
        <is>
          <t>VPN 4420 Natural Gas Generation Component</t>
        </is>
      </c>
      <c r="B82" s="55" t="inlineStr">
        <is>
          <t>https://assets.comptroller.texas.gov/ch313/1993/1993-pecos-vpn-agmt.pdf</t>
        </is>
      </c>
    </row>
    <row r="83">
      <c r="A83" t="inlineStr">
        <is>
          <t>Forest Junction Energy Center</t>
        </is>
      </c>
      <c r="B83" s="55" t="inlineStr">
        <is>
          <t>https://forestjunctionenergycenter.invenergy.com/news-and-resources</t>
        </is>
      </c>
    </row>
    <row r="84">
      <c r="A84" t="inlineStr">
        <is>
          <t>Forest Junction Energy Center</t>
        </is>
      </c>
      <c r="B84" s="55" t="inlineStr">
        <is>
          <t>https://apps.dnr.wi.gov/warp_ext/am_permittracking2.aspx?id=38822</t>
        </is>
      </c>
    </row>
    <row r="85">
      <c r="A85" t="inlineStr">
        <is>
          <t>Orange County Advanced Power Station (OCAPS)</t>
        </is>
      </c>
      <c r="B85" s="55" t="inlineStr">
        <is>
          <t>https://www.entergy.com/news/entergy-texas-orange-county-advanced-power-station-begins-delivering-reliable-power-to-southeast-texas</t>
        </is>
      </c>
    </row>
    <row r="86">
      <c r="A86" t="inlineStr">
        <is>
          <t>Orange County Advanced Power Station (OCAPS)</t>
        </is>
      </c>
      <c r="B86" s="55" t="inlineStr">
        <is>
          <t>https://supplier.entergy.com/psc/supprd/SUPPLIER/ERP/c/SCP_PUBLIC_MENU_FL.SCP_PUB_FAQ_CMP_FL.GBL</t>
        </is>
      </c>
    </row>
    <row r="87">
      <c r="A87" t="inlineStr">
        <is>
          <t>Vast Sands Power I (Vistra Permian Basin expansion)</t>
        </is>
      </c>
      <c r="B87" s="55" t="inlineStr">
        <is>
          <t>https://hub.vistracorp.com/vistra-announces-plans-to-build-new-dispatchable-generation-in-texas/</t>
        </is>
      </c>
    </row>
    <row r="88">
      <c r="A88" t="inlineStr">
        <is>
          <t>Vast Sands Power I (Vistra Permian Basin expansion)</t>
        </is>
      </c>
      <c r="B88" s="55" t="inlineStr">
        <is>
          <t>https://vistracorp.com/supply-chain/how-do-we-source/ | https://vistracorp.com/supply-chain/faq/</t>
        </is>
      </c>
    </row>
    <row r="89">
      <c r="A89" t="inlineStr">
        <is>
          <t>Plant Yates Unit 9 (Yates CT Units 8-10)</t>
        </is>
      </c>
      <c r="B89" s="55" t="inlineStr">
        <is>
          <t>https://www.southerncompany.com/contact-us.html</t>
        </is>
      </c>
    </row>
    <row r="90">
      <c r="A90" t="inlineStr">
        <is>
          <t>Ironwood Power Station</t>
        </is>
      </c>
      <c r="B90" s="55" t="inlineStr">
        <is>
          <t>https://supplier.entergy.com/psc/supprd/SUPPLIER/ERP/c/SCP_PUBLIC_MENU_FL.SCP_PUB_FAQ_CMP_FL.GBL</t>
        </is>
      </c>
    </row>
    <row r="91">
      <c r="A91" t="inlineStr">
        <is>
          <t>Ironwood Power Station</t>
        </is>
      </c>
      <c r="B91" s="55" t="inlineStr">
        <is>
          <t>https://s201.q4cdn.com/714390239/files/doc_presentations/2026/Jun/09/Entergy-2026-Investor-Day.pdf</t>
        </is>
      </c>
    </row>
    <row r="92">
      <c r="A92" t="inlineStr">
        <is>
          <t>Person County Combined Cycle 1 (CC1)</t>
        </is>
      </c>
      <c r="B92" s="55" t="inlineStr">
        <is>
          <t>https://zachrygroup.com/procurement</t>
        </is>
      </c>
    </row>
    <row r="93">
      <c r="A93" t="inlineStr">
        <is>
          <t>Delta Blues Advanced Power Station</t>
        </is>
      </c>
      <c r="B93" s="55" t="inlineStr">
        <is>
          <t>https://supplier.entergy.com/psc/supprd/SUPPLIER/ERP/c/SCP_PUBLIC_MENU_FL.SCP_PUB_FAQ_CMP_FL.GBL</t>
        </is>
      </c>
    </row>
    <row r="94">
      <c r="A94" t="inlineStr">
        <is>
          <t>Vicksburg Advanced Power Station</t>
        </is>
      </c>
      <c r="B94" s="55" t="inlineStr">
        <is>
          <t>https://supplier.entergy.com/psc/supprd/SUPPLIER/ERP/c/SCP_PUBLIC_MENU_FL.SCP_PUB_FAQ_CMP_FL.GBL</t>
        </is>
      </c>
    </row>
    <row r="95">
      <c r="A95" t="inlineStr">
        <is>
          <t>Sycamore Riverside Energy Center</t>
        </is>
      </c>
      <c r="B95" s="55" t="inlineStr">
        <is>
          <t>https://sycamoreriverside.invenergy.com/contact-us</t>
        </is>
      </c>
    </row>
    <row r="96">
      <c r="A96" t="inlineStr">
        <is>
          <t>Franklin Farms Power Station (Units 1 &amp; 2)</t>
        </is>
      </c>
      <c r="B96" s="55" t="inlineStr">
        <is>
          <t>https://supplier.entergy.com/psc/supprd/SUPPLIER/ERP/c/SCP_PUBLIC_MENU_FL.SCP_PUB_FAQ_CMP_FL.GBL</t>
        </is>
      </c>
    </row>
    <row r="97">
      <c r="A97" t="inlineStr">
        <is>
          <t>Franklin Farms Power Station (Units 1 &amp; 2)</t>
        </is>
      </c>
      <c r="B97" s="55" t="inlineStr">
        <is>
          <t>https://s201.q4cdn.com/714390239/files/doc_presentations/2026/Jun/09/Entergy-2026-Investor-Day.pdf</t>
        </is>
      </c>
    </row>
    <row r="98">
      <c r="A98" t="inlineStr">
        <is>
          <t>Waterford 5 Power Station</t>
        </is>
      </c>
      <c r="B98" s="55" t="inlineStr">
        <is>
          <t>https://supplier.entergy.com/psc/supprd/SUPPLIER/ERP/c/SCP_PUBLIC_MENU_FL.SCP_PUB_FAQ_CMP_FL.GBL</t>
        </is>
      </c>
    </row>
    <row r="99">
      <c r="A99" t="inlineStr">
        <is>
          <t>Waterford 5 Power Station</t>
        </is>
      </c>
      <c r="B99" s="55" t="inlineStr">
        <is>
          <t>https://s201.q4cdn.com/714390239/files/doc_presentations/2026/Jun/09/Entergy-2026-Investor-Day.pdf</t>
        </is>
      </c>
    </row>
    <row r="100">
      <c r="A100" t="inlineStr">
        <is>
          <t>Vast Sands Power I (Vistra Permian Basin expansion)</t>
        </is>
      </c>
      <c r="B100" s="55" t="inlineStr">
        <is>
          <t>https://vistracorp.com/supply-chain/how-do-we-source/</t>
        </is>
      </c>
    </row>
    <row r="101">
      <c r="A101" t="inlineStr">
        <is>
          <t>Vast Sands Power I (Vistra Permian Basin expansion)</t>
        </is>
      </c>
      <c r="B101" s="55" t="inlineStr">
        <is>
          <t>https://vistracorp.com/supply-chain/faq/</t>
        </is>
      </c>
    </row>
    <row r="102">
      <c r="A102" t="inlineStr">
        <is>
          <t>Plant Yates Unit 9 (Yates CT Units 8-10)</t>
        </is>
      </c>
      <c r="B102" s="55" t="inlineStr">
        <is>
          <t>https://d18rn0p25nwr6d.cloudfront.net/CIK-0000092122/32961fa3-bbf4-4ea2-8851-611fe309e97e.pdf</t>
        </is>
      </c>
    </row>
    <row r="103">
      <c r="A103" t="inlineStr">
        <is>
          <t>Plant Yates Unit 9 (Yates CT Units 8-10)</t>
        </is>
      </c>
      <c r="B103" s="55" t="inlineStr">
        <is>
          <t>https://cdn.bfldr.com/E1EVDN8O/at/bz4ct6npstkxw48b6n9zm9j8/Oracle_Cloud_Azure_MFA_Registration_Step_Guide_19Jun2024.pdf</t>
        </is>
      </c>
    </row>
    <row r="104">
      <c r="A104" t="inlineStr">
        <is>
          <t>Plant Yates Unit 9 (Yates CT Units 8-10)</t>
        </is>
      </c>
      <c r="B104" s="55" t="inlineStr">
        <is>
          <t>https://www.bv.com/en-US/contact-us</t>
        </is>
      </c>
    </row>
    <row r="105">
      <c r="A105" t="inlineStr">
        <is>
          <t>Plant Yates Unit 9 (Yates CT Units 8-10)</t>
        </is>
      </c>
      <c r="B105" s="55" t="inlineStr">
        <is>
          <t>https://www.bv.com/en-US/suppliers</t>
        </is>
      </c>
    </row>
    <row r="106">
      <c r="A106" t="inlineStr">
        <is>
          <t>Person County Combined Cycle 1 (CC1)</t>
        </is>
      </c>
      <c r="B106" s="55" t="inlineStr">
        <is>
          <t>https://zachrygroup.com/about</t>
        </is>
      </c>
    </row>
    <row r="107">
      <c r="A107" t="inlineStr">
        <is>
          <t>AES Petersburg Unit 4 Repowered</t>
        </is>
      </c>
      <c r="B107" s="55" t="inlineStr">
        <is>
          <t>https://www.aesindiana.com/pike-county</t>
        </is>
      </c>
    </row>
    <row r="108">
      <c r="A108" t="inlineStr">
        <is>
          <t>AES Petersburg Unit 4 Repowered</t>
        </is>
      </c>
      <c r="B108" s="55" t="inlineStr">
        <is>
          <t>https://www.babcock.com/contact-us</t>
        </is>
      </c>
    </row>
    <row r="109">
      <c r="A109" t="inlineStr">
        <is>
          <t>Trumbull Energy Center</t>
        </is>
      </c>
      <c r="B109" s="55" t="inlineStr">
        <is>
          <t>https://www.trumbullenergycenter.com/</t>
        </is>
      </c>
    </row>
    <row r="110">
      <c r="A110" t="inlineStr">
        <is>
          <t>Trumbull Energy Center</t>
        </is>
      </c>
      <c r="B110" s="55" t="inlineStr">
        <is>
          <t>https://org-www.hanwha.com/newsroom/news/press-releases/hanwha-power-enters-us-market-with-successful-commissioning-of-trumbull-energy-center-combined-cycle-gas-turbine-power-plant.do</t>
        </is>
      </c>
    </row>
    <row r="111">
      <c r="A111" t="inlineStr">
        <is>
          <t>Socrates South Power Generation</t>
        </is>
      </c>
      <c r="B111" s="55" t="inlineStr">
        <is>
          <t>https://www.williams.com/expansion-project/socrates-power-solution-facilities/</t>
        </is>
      </c>
    </row>
    <row r="112">
      <c r="A112" t="inlineStr">
        <is>
          <t>Socrates South Power Generation</t>
        </is>
      </c>
      <c r="B112" s="55" t="inlineStr">
        <is>
          <t>https://investor.williams.com/static-files/dde1b8eb-5802-4e4c-aa89-84c4d8611d56</t>
        </is>
      </c>
    </row>
    <row r="113">
      <c r="A113" t="inlineStr">
        <is>
          <t>Homer City Energy Campus</t>
        </is>
      </c>
      <c r="B113" s="55" t="inlineStr">
        <is>
          <t>https://www.homercityredevelopment.com/faq</t>
        </is>
      </c>
    </row>
    <row r="114">
      <c r="A114" t="inlineStr">
        <is>
          <t>Sandow Lakes Energy Station</t>
        </is>
      </c>
      <c r="B114" s="55" t="inlineStr">
        <is>
          <t>https://slectx.com/argan-inc-gemma-electrify-tx/</t>
        </is>
      </c>
    </row>
    <row r="115">
      <c r="A115" t="inlineStr">
        <is>
          <t>Sandow Lakes Energy Station</t>
        </is>
      </c>
      <c r="B115" s="55" t="inlineStr">
        <is>
          <t>https://xebecrealty.com/leadership/gretchen-kendrick/</t>
        </is>
      </c>
    </row>
    <row r="116">
      <c r="A116" t="inlineStr">
        <is>
          <t>Sandow Lakes Energy Station</t>
        </is>
      </c>
      <c r="B116" s="55" t="inlineStr">
        <is>
          <t>https://www.tceq.texas.gov/downloads/agency/decisions/hearings/notices/2025/2025-04-24-sl-energy-power-plant-i-177380-pm.pdf</t>
        </is>
      </c>
    </row>
    <row r="117">
      <c r="A117" t="inlineStr">
        <is>
          <t>Sandow Lakes Energy Station</t>
        </is>
      </c>
      <c r="B117" s="55" t="inlineStr">
        <is>
          <t>https://www.tceq.texas.gov/downloads/agency/decisions/agendas/backup/2025/2025-1310-air-picr.pdf</t>
        </is>
      </c>
    </row>
    <row r="118">
      <c r="A118" t="inlineStr">
        <is>
          <t>Wolf Summit Energy Center</t>
        </is>
      </c>
      <c r="B118" s="55" t="inlineStr">
        <is>
          <t>https://kindle-energy.com/case-studies/wolf-summit</t>
        </is>
      </c>
    </row>
    <row r="119">
      <c r="A119" t="inlineStr">
        <is>
          <t>Cedar Bayou Unit 5</t>
        </is>
      </c>
      <c r="B119" s="55" t="inlineStr">
        <is>
          <t>https://investors.nrg.com/static-files/166760ef-79e6-4985-b776-09660ed84ae9</t>
        </is>
      </c>
    </row>
    <row r="120">
      <c r="A120" t="inlineStr">
        <is>
          <t>Cedar Bayou Unit 5</t>
        </is>
      </c>
      <c r="B120" s="55" t="inlineStr">
        <is>
          <t>https://www.tdlr.texas.gov/TABS/Search/Print/TABS2026016466</t>
        </is>
      </c>
    </row>
    <row r="121">
      <c r="A121" t="inlineStr">
        <is>
          <t>Cedar Bayou Unit 5</t>
        </is>
      </c>
      <c r="B121" s="55" t="inlineStr">
        <is>
          <t>https://www.nrg.com/assets/documents/case-studies/elbow-battery/2021-operation-phase-annual-report.pdf</t>
        </is>
      </c>
    </row>
    <row r="122">
      <c r="A122" t="inlineStr">
        <is>
          <t>CPV Basin Ranch Energy Center</t>
        </is>
      </c>
      <c r="B122" s="55" t="inlineStr">
        <is>
          <t>https://cpv.com/2025/10/30/cpv-basin-ranch-and-texas-energy-fund-ink-deal-for-1350-mw-ercot-project/</t>
        </is>
      </c>
    </row>
    <row r="123">
      <c r="A123" t="inlineStr">
        <is>
          <t>CPV Basin Ranch Energy Center</t>
        </is>
      </c>
      <c r="B123" s="55" t="inlineStr">
        <is>
          <t>https://www.gemmapower.com/contact/</t>
        </is>
      </c>
    </row>
    <row r="124">
      <c r="A124" t="inlineStr">
        <is>
          <t>CPV Basin Ranch Energy Center</t>
        </is>
      </c>
      <c r="B124" s="55" t="inlineStr">
        <is>
          <t>https://cpv.com/contact-us/</t>
        </is>
      </c>
    </row>
    <row r="125">
      <c r="A125" t="inlineStr">
        <is>
          <t>CPV Clean Energy Future - Oregon (Oregon Energy Center)</t>
        </is>
      </c>
      <c r="B125" s="55" t="inlineStr">
        <is>
          <t>https://www.sec.gov/Archives/edgar/data/1611005/000117891326001842/zk2634883.htm</t>
        </is>
      </c>
    </row>
    <row r="126">
      <c r="A126" t="inlineStr">
        <is>
          <t>CPV Clean Energy Future - Oregon (Oregon Energy Center)</t>
        </is>
      </c>
      <c r="B126" s="55" t="inlineStr">
        <is>
          <t>https://www.sec.gov/Archives/edgar/data/1611005/000117891325003891/exhibit_99-1.htm</t>
        </is>
      </c>
    </row>
    <row r="127">
      <c r="A127" t="inlineStr">
        <is>
          <t>Lincoln Land Energy Center (LLEC)</t>
        </is>
      </c>
      <c r="B127" s="55" t="inlineStr">
        <is>
          <t>https://www.thriveinspi.org/resources/a6e96b79-67aa-448a-8fd1-54b1f1430d3a/llec%20fact%20sheet.pdf?trackid=llec+fact+sheet.pdf</t>
        </is>
      </c>
    </row>
    <row r="128">
      <c r="A128" t="inlineStr">
        <is>
          <t>Lincoln Land Energy Center (LLEC)</t>
        </is>
      </c>
      <c r="B128" s="55" t="inlineStr">
        <is>
          <t>https://emberclear.com/about-us/</t>
        </is>
      </c>
    </row>
    <row r="129">
      <c r="A129" t="inlineStr">
        <is>
          <t>Project Kilby (Chevron West Texas Power)</t>
        </is>
      </c>
      <c r="B129" s="55" t="inlineStr">
        <is>
          <t>https://kilby.com/project/</t>
        </is>
      </c>
    </row>
    <row r="130">
      <c r="A130" t="inlineStr">
        <is>
          <t>Project Kilby (Chevron West Texas Power)</t>
        </is>
      </c>
      <c r="B130" s="55" t="inlineStr">
        <is>
          <t>https://www.bechtel.com/wp-content/uploads/2026/05/5.18.26-Project-Opportunity-Report.pdf</t>
        </is>
      </c>
    </row>
    <row r="131">
      <c r="A131" t="inlineStr">
        <is>
          <t>Shippingport Power Station Phase II</t>
        </is>
      </c>
      <c r="B131" s="55" t="inlineStr">
        <is>
          <t>https://frontier-companies.com/shippingport-industrial-park/</t>
        </is>
      </c>
    </row>
    <row r="132">
      <c r="A132" t="inlineStr">
        <is>
          <t>Shippingport Power Station Phase II</t>
        </is>
      </c>
      <c r="B132" s="55" t="inlineStr">
        <is>
          <t>https://frontier-companies.com/frontier-group-of-companies-welcomes-senator-dave-mccormick-to-shippingport-industrial-park/</t>
        </is>
      </c>
    </row>
    <row r="133">
      <c r="A133" t="inlineStr">
        <is>
          <t>Shippingport Power Station Phase II</t>
        </is>
      </c>
      <c r="B133" s="55" t="inlineStr">
        <is>
          <t>https://frontier-companies.com/contact-us/</t>
        </is>
      </c>
    </row>
    <row r="134">
      <c r="A134" t="inlineStr">
        <is>
          <t>VPN 4420 Natural Gas Generation Component</t>
        </is>
      </c>
      <c r="B134" s="55" t="inlineStr">
        <is>
          <t>https://assets.comptroller.texas.gov/dat/ch313/1993/01993-772-2024-0812-MCA-195901-PBT.pdf</t>
        </is>
      </c>
    </row>
    <row r="135">
      <c r="A135" t="inlineStr">
        <is>
          <t>VPN 4420 Natural Gas Generation Component</t>
        </is>
      </c>
      <c r="B135" s="55" t="inlineStr">
        <is>
          <t>https://assets.comptroller.texas.gov/ch313/1993/1993-pecos-vpn-app.pdf</t>
        </is>
      </c>
    </row>
    <row r="136">
      <c r="A136" t="inlineStr">
        <is>
          <t>Project Kilby (Chevron West Texas Power)</t>
        </is>
      </c>
      <c r="B136" s="55" t="inlineStr">
        <is>
          <t>https://kilby.com/contact/</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42" customWidth="1" min="1" max="1"/>
    <col width="30" customWidth="1" min="2" max="2"/>
    <col width="44" customWidth="1" min="3" max="3"/>
    <col width="30" customWidth="1" min="4" max="4"/>
    <col width="36" customWidth="1" min="5" max="5"/>
    <col width="34" customWidth="1" min="6" max="6"/>
    <col width="70" customWidth="1" min="7" max="7"/>
    <col width="24" customWidth="1" min="8" max="8"/>
    <col width="30" customWidth="1" min="9" max="9"/>
    <col width="18" customWidth="1" min="10" max="10"/>
    <col width="50" customWidth="1" min="11" max="11"/>
    <col width="50" customWidth="1" min="12" max="12"/>
    <col width="12" customWidth="1" min="13" max="13"/>
  </cols>
  <sheetData>
    <row r="1">
      <c r="A1" s="53" t="inlineStr">
        <is>
          <t>Project</t>
        </is>
      </c>
      <c r="B1" s="53" t="inlineStr">
        <is>
          <t>Name</t>
        </is>
      </c>
      <c r="C1" s="53" t="inlineStr">
        <is>
          <t>Title</t>
        </is>
      </c>
      <c r="D1" s="53" t="inlineStr">
        <is>
          <t>Organization</t>
        </is>
      </c>
      <c r="E1" s="53" t="inlineStr">
        <is>
          <t>Role on project</t>
        </is>
      </c>
      <c r="F1" s="53" t="inlineStr">
        <is>
          <t>Published business contact</t>
        </is>
      </c>
      <c r="G1" s="53" t="inlineStr">
        <is>
          <t>Source</t>
        </is>
      </c>
      <c r="H1" s="53" t="inlineStr">
        <is>
          <t>Confidence</t>
        </is>
      </c>
      <c r="I1" s="53" t="inlineStr">
        <is>
          <t>Verified email</t>
        </is>
      </c>
      <c r="J1" s="53" t="inlineStr">
        <is>
          <t>Verified phone</t>
        </is>
      </c>
      <c r="K1" s="53" t="inlineStr">
        <is>
          <t>Contact note</t>
        </is>
      </c>
      <c r="L1" s="53" t="inlineStr">
        <is>
          <t>Contact source</t>
        </is>
      </c>
      <c r="M1" s="53" t="inlineStr">
        <is>
          <t>Checked on</t>
        </is>
      </c>
    </row>
    <row r="2">
      <c r="A2" s="54" t="inlineStr">
        <is>
          <t>Forest Junction Energy Center</t>
        </is>
      </c>
      <c r="B2" s="54" t="inlineStr">
        <is>
          <t>Daniel Birmingham</t>
        </is>
      </c>
      <c r="C2" s="54" t="inlineStr">
        <is>
          <t>Lead Developer</t>
        </is>
      </c>
      <c r="D2" s="54" t="inlineStr">
        <is>
          <t>Invenergy</t>
        </is>
      </c>
      <c r="E2" s="54" t="inlineStr">
        <is>
          <t>Developer lead</t>
        </is>
      </c>
      <c r="F2" s="54" t="inlineStr"/>
      <c r="G2" s="56" t="inlineStr">
        <is>
          <t>https://www.nbc26.com/lakeshore/two-natural-gas-power-plants-proposed-in-brillion</t>
        </is>
      </c>
      <c r="H2" s="54" t="inlineStr">
        <is>
          <t>News quote</t>
        </is>
      </c>
      <c r="I2" s="54" t="inlineStr">
        <is>
          <t>dbirmingham@invenergy.com</t>
        </is>
      </c>
      <c r="J2" s="54" t="inlineStr">
        <is>
          <t>+1 312-582-1094</t>
        </is>
      </c>
      <c r="K2" s="54" t="inlineStr">
        <is>
          <t>Published business contact; cross-project DNR record. Forest Junction role listed by developer.</t>
        </is>
      </c>
      <c r="L2" s="56" t="inlineStr">
        <is>
          <t>https://apps.dnr.wi.gov/warp_ext/am_permittracking2.aspx?id=38822</t>
        </is>
      </c>
      <c r="M2" s="54" t="inlineStr">
        <is>
          <t>2026-10-29</t>
        </is>
      </c>
    </row>
    <row r="3">
      <c r="A3" s="54" t="inlineStr">
        <is>
          <t>Forest Junction Energy Center</t>
        </is>
      </c>
      <c r="B3" s="54" t="inlineStr">
        <is>
          <t>Brendan Conway</t>
        </is>
      </c>
      <c r="C3" s="54" t="inlineStr">
        <is>
          <t>Spokesperson</t>
        </is>
      </c>
      <c r="D3" s="54" t="inlineStr">
        <is>
          <t>We Energies</t>
        </is>
      </c>
      <c r="E3" s="54" t="inlineStr">
        <is>
          <t>Possible acquirer</t>
        </is>
      </c>
      <c r="F3" s="54" t="inlineStr"/>
      <c r="G3" s="56" t="inlineStr">
        <is>
          <t>https://www.wpr.org/news/energy-developer-planning-2-gigawatt-natural-gas-plants-northeast-wisconsin</t>
        </is>
      </c>
      <c r="H3" s="54" t="inlineStr">
        <is>
          <t>News quote</t>
        </is>
      </c>
      <c r="I3" s="54" t="n"/>
      <c r="J3" s="54" t="n"/>
      <c r="K3" s="54" t="inlineStr">
        <is>
          <t>Original lead suggestion; assignment/contact details not independently confirmed in this review.</t>
        </is>
      </c>
      <c r="L3" s="54" t="n"/>
      <c r="M3" s="54" t="inlineStr">
        <is>
          <t>2026-10-29</t>
        </is>
      </c>
    </row>
    <row r="4">
      <c r="A4" s="54" t="inlineStr">
        <is>
          <t>Orange County Advanced Power Station (OCAPS)</t>
        </is>
      </c>
      <c r="B4" s="54" t="inlineStr">
        <is>
          <t>Keith Pollock</t>
        </is>
      </c>
      <c r="C4" s="54" t="inlineStr">
        <is>
          <t>Project Director, OCAPS</t>
        </is>
      </c>
      <c r="D4" s="54" t="inlineStr">
        <is>
          <t>Entergy Texas</t>
        </is>
      </c>
      <c r="E4" s="54" t="inlineStr">
        <is>
          <t>Owner project lead</t>
        </is>
      </c>
      <c r="F4" s="54" t="inlineStr"/>
      <c r="G4" s="56" t="inlineStr">
        <is>
          <t>https://www.entergy.com/news/construction-nears-completion-on-entergy-texas-orange-county-advanced-power-station</t>
        </is>
      </c>
      <c r="H4" s="54" t="inlineStr">
        <is>
          <t>Official release</t>
        </is>
      </c>
      <c r="I4" s="54" t="n"/>
      <c r="J4" s="54" t="n"/>
      <c r="K4" s="54" t="inlineStr">
        <is>
          <t>Original lead suggestion; assignment/contact details not independently confirmed in this review.</t>
        </is>
      </c>
      <c r="L4" s="54" t="n"/>
      <c r="M4" s="54" t="inlineStr">
        <is>
          <t>2026-10-29</t>
        </is>
      </c>
    </row>
    <row r="5">
      <c r="A5" s="54" t="inlineStr">
        <is>
          <t>Orange County Advanced Power Station (OCAPS)</t>
        </is>
      </c>
      <c r="B5" s="54" t="inlineStr">
        <is>
          <t>David Borde</t>
        </is>
      </c>
      <c r="C5" s="54" t="inlineStr">
        <is>
          <t>CEO</t>
        </is>
      </c>
      <c r="D5" s="54" t="inlineStr">
        <is>
          <t>Entergy Texas</t>
        </is>
      </c>
      <c r="E5" s="54" t="inlineStr">
        <is>
          <t>Executive</t>
        </is>
      </c>
      <c r="F5" s="54" t="inlineStr"/>
      <c r="G5" s="56" t="inlineStr">
        <is>
          <t>https://www.entergy.com/news/entergy-texas-orange-county-advanced-power-station-begins-delivering-reliable-power-to-southeast-texas</t>
        </is>
      </c>
      <c r="H5" s="54" t="inlineStr">
        <is>
          <t>Official release</t>
        </is>
      </c>
      <c r="I5" s="54" t="n"/>
      <c r="J5" s="54" t="n"/>
      <c r="K5" s="54" t="inlineStr">
        <is>
          <t>Original lead suggestion; assignment/contact details not independently confirmed in this review.</t>
        </is>
      </c>
      <c r="L5" s="54" t="n"/>
      <c r="M5" s="54" t="inlineStr">
        <is>
          <t>2026-10-29</t>
        </is>
      </c>
    </row>
    <row r="6">
      <c r="A6" s="54" t="inlineStr">
        <is>
          <t>Orange County Advanced Power Station (OCAPS)</t>
        </is>
      </c>
      <c r="B6" s="54" t="inlineStr">
        <is>
          <t>James Malone</t>
        </is>
      </c>
      <c r="C6" s="54" t="inlineStr">
        <is>
          <t>Director of Business Development</t>
        </is>
      </c>
      <c r="D6" s="54" t="inlineStr">
        <is>
          <t>Sargent &amp; Lundy</t>
        </is>
      </c>
      <c r="E6" s="54" t="inlineStr">
        <is>
          <t>Engineer of record</t>
        </is>
      </c>
      <c r="F6" s="54" t="inlineStr"/>
      <c r="G6" s="56" t="inlineStr">
        <is>
          <t>https://www.sargentlundy.com/projects/orange-county-advanced-power-station/</t>
        </is>
      </c>
      <c r="H6" s="54" t="inlineStr">
        <is>
          <t>Company website</t>
        </is>
      </c>
      <c r="I6" s="54" t="n"/>
      <c r="J6" s="54" t="n"/>
      <c r="K6" s="54" t="inlineStr">
        <is>
          <t>Original lead suggestion; assignment/contact details not independently confirmed in this review.</t>
        </is>
      </c>
      <c r="L6" s="54" t="n"/>
      <c r="M6" s="54" t="inlineStr">
        <is>
          <t>2026-10-29</t>
        </is>
      </c>
    </row>
    <row r="7">
      <c r="A7" s="54" t="inlineStr">
        <is>
          <t>Orange County Advanced Power Station (OCAPS)</t>
        </is>
      </c>
      <c r="B7" s="54" t="inlineStr">
        <is>
          <t>Kendra James</t>
        </is>
      </c>
      <c r="C7" s="54" t="inlineStr">
        <is>
          <t>Media Relations</t>
        </is>
      </c>
      <c r="D7" s="54" t="inlineStr">
        <is>
          <t>Entergy Texas</t>
        </is>
      </c>
      <c r="E7" s="54" t="inlineStr">
        <is>
          <t>Media</t>
        </is>
      </c>
      <c r="F7" s="54" t="inlineStr">
        <is>
          <t>Media line 281-297-2353</t>
        </is>
      </c>
      <c r="G7" s="56" t="inlineStr">
        <is>
          <t>https://www.entergy.com/news/media-kit</t>
        </is>
      </c>
      <c r="H7" s="54" t="inlineStr">
        <is>
          <t>Official website</t>
        </is>
      </c>
      <c r="I7" s="54" t="n"/>
      <c r="J7" s="54" t="n"/>
      <c r="K7" s="54" t="inlineStr">
        <is>
          <t>Original media line not independently reconfirmed; not a project procurement number.</t>
        </is>
      </c>
      <c r="L7" s="54" t="n"/>
      <c r="M7" s="54" t="inlineStr">
        <is>
          <t>2026-10-29</t>
        </is>
      </c>
    </row>
    <row r="8">
      <c r="A8" s="54" t="inlineStr">
        <is>
          <t>Vast Sands Power I (Vistra Permian Basin expansion)</t>
        </is>
      </c>
      <c r="B8" s="54" t="inlineStr">
        <is>
          <t>Jim Burke</t>
        </is>
      </c>
      <c r="C8" s="54" t="inlineStr">
        <is>
          <t>President &amp; CEO</t>
        </is>
      </c>
      <c r="D8" s="54" t="inlineStr">
        <is>
          <t>Vistra Corp</t>
        </is>
      </c>
      <c r="E8" s="54" t="inlineStr">
        <is>
          <t>Executive (no project contact public)</t>
        </is>
      </c>
      <c r="F8" s="54" t="inlineStr"/>
      <c r="G8" s="56" t="inlineStr">
        <is>
          <t>https://gov.texas.gov/news/post/governor-abbott-announces-texas-energy-fund-loan-for-860-mw-of-new-power-in-west-texas</t>
        </is>
      </c>
      <c r="H8" s="54" t="inlineStr">
        <is>
          <t>Official release</t>
        </is>
      </c>
      <c r="I8" s="54" t="n"/>
      <c r="J8" s="54" t="n"/>
      <c r="K8" s="54" t="inlineStr">
        <is>
          <t>Original lead suggestion; assignment/contact details not independently confirmed in this review.</t>
        </is>
      </c>
      <c r="L8" s="54" t="n"/>
      <c r="M8" s="54" t="inlineStr">
        <is>
          <t>2026-10-29</t>
        </is>
      </c>
    </row>
    <row r="9">
      <c r="A9" s="54" t="inlineStr">
        <is>
          <t>Plant Yates Unit 9 (Yates CT Units 8-10)</t>
        </is>
      </c>
      <c r="B9" s="54" t="inlineStr">
        <is>
          <t>Rick Anderson</t>
        </is>
      </c>
      <c r="C9" s="54" t="inlineStr">
        <is>
          <t>SVP &amp; Senior Production Officer</t>
        </is>
      </c>
      <c r="D9" s="54" t="inlineStr">
        <is>
          <t>Georgia Power</t>
        </is>
      </c>
      <c r="E9" s="54" t="inlineStr">
        <is>
          <t>Owner executive</t>
        </is>
      </c>
      <c r="F9" s="54" t="inlineStr"/>
      <c r="G9" s="56" t="inlineStr">
        <is>
          <t>https://www.georgiapower.com/news-hub/press-releases/first-new-natural-gas-turbine-delivered-to-georgia-power-plant-yates.html</t>
        </is>
      </c>
      <c r="H9" s="54" t="inlineStr">
        <is>
          <t>Official release</t>
        </is>
      </c>
      <c r="I9" s="54" t="n"/>
      <c r="J9" s="54" t="n"/>
      <c r="K9" s="54" t="inlineStr">
        <is>
          <t>Original lead suggestion; assignment/contact details not independently confirmed in this review.</t>
        </is>
      </c>
      <c r="L9" s="54" t="n"/>
      <c r="M9" s="54" t="inlineStr">
        <is>
          <t>2026-10-29</t>
        </is>
      </c>
    </row>
    <row r="10">
      <c r="A10" s="54" t="inlineStr">
        <is>
          <t>Plant Yates Unit 9 (Yates CT Units 8-10)</t>
        </is>
      </c>
      <c r="B10" s="54" t="inlineStr">
        <is>
          <t>Cheryl Boddiford</t>
        </is>
      </c>
      <c r="C10" s="54" t="inlineStr">
        <is>
          <t>SVP, North American Manufacturing &amp; Supply Chain Mgmt</t>
        </is>
      </c>
      <c r="D10" s="54" t="inlineStr">
        <is>
          <t>Mitsubishi Power</t>
        </is>
      </c>
      <c r="E10" s="54" t="inlineStr">
        <is>
          <t>EPC consortium (OEM)</t>
        </is>
      </c>
      <c r="F10" s="54" t="inlineStr"/>
      <c r="G10" s="56" t="inlineStr">
        <is>
          <t>https://power.mhi.com/regions/amer/news/250819</t>
        </is>
      </c>
      <c r="H10" s="54" t="inlineStr">
        <is>
          <t>Official release</t>
        </is>
      </c>
      <c r="I10" s="54" t="n"/>
      <c r="J10" s="54" t="n"/>
      <c r="K10" s="54" t="inlineStr">
        <is>
          <t>Original lead suggestion; assignment/contact details not independently confirmed in this review.</t>
        </is>
      </c>
      <c r="L10" s="54" t="n"/>
      <c r="M10" s="54" t="inlineStr">
        <is>
          <t>2026-10-29</t>
        </is>
      </c>
    </row>
    <row r="11">
      <c r="A11" s="54" t="inlineStr">
        <is>
          <t>Plant Yates Unit 9 (Yates CT Units 8-10)</t>
        </is>
      </c>
      <c r="B11" s="54" t="inlineStr">
        <is>
          <t>Rick Janik</t>
        </is>
      </c>
      <c r="C11" s="54" t="inlineStr">
        <is>
          <t>Project Manager (Plant Barry Unit 8)</t>
        </is>
      </c>
      <c r="D11" s="54" t="inlineStr">
        <is>
          <t>Black &amp; Veatch</t>
        </is>
      </c>
      <c r="E11" s="54" t="inlineStr">
        <is>
          <t>Same EPC pairing at Southern Co. - not confirmed for Yates</t>
        </is>
      </c>
      <c r="F11" s="54" t="inlineStr"/>
      <c r="G11" s="56" t="inlineStr">
        <is>
          <t>https://www.bv.com/en-US/projects/gas-fired-power-plant-project-defies-challenges-to-deliver-safe-reliable-power</t>
        </is>
      </c>
      <c r="H11" s="54" t="inlineStr">
        <is>
          <t>Company website - indirect</t>
        </is>
      </c>
      <c r="I11" s="54" t="n"/>
      <c r="J11" s="54" t="n"/>
      <c r="K11" s="54" t="inlineStr">
        <is>
          <t>Original source concerns Plant Barry; Yates assignment NOT verified.</t>
        </is>
      </c>
      <c r="L11" s="54" t="n"/>
      <c r="M11" s="54" t="inlineStr">
        <is>
          <t>2026-10-29</t>
        </is>
      </c>
    </row>
    <row r="12">
      <c r="A12" s="54" t="inlineStr">
        <is>
          <t>Ironwood Power Station</t>
        </is>
      </c>
      <c r="B12" s="54" t="inlineStr">
        <is>
          <t>Carlos Ruiz</t>
        </is>
      </c>
      <c r="C12" s="54" t="inlineStr">
        <is>
          <t>VP, Power Development - New Generation</t>
        </is>
      </c>
      <c r="D12" s="54" t="inlineStr">
        <is>
          <t>Entergy</t>
        </is>
      </c>
      <c r="E12" s="54" t="inlineStr">
        <is>
          <t>Owner new-generation executive</t>
        </is>
      </c>
      <c r="F12" s="54" t="inlineStr"/>
      <c r="G12" s="56" t="inlineStr">
        <is>
          <t>https://apps.apsc.arkansas.gov/pdf/24/24-072-U_67_1.pdf</t>
        </is>
      </c>
      <c r="H12" s="54" t="inlineStr">
        <is>
          <t>Regulatory filing</t>
        </is>
      </c>
      <c r="I12" s="54" t="n"/>
      <c r="J12" s="54" t="n"/>
      <c r="K12" s="54" t="inlineStr">
        <is>
          <t>Original lead suggestion; assignment/contact details not independently confirmed in this review.</t>
        </is>
      </c>
      <c r="L12" s="54" t="n"/>
      <c r="M12" s="54" t="inlineStr">
        <is>
          <t>2026-10-29</t>
        </is>
      </c>
    </row>
    <row r="13">
      <c r="A13" s="54" t="inlineStr">
        <is>
          <t>Ironwood Power Station</t>
        </is>
      </c>
      <c r="B13" s="54" t="inlineStr">
        <is>
          <t>Laura Landreaux</t>
        </is>
      </c>
      <c r="C13" s="54" t="inlineStr">
        <is>
          <t>President &amp; CEO</t>
        </is>
      </c>
      <c r="D13" s="54" t="inlineStr">
        <is>
          <t>Entergy Arkansas</t>
        </is>
      </c>
      <c r="E13" s="54" t="inlineStr">
        <is>
          <t>Executive</t>
        </is>
      </c>
      <c r="F13" s="54" t="inlineStr"/>
      <c r="G13" s="56" t="inlineStr">
        <is>
          <t>https://www.arkansasonline.com/news/2026/aug/21/entergy-breaks-ground-on-ironwood-power-station/</t>
        </is>
      </c>
      <c r="H13" s="54" t="inlineStr">
        <is>
          <t>News</t>
        </is>
      </c>
      <c r="I13" s="54" t="n"/>
      <c r="J13" s="54" t="n"/>
      <c r="K13" s="54" t="inlineStr">
        <is>
          <t>Original lead suggestion; assignment/contact details not independently confirmed in this review.</t>
        </is>
      </c>
      <c r="L13" s="54" t="n"/>
      <c r="M13" s="54" t="inlineStr">
        <is>
          <t>2026-10-29</t>
        </is>
      </c>
    </row>
    <row r="14">
      <c r="A14" s="54" t="inlineStr">
        <is>
          <t>Ironwood Power Station</t>
        </is>
      </c>
      <c r="B14" s="54" t="inlineStr">
        <is>
          <t>Louise Duncan</t>
        </is>
      </c>
      <c r="C14" s="54" t="inlineStr">
        <is>
          <t>VP, Power Plant Operations</t>
        </is>
      </c>
      <c r="D14" s="54" t="inlineStr">
        <is>
          <t>Entergy Arkansas</t>
        </is>
      </c>
      <c r="E14" s="54" t="inlineStr">
        <is>
          <t>Plant operations</t>
        </is>
      </c>
      <c r="F14" s="54" t="inlineStr"/>
      <c r="G14" s="56" t="inlineStr">
        <is>
          <t>https://adeq.state.ar.us/downloads/WebDatabases/PermitsOnline/NPDES/PermitInformation/AR0001147_Certificate%20of%20Service%20Letter_20260430.pdf</t>
        </is>
      </c>
      <c r="H14" s="54" t="inlineStr">
        <is>
          <t>Regulatory document</t>
        </is>
      </c>
      <c r="I14" s="54" t="n"/>
      <c r="J14" s="54" t="n"/>
      <c r="K14" s="54" t="inlineStr">
        <is>
          <t>Original lead suggestion; assignment/contact details not independently confirmed in this review.</t>
        </is>
      </c>
      <c r="L14" s="54" t="n"/>
      <c r="M14" s="54" t="inlineStr">
        <is>
          <t>2026-10-29</t>
        </is>
      </c>
    </row>
    <row r="15">
      <c r="A15" s="54" t="inlineStr">
        <is>
          <t>Ironwood Power Station</t>
        </is>
      </c>
      <c r="B15" s="54" t="inlineStr">
        <is>
          <t>Clay McMaster</t>
        </is>
      </c>
      <c r="C15" s="54" t="inlineStr">
        <is>
          <t>Environmental/permit contact, Lake Catherine</t>
        </is>
      </c>
      <c r="D15" s="54" t="inlineStr">
        <is>
          <t>Entergy</t>
        </is>
      </c>
      <c r="E15" s="54" t="inlineStr">
        <is>
          <t>Permitting</t>
        </is>
      </c>
      <c r="F15" s="54" t="inlineStr">
        <is>
          <t>wmcmast@entergy.com (ADEQ permit)</t>
        </is>
      </c>
      <c r="G15" s="56" t="inlineStr">
        <is>
          <t>https://adeq.state.ar.us/downloads/WebDatabases/PermitsOnline/Air/1717-AOP-R9.pdf</t>
        </is>
      </c>
      <c r="H15" s="54" t="inlineStr">
        <is>
          <t>Regulatory document</t>
        </is>
      </c>
      <c r="I15" s="54" t="n"/>
      <c r="J15" s="54" t="n"/>
      <c r="K15" s="54" t="inlineStr">
        <is>
          <t>Original lead suggestion; assignment/contact details not independently confirmed in this review.</t>
        </is>
      </c>
      <c r="L15" s="54" t="n"/>
      <c r="M15" s="54" t="inlineStr">
        <is>
          <t>2026-10-29</t>
        </is>
      </c>
    </row>
    <row r="16">
      <c r="A16" s="54" t="inlineStr">
        <is>
          <t>Ironwood Power Station</t>
        </is>
      </c>
      <c r="B16" s="54" t="inlineStr">
        <is>
          <t>Kendall Thornton</t>
        </is>
      </c>
      <c r="C16" s="54" t="inlineStr">
        <is>
          <t>Stakeholder Engagement Coordinator</t>
        </is>
      </c>
      <c r="D16" s="54" t="inlineStr">
        <is>
          <t>Entergy Arkansas</t>
        </is>
      </c>
      <c r="E16" s="54" t="inlineStr">
        <is>
          <t>Groundbreaking organizer</t>
        </is>
      </c>
      <c r="F16" s="54" t="inlineStr"/>
      <c r="G16" s="56" t="inlineStr">
        <is>
          <t>https://arkansasstatechamber.com/team-member/kendall-thornton/</t>
        </is>
      </c>
      <c r="H16" s="54" t="inlineStr">
        <is>
          <t>Org website</t>
        </is>
      </c>
      <c r="I16" s="54" t="n"/>
      <c r="J16" s="54" t="n"/>
      <c r="K16" s="54" t="inlineStr">
        <is>
          <t>Original lead suggestion; assignment/contact details not independently confirmed in this review.</t>
        </is>
      </c>
      <c r="L16" s="54" t="n"/>
      <c r="M16" s="54" t="inlineStr">
        <is>
          <t>2026-10-29</t>
        </is>
      </c>
    </row>
    <row r="17">
      <c r="A17" s="54" t="inlineStr">
        <is>
          <t>Ironwood Power Station</t>
        </is>
      </c>
      <c r="B17" s="54" t="inlineStr">
        <is>
          <t>Jason Rees</t>
        </is>
      </c>
      <c r="C17" s="54" t="inlineStr">
        <is>
          <t>Director of Procurement</t>
        </is>
      </c>
      <c r="D17" s="54" t="inlineStr">
        <is>
          <t>Entergy</t>
        </is>
      </c>
      <c r="E17" s="54" t="inlineStr">
        <is>
          <t>Procurement</t>
        </is>
      </c>
      <c r="F17" s="54" t="inlineStr"/>
      <c r="G17" s="56" t="inlineStr">
        <is>
          <t>https://www.linkedin.com/in/reesjason/</t>
        </is>
      </c>
      <c r="H17" s="54" t="inlineStr">
        <is>
          <t>LinkedIn - verify</t>
        </is>
      </c>
      <c r="I17" s="54" t="n"/>
      <c r="J17" s="54" t="n"/>
      <c r="K17" s="54" t="inlineStr">
        <is>
          <t>LinkedIn-derived suggestion; current procurement assignment not independently confirmed.</t>
        </is>
      </c>
      <c r="L17" s="54" t="n"/>
      <c r="M17" s="54" t="inlineStr">
        <is>
          <t>2026-10-29</t>
        </is>
      </c>
    </row>
    <row r="18">
      <c r="A18" s="54" t="inlineStr">
        <is>
          <t>Ironwood Power Station</t>
        </is>
      </c>
      <c r="B18" s="54" t="inlineStr">
        <is>
          <t>Entergy Supplier Registration</t>
        </is>
      </c>
      <c r="C18" s="54" t="inlineStr">
        <is>
          <t>-</t>
        </is>
      </c>
      <c r="D18" s="54" t="inlineStr">
        <is>
          <t>Entergy</t>
        </is>
      </c>
      <c r="E18" s="54" t="inlineStr">
        <is>
          <t>Supplier onboarding</t>
        </is>
      </c>
      <c r="F18" s="54" t="inlineStr">
        <is>
          <t>esupplier@entergy.com; 844-387-9675</t>
        </is>
      </c>
      <c r="G18" s="56" t="inlineStr">
        <is>
          <t>https://www.entergy.com/suppliers/how</t>
        </is>
      </c>
      <c r="H18" s="54" t="inlineStr">
        <is>
          <t>Official website</t>
        </is>
      </c>
      <c r="I18" s="54" t="inlineStr">
        <is>
          <t>esupplier@entergy.com</t>
        </is>
      </c>
      <c r="J18" s="54" t="inlineStr">
        <is>
          <t>+1 844-387-9675</t>
        </is>
      </c>
      <c r="K18" s="54" t="inlineStr">
        <is>
          <t>Shared supplier support; not a project buyer.</t>
        </is>
      </c>
      <c r="L18" s="56" t="inlineStr">
        <is>
          <t>https://supplier.entergy.com/psc/supprd/SUPPLIER/ERP/c/SCP_PUBLIC_MENU_FL.SCP_PUB_FAQ_CMP_FL.GBL</t>
        </is>
      </c>
      <c r="M18" s="54" t="inlineStr">
        <is>
          <t>2026-10-29</t>
        </is>
      </c>
    </row>
    <row r="19">
      <c r="A19" s="54" t="inlineStr">
        <is>
          <t>Person County Combined Cycle 1 (CC1)</t>
        </is>
      </c>
      <c r="B19" s="54" t="inlineStr">
        <is>
          <t>John Robert Smith Jr.</t>
        </is>
      </c>
      <c r="C19" s="54" t="inlineStr">
        <is>
          <t>GM, New Gas Generation Development (PM&amp;C)</t>
        </is>
      </c>
      <c r="D19" s="54" t="inlineStr">
        <is>
          <t>Duke Energy</t>
        </is>
      </c>
      <c r="E19" s="54" t="inlineStr">
        <is>
          <t>Owner project development lead</t>
        </is>
      </c>
      <c r="F19" s="54" t="inlineStr"/>
      <c r="G19" s="56" t="inlineStr">
        <is>
          <t>https://starw1.ncuc.gov/NCUC/ViewFile.aspx?Id=5552fef5-9b1f-4e88-b9ca-0e649dafdbb5</t>
        </is>
      </c>
      <c r="H19" s="54" t="inlineStr">
        <is>
          <t>Regulatory filing</t>
        </is>
      </c>
      <c r="I19" s="54" t="n"/>
      <c r="J19" s="54" t="n"/>
      <c r="K19" s="54" t="inlineStr">
        <is>
          <t>Original lead suggestion; assignment/contact details not independently confirmed in this review.</t>
        </is>
      </c>
      <c r="L19" s="54" t="n"/>
      <c r="M19" s="54" t="inlineStr">
        <is>
          <t>2026-10-29</t>
        </is>
      </c>
    </row>
    <row r="20">
      <c r="A20" s="54" t="inlineStr">
        <is>
          <t>Person County Combined Cycle 1 (CC1)</t>
        </is>
      </c>
      <c r="B20" s="54" t="inlineStr">
        <is>
          <t>Ralph Biediger</t>
        </is>
      </c>
      <c r="C20" s="54" t="inlineStr">
        <is>
          <t>EPC Group President</t>
        </is>
      </c>
      <c r="D20" s="54" t="inlineStr">
        <is>
          <t>Zachry Group</t>
        </is>
      </c>
      <c r="E20" s="54" t="inlineStr">
        <is>
          <t>EPC executive</t>
        </is>
      </c>
      <c r="F20" s="54" t="inlineStr"/>
      <c r="G20" s="56" t="inlineStr">
        <is>
          <t>https://zachrygroup.com/press-releases/Duke_Energy_Awards_EPC_Contract_for_the_first_Person_County_Combined_Cycle_Project_to_Zachry_Group.html</t>
        </is>
      </c>
      <c r="H20" s="54" t="inlineStr">
        <is>
          <t>Official release</t>
        </is>
      </c>
      <c r="I20" s="54" t="n"/>
      <c r="J20" s="54" t="n"/>
      <c r="K20" s="54" t="inlineStr">
        <is>
          <t>Original lead suggestion; assignment/contact details not independently confirmed in this review.</t>
        </is>
      </c>
      <c r="L20" s="54" t="n"/>
      <c r="M20" s="54" t="inlineStr">
        <is>
          <t>2026-10-29</t>
        </is>
      </c>
    </row>
    <row r="21">
      <c r="A21" s="54" t="inlineStr">
        <is>
          <t>Person County Combined Cycle 1 (CC1)</t>
        </is>
      </c>
      <c r="B21" s="54" t="inlineStr">
        <is>
          <t>Bill Norton</t>
        </is>
      </c>
      <c r="C21" s="54" t="inlineStr">
        <is>
          <t>Spokesperson</t>
        </is>
      </c>
      <c r="D21" s="54" t="inlineStr">
        <is>
          <t>Duke Energy</t>
        </is>
      </c>
      <c r="E21" s="54" t="inlineStr">
        <is>
          <t>Media</t>
        </is>
      </c>
      <c r="F21" s="54" t="inlineStr"/>
      <c r="G21" s="56" t="inlineStr">
        <is>
          <t>https://www.cbs17.com/news/local-news/duke-energy-planning-for-natural-gas-plants-in-roxboro/</t>
        </is>
      </c>
      <c r="H21" s="54" t="inlineStr">
        <is>
          <t>News quote</t>
        </is>
      </c>
      <c r="I21" s="54" t="n"/>
      <c r="J21" s="54" t="n"/>
      <c r="K21" s="54" t="inlineStr">
        <is>
          <t>Original lead suggestion; assignment/contact details not independently confirmed in this review.</t>
        </is>
      </c>
      <c r="L21" s="54" t="n"/>
      <c r="M21" s="54" t="inlineStr">
        <is>
          <t>2026-10-29</t>
        </is>
      </c>
    </row>
    <row r="22">
      <c r="A22" s="54" t="inlineStr">
        <is>
          <t>Person County Combined Cycle 1 (CC1)</t>
        </is>
      </c>
      <c r="B22" s="54" t="inlineStr">
        <is>
          <t>Stacy Hickman</t>
        </is>
      </c>
      <c r="C22" s="54" t="inlineStr">
        <is>
          <t>Talent Acquisition Manager</t>
        </is>
      </c>
      <c r="D22" s="54" t="inlineStr">
        <is>
          <t>Zachry Group</t>
        </is>
      </c>
      <c r="E22" s="54" t="inlineStr">
        <is>
          <t>Site hiring</t>
        </is>
      </c>
      <c r="F22" s="54" t="inlineStr"/>
      <c r="G22" s="56" t="inlineStr">
        <is>
          <t>https://www.linkedin.com/in/stacy-hickman/</t>
        </is>
      </c>
      <c r="H22" s="54" t="inlineStr">
        <is>
          <t>LinkedIn - verify</t>
        </is>
      </c>
      <c r="I22" s="54" t="n"/>
      <c r="J22" s="54" t="n"/>
      <c r="K22" s="54" t="inlineStr">
        <is>
          <t>Talent acquisition is not a procurement contact; project purchasing role not confirmed.</t>
        </is>
      </c>
      <c r="L22" s="54" t="n"/>
      <c r="M22" s="54" t="inlineStr">
        <is>
          <t>2026-10-29</t>
        </is>
      </c>
    </row>
    <row r="23">
      <c r="A23" s="54" t="inlineStr">
        <is>
          <t>Delta Blues Advanced Power Station</t>
        </is>
      </c>
      <c r="B23" s="54" t="inlineStr">
        <is>
          <t>Ernest Rufus</t>
        </is>
      </c>
      <c r="C23" s="54" t="inlineStr">
        <is>
          <t>Senior Manager, Capital Projects (Delta Blues &amp; Vicksburg)</t>
        </is>
      </c>
      <c r="D23" s="54" t="inlineStr">
        <is>
          <t>Entergy</t>
        </is>
      </c>
      <c r="E23" s="54" t="inlineStr">
        <is>
          <t>Owner project lead</t>
        </is>
      </c>
      <c r="F23" s="54" t="inlineStr"/>
      <c r="G23" s="56" t="inlineStr">
        <is>
          <t>https://www.entergy.com/blog/delta-blues-reaches-important-milestone-in-construction</t>
        </is>
      </c>
      <c r="H23" s="54" t="inlineStr">
        <is>
          <t>Official blog</t>
        </is>
      </c>
      <c r="I23" s="54" t="n"/>
      <c r="J23" s="54" t="n"/>
      <c r="K23" s="54" t="inlineStr">
        <is>
          <t>Entergy confirms Ernest Rufus as senior manager, capital projects on Delta Blues; direct email/phone not found.</t>
        </is>
      </c>
      <c r="L23" s="54" t="n"/>
      <c r="M23" s="54" t="inlineStr">
        <is>
          <t>2026-10-29</t>
        </is>
      </c>
    </row>
    <row r="24">
      <c r="A24" s="54" t="inlineStr">
        <is>
          <t>Delta Blues Advanced Power Station</t>
        </is>
      </c>
      <c r="B24" s="54" t="inlineStr">
        <is>
          <t>Haley Fisackerly</t>
        </is>
      </c>
      <c r="C24" s="54" t="inlineStr">
        <is>
          <t>President &amp; CEO</t>
        </is>
      </c>
      <c r="D24" s="54" t="inlineStr">
        <is>
          <t>Entergy Mississippi</t>
        </is>
      </c>
      <c r="E24" s="54" t="inlineStr">
        <is>
          <t>Executive</t>
        </is>
      </c>
      <c r="F24" s="54" t="inlineStr">
        <is>
          <t>Media line 769-262-0745</t>
        </is>
      </c>
      <c r="G24" s="56" t="inlineStr">
        <is>
          <t>https://www.entergy.com/news/entergy-mississippi-breaks-ground-on-delta-blues-advanced-power-station</t>
        </is>
      </c>
      <c r="H24" s="54" t="inlineStr">
        <is>
          <t>Official release</t>
        </is>
      </c>
      <c r="I24" s="54" t="n"/>
      <c r="J24" s="54" t="n"/>
      <c r="K24" s="54" t="inlineStr">
        <is>
          <t>Original lead suggestion; assignment/contact details not independently confirmed in this review.</t>
        </is>
      </c>
      <c r="L24" s="54" t="n"/>
      <c r="M24" s="54" t="inlineStr">
        <is>
          <t>2026-10-29</t>
        </is>
      </c>
    </row>
    <row r="25">
      <c r="A25" s="54" t="inlineStr">
        <is>
          <t>Vicksburg Advanced Power Station</t>
        </is>
      </c>
      <c r="B25" s="54" t="inlineStr">
        <is>
          <t>Ernest Rufus</t>
        </is>
      </c>
      <c r="C25" s="54" t="inlineStr">
        <is>
          <t>Senior Manager, Capital Projects</t>
        </is>
      </c>
      <c r="D25" s="54" t="inlineStr">
        <is>
          <t>Entergy</t>
        </is>
      </c>
      <c r="E25" s="54" t="inlineStr">
        <is>
          <t>Owner project lead</t>
        </is>
      </c>
      <c r="F25" s="54" t="inlineStr"/>
      <c r="G25" s="56" t="inlineStr">
        <is>
          <t>https://www.vicksburgpost.com/news/vicksburg-board-grants-conditional-fee-waiver-for-new-entergy-power-plant-3320f9d2</t>
        </is>
      </c>
      <c r="H25" s="54" t="inlineStr">
        <is>
          <t>News - Vicksburg role to confirm (Entergy confirms Delta Blues only)</t>
        </is>
      </c>
      <c r="I25" s="54" t="n"/>
      <c r="J25" s="54" t="n"/>
      <c r="K25" s="54" t="inlineStr">
        <is>
          <t>Delta Blues role confirmed; Vicksburg assignment NOT independently verified.</t>
        </is>
      </c>
      <c r="L25" s="54" t="n"/>
      <c r="M25" s="54" t="inlineStr">
        <is>
          <t>2026-10-29</t>
        </is>
      </c>
    </row>
    <row r="26">
      <c r="A26" s="54" t="inlineStr">
        <is>
          <t>Sycamore Riverside Energy Center</t>
        </is>
      </c>
      <c r="B26" s="54" t="inlineStr">
        <is>
          <t>John E. Niland</t>
        </is>
      </c>
      <c r="C26" s="54" t="inlineStr">
        <is>
          <t>VP, New Technology &amp; Thermal Development</t>
        </is>
      </c>
      <c r="D26" s="54" t="inlineStr">
        <is>
          <t>Invenergy</t>
        </is>
      </c>
      <c r="E26" s="54" t="inlineStr">
        <is>
          <t>Developer lead (IURC witness)</t>
        </is>
      </c>
      <c r="F26" s="54" t="inlineStr"/>
      <c r="G26" s="56" t="inlineStr">
        <is>
          <t>https://www.in.gov/iurc/files/ord_46295_123025.pdf</t>
        </is>
      </c>
      <c r="H26" s="54" t="inlineStr">
        <is>
          <t>Regulatory filing</t>
        </is>
      </c>
      <c r="I26" s="54" t="n"/>
      <c r="J26" s="54" t="n"/>
      <c r="K26" s="54" t="inlineStr">
        <is>
          <t>Original lead suggestion; assignment/contact details not independently confirmed in this review.</t>
        </is>
      </c>
      <c r="L26" s="54" t="n"/>
      <c r="M26" s="54" t="inlineStr">
        <is>
          <t>2026-10-29</t>
        </is>
      </c>
    </row>
    <row r="27">
      <c r="A27" s="54" t="inlineStr">
        <is>
          <t>Sycamore Riverside Energy Center</t>
        </is>
      </c>
      <c r="B27" s="54" t="inlineStr">
        <is>
          <t>Daniel Runyan</t>
        </is>
      </c>
      <c r="C27" s="54" t="inlineStr">
        <is>
          <t>SVP Development</t>
        </is>
      </c>
      <c r="D27" s="54" t="inlineStr">
        <is>
          <t>Invenergy</t>
        </is>
      </c>
      <c r="E27" s="54" t="inlineStr">
        <is>
          <t>Developer executive</t>
        </is>
      </c>
      <c r="F27" s="54" t="inlineStr"/>
      <c r="G27" s="56" t="inlineStr">
        <is>
          <t>https://www.insideindianabusiness.com/articles/indiana-michigan-power-seeks-to-acquire-sullivan-county-natural-gas-plant</t>
        </is>
      </c>
      <c r="H27" s="54" t="inlineStr">
        <is>
          <t>News quote</t>
        </is>
      </c>
      <c r="I27" s="54" t="inlineStr">
        <is>
          <t>drunyan@invenergy.com</t>
        </is>
      </c>
      <c r="J27" s="54" t="inlineStr">
        <is>
          <t>+1 281-831-9568</t>
        </is>
      </c>
      <c r="K27" s="54" t="inlineStr">
        <is>
          <t>Published Invenergy business contact; Sycamore-specific buying authority unconfirmed.</t>
        </is>
      </c>
      <c r="L27" s="56" t="inlineStr">
        <is>
          <t>https://apps.dnr.wi.gov/warp_ext/am_permittracking2.aspx?id=38822</t>
        </is>
      </c>
      <c r="M27" s="54" t="inlineStr">
        <is>
          <t>2026-10-29</t>
        </is>
      </c>
    </row>
    <row r="28">
      <c r="A28" s="54" t="inlineStr">
        <is>
          <t>Sycamore Riverside Energy Center</t>
        </is>
      </c>
      <c r="B28" s="54" t="inlineStr">
        <is>
          <t>Steve Baker</t>
        </is>
      </c>
      <c r="C28" s="54" t="inlineStr">
        <is>
          <t>President &amp; COO</t>
        </is>
      </c>
      <c r="D28" s="54" t="inlineStr">
        <is>
          <t>Indiana Michigan Power (AEP)</t>
        </is>
      </c>
      <c r="E28" s="54" t="inlineStr">
        <is>
          <t>Acquirer executive</t>
        </is>
      </c>
      <c r="F28" s="54" t="inlineStr"/>
      <c r="G28" s="56" t="inlineStr">
        <is>
          <t>https://www.aep.com/news/stories/view/11850/</t>
        </is>
      </c>
      <c r="H28" s="54" t="inlineStr">
        <is>
          <t>Official release</t>
        </is>
      </c>
      <c r="I28" s="54" t="n"/>
      <c r="J28" s="54" t="n"/>
      <c r="K28" s="54" t="inlineStr">
        <is>
          <t>Original lead suggestion; assignment/contact details not independently confirmed in this review.</t>
        </is>
      </c>
      <c r="L28" s="54" t="n"/>
      <c r="M28" s="54" t="inlineStr">
        <is>
          <t>2026-10-29</t>
        </is>
      </c>
    </row>
    <row r="29">
      <c r="A29" s="54" t="inlineStr">
        <is>
          <t>Sycamore Riverside Energy Center</t>
        </is>
      </c>
      <c r="B29" s="54" t="inlineStr">
        <is>
          <t>Timothy B. Gaul</t>
        </is>
      </c>
      <c r="C29" s="54" t="inlineStr">
        <is>
          <t>Director, Regulated Infrastructure Development</t>
        </is>
      </c>
      <c r="D29" s="54" t="inlineStr">
        <is>
          <t>AEP Service Corp</t>
        </is>
      </c>
      <c r="E29" s="54" t="inlineStr">
        <is>
          <t>Utility-side project lead (witness)</t>
        </is>
      </c>
      <c r="F29" s="54" t="inlineStr"/>
      <c r="G29" s="56" t="inlineStr">
        <is>
          <t>https://www.in.gov/iurc/files/ord_46238_091025.pdf</t>
        </is>
      </c>
      <c r="H29" s="54" t="inlineStr">
        <is>
          <t>Regulatory filing</t>
        </is>
      </c>
      <c r="I29" s="54" t="n"/>
      <c r="J29" s="54" t="n"/>
      <c r="K29" s="54" t="inlineStr">
        <is>
          <t>Original lead suggestion; assignment/contact details not independently confirmed in this review.</t>
        </is>
      </c>
      <c r="L29" s="54" t="n"/>
      <c r="M29" s="54" t="inlineStr">
        <is>
          <t>2026-10-29</t>
        </is>
      </c>
    </row>
    <row r="30">
      <c r="A30" s="54" t="inlineStr">
        <is>
          <t>Sycamore Riverside Energy Center</t>
        </is>
      </c>
      <c r="B30" s="54" t="inlineStr">
        <is>
          <t>Timothy C. Kerns</t>
        </is>
      </c>
      <c r="C30" s="54" t="inlineStr">
        <is>
          <t>Consultant</t>
        </is>
      </c>
      <c r="D30" s="54" t="inlineStr">
        <is>
          <t>Sterling Industrial LLC</t>
        </is>
      </c>
      <c r="E30" s="54" t="inlineStr">
        <is>
          <t>Owner's engineer / technical witness</t>
        </is>
      </c>
      <c r="F30" s="54" t="inlineStr"/>
      <c r="G30" s="54" t="inlineStr">
        <is>
          <t>IURC Cause 46389 Petitioner's Exhibit 4</t>
        </is>
      </c>
      <c r="H30" s="54" t="inlineStr">
        <is>
          <t>Regulatory filing</t>
        </is>
      </c>
      <c r="I30" s="54" t="n"/>
      <c r="J30" s="54" t="n"/>
      <c r="K30" s="54" t="inlineStr">
        <is>
          <t>Original lead suggestion; assignment/contact details not independently confirmed in this review.</t>
        </is>
      </c>
      <c r="L30" s="54" t="n"/>
      <c r="M30" s="54" t="inlineStr">
        <is>
          <t>2026-10-29</t>
        </is>
      </c>
    </row>
    <row r="31">
      <c r="A31" s="54" t="inlineStr">
        <is>
          <t>Sycamore Riverside Energy Center</t>
        </is>
      </c>
      <c r="B31" s="54" t="inlineStr">
        <is>
          <t>The Boldt Company</t>
        </is>
      </c>
      <c r="C31" s="54" t="inlineStr">
        <is>
          <t>Constructor (role to confirm)</t>
        </is>
      </c>
      <c r="D31" s="54" t="inlineStr">
        <is>
          <t>Boldt (Appleton, WI)</t>
        </is>
      </c>
      <c r="E31" s="54" t="inlineStr">
        <is>
          <t>Construction Sep 2026-Feb 2029</t>
        </is>
      </c>
      <c r="F31" s="54" t="inlineStr"/>
      <c r="G31" s="56" t="inlineStr">
        <is>
          <t>https://www.boldt.com/discover/sycamore-riverside-energy-center/</t>
        </is>
      </c>
      <c r="H31" s="54" t="inlineStr">
        <is>
          <t>Company website</t>
        </is>
      </c>
      <c r="I31" s="54" t="n"/>
      <c r="J31" s="54" t="n"/>
      <c r="K31" s="54" t="inlineStr">
        <is>
          <t>Original lead suggestion; assignment/contact details not independently confirmed in this review.</t>
        </is>
      </c>
      <c r="L31" s="54" t="n"/>
      <c r="M31" s="54" t="inlineStr">
        <is>
          <t>2026-10-29</t>
        </is>
      </c>
    </row>
    <row r="32">
      <c r="A32" s="54" t="inlineStr">
        <is>
          <t>Franklin Farms Power Station (Units 1 &amp; 2)</t>
        </is>
      </c>
      <c r="B32" s="54" t="inlineStr">
        <is>
          <t>Nicholas D. Pressler</t>
        </is>
      </c>
      <c r="C32" s="54" t="inlineStr">
        <is>
          <t>Director, Power Development</t>
        </is>
      </c>
      <c r="D32" s="54" t="inlineStr">
        <is>
          <t>Entergy Services LLC</t>
        </is>
      </c>
      <c r="E32" s="54" t="inlineStr">
        <is>
          <t>EPC/TSL selection witness</t>
        </is>
      </c>
      <c r="F32" s="54" t="inlineStr"/>
      <c r="G32" s="56" t="inlineStr">
        <is>
          <t>https://lpscpubvalence.lpsc.louisiana.gov/portal/PSC/ViewFile?fileId=hsljNiQroZw%3D</t>
        </is>
      </c>
      <c r="H32" s="54" t="inlineStr">
        <is>
          <t>Regulatory filing</t>
        </is>
      </c>
      <c r="I32" s="54" t="inlineStr">
        <is>
          <t>npress1@entergy.com</t>
        </is>
      </c>
      <c r="J32" s="54" t="n"/>
      <c r="K32" s="54" t="inlineStr">
        <is>
          <t>Historical business email: 2022 DOE report; reconfirm before use. Direct phone not found.</t>
        </is>
      </c>
      <c r="L32" s="56" t="inlineStr">
        <is>
          <t>https://www.osti.gov/servlets/purl/1884860</t>
        </is>
      </c>
      <c r="M32" s="54" t="inlineStr">
        <is>
          <t>2026-10-29</t>
        </is>
      </c>
    </row>
    <row r="33">
      <c r="A33" s="54" t="inlineStr">
        <is>
          <t>Franklin Farms Power Station (Units 1 &amp; 2)</t>
        </is>
      </c>
      <c r="B33" s="54" t="inlineStr">
        <is>
          <t>Phillip May</t>
        </is>
      </c>
      <c r="C33" s="54" t="inlineStr">
        <is>
          <t>President &amp; CEO</t>
        </is>
      </c>
      <c r="D33" s="54" t="inlineStr">
        <is>
          <t>Entergy Louisiana</t>
        </is>
      </c>
      <c r="E33" s="54" t="inlineStr">
        <is>
          <t>Executive</t>
        </is>
      </c>
      <c r="F33" s="54" t="inlineStr"/>
      <c r="G33" s="56" t="inlineStr">
        <is>
          <t>https://www.entergy.com/news/entergy-louisiana-breaks-ground-on-new-state-of-the-art-generation-facilities-to-power-reliability-growth-and-innovation</t>
        </is>
      </c>
      <c r="H33" s="54" t="inlineStr">
        <is>
          <t>Official release</t>
        </is>
      </c>
      <c r="I33" s="54" t="n"/>
      <c r="J33" s="54" t="n"/>
      <c r="K33" s="54" t="inlineStr">
        <is>
          <t>Original lead suggestion; assignment/contact details not independently confirmed in this review.</t>
        </is>
      </c>
      <c r="L33" s="54" t="n"/>
      <c r="M33" s="54" t="inlineStr">
        <is>
          <t>2026-10-29</t>
        </is>
      </c>
    </row>
    <row r="34">
      <c r="A34" s="54" t="inlineStr">
        <is>
          <t>Franklin Farms Power Station (Units 1 &amp; 2)</t>
        </is>
      </c>
      <c r="B34" s="54" t="inlineStr">
        <is>
          <t>Jim Niemiec</t>
        </is>
      </c>
      <c r="C34" s="54" t="inlineStr">
        <is>
          <t>VP &amp; Chief Supply Chain Officer</t>
        </is>
      </c>
      <c r="D34" s="54" t="inlineStr">
        <is>
          <t>Entergy</t>
        </is>
      </c>
      <c r="E34" s="54" t="inlineStr">
        <is>
          <t>Corporate procurement</t>
        </is>
      </c>
      <c r="F34" s="54" t="inlineStr"/>
      <c r="G34" s="56" t="inlineStr">
        <is>
          <t>https://nudc.com/staff-and-executive-leadership/board-directors/james-nbsp-w.-nbsp-niemiec-nbsp/</t>
        </is>
      </c>
      <c r="H34" s="54" t="inlineStr">
        <is>
          <t>Org website</t>
        </is>
      </c>
      <c r="I34" s="54" t="n"/>
      <c r="J34" s="54" t="n"/>
      <c r="K34" s="54" t="inlineStr">
        <is>
          <t>Original lead suggestion; assignment/contact details not independently confirmed in this review.</t>
        </is>
      </c>
      <c r="L34" s="54" t="n"/>
      <c r="M34" s="54" t="inlineStr">
        <is>
          <t>2026-10-29</t>
        </is>
      </c>
    </row>
    <row r="35">
      <c r="A35" s="54" t="inlineStr">
        <is>
          <t>Franklin Farms Power Station (Units 1 &amp; 2)</t>
        </is>
      </c>
      <c r="B35" s="54" t="inlineStr">
        <is>
          <t>Kimberly Cook-Nelson</t>
        </is>
      </c>
      <c r="C35" s="54" t="inlineStr">
        <is>
          <t>EVP &amp; Chief Operating Officer</t>
        </is>
      </c>
      <c r="D35" s="54" t="inlineStr">
        <is>
          <t>Entergy</t>
        </is>
      </c>
      <c r="E35" s="54" t="inlineStr">
        <is>
          <t>Generation &amp; capital projects executive</t>
        </is>
      </c>
      <c r="F35" s="54" t="inlineStr"/>
      <c r="G35" s="56" t="inlineStr">
        <is>
          <t>https://www.entergy.com/leadership/kimberly-cook-nelson</t>
        </is>
      </c>
      <c r="H35" s="54" t="inlineStr">
        <is>
          <t>Official website</t>
        </is>
      </c>
      <c r="I35" s="54" t="n"/>
      <c r="J35" s="54" t="n"/>
      <c r="K35" s="54" t="inlineStr">
        <is>
          <t>Original lead suggestion; assignment/contact details not independently confirmed in this review.</t>
        </is>
      </c>
      <c r="L35" s="54" t="n"/>
      <c r="M35" s="54" t="inlineStr">
        <is>
          <t>2026-10-29</t>
        </is>
      </c>
    </row>
    <row r="36">
      <c r="A36" s="54" t="inlineStr">
        <is>
          <t>Franklin Farms Power Station (Units 1 &amp; 2)</t>
        </is>
      </c>
      <c r="B36" s="54" t="inlineStr">
        <is>
          <t>Brandon Scardigli</t>
        </is>
      </c>
      <c r="C36" s="54" t="inlineStr">
        <is>
          <t>Media contact</t>
        </is>
      </c>
      <c r="D36" s="54" t="inlineStr">
        <is>
          <t>Entergy Louisiana</t>
        </is>
      </c>
      <c r="E36" s="54" t="inlineStr">
        <is>
          <t>Media</t>
        </is>
      </c>
      <c r="F36" s="54" t="inlineStr">
        <is>
          <t>bscardi@entergy.com; 504-576-4132</t>
        </is>
      </c>
      <c r="G36" s="56" t="inlineStr">
        <is>
          <t>https://www.opportunitylouisiana.gov/news/entergy-louisiana-breaks-ground-on-new-state-of-the-art-generation-facilities-to-power-reliability-growth-and-innovation</t>
        </is>
      </c>
      <c r="H36" s="54" t="inlineStr">
        <is>
          <t>Official release</t>
        </is>
      </c>
      <c r="I36" s="54" t="n"/>
      <c r="J36" s="54" t="inlineStr">
        <is>
          <t>+1 504-576-4132</t>
        </is>
      </c>
      <c r="K36" s="54" t="inlineStr">
        <is>
          <t>Media contact only; not procurement. Published media phone confirmed; original email not independently reconfirmed.</t>
        </is>
      </c>
      <c r="L36" s="54" t="n"/>
      <c r="M36" s="54" t="inlineStr">
        <is>
          <t>2026-10-29</t>
        </is>
      </c>
    </row>
    <row r="37">
      <c r="A37" s="54" t="inlineStr">
        <is>
          <t>Waterford 5 Power Station</t>
        </is>
      </c>
      <c r="B37" s="54" t="inlineStr">
        <is>
          <t>Nicholas D. Pressler</t>
        </is>
      </c>
      <c r="C37" s="54" t="inlineStr">
        <is>
          <t>Director, Power Development</t>
        </is>
      </c>
      <c r="D37" s="54" t="inlineStr">
        <is>
          <t>Entergy Services LLC</t>
        </is>
      </c>
      <c r="E37" s="54" t="inlineStr">
        <is>
          <t>EPC witness (Waterford 6 filing)</t>
        </is>
      </c>
      <c r="F37" s="54" t="inlineStr"/>
      <c r="G37" s="56" t="inlineStr">
        <is>
          <t>https://lpscpubvalence.lpsc.louisiana.gov/portal/PSC/ViewFile?fileId=hsljNiQroZw%3D</t>
        </is>
      </c>
      <c r="H37" s="54" t="inlineStr">
        <is>
          <t>Regulatory filing</t>
        </is>
      </c>
      <c r="I37" s="54" t="inlineStr">
        <is>
          <t>npress1@entergy.com</t>
        </is>
      </c>
      <c r="J37" s="54" t="n"/>
      <c r="K37" s="54" t="inlineStr">
        <is>
          <t>Historical business email: 2022 DOE report; reconfirm before use. Direct phone not found.</t>
        </is>
      </c>
      <c r="L37" s="56" t="inlineStr">
        <is>
          <t>https://www.osti.gov/servlets/purl/1884860</t>
        </is>
      </c>
      <c r="M37" s="54" t="inlineStr">
        <is>
          <t>2026-10-29</t>
        </is>
      </c>
    </row>
    <row r="38">
      <c r="A38" s="54" t="inlineStr">
        <is>
          <t>Waterford 5 Power Station</t>
        </is>
      </c>
      <c r="B38" s="54" t="inlineStr">
        <is>
          <t>Michelle Berg</t>
        </is>
      </c>
      <c r="C38" s="54" t="inlineStr">
        <is>
          <t>Entergy representative</t>
        </is>
      </c>
      <c r="D38" s="54" t="inlineStr">
        <is>
          <t>Entergy</t>
        </is>
      </c>
      <c r="E38" s="54" t="inlineStr">
        <is>
          <t>Parish council briefing</t>
        </is>
      </c>
      <c r="F38" s="54" t="inlineStr"/>
      <c r="G38" s="56" t="inlineStr">
        <is>
          <t>https://citizenportal.ai/articles/6476185/Louisiana/St-Charles-Parish/Entergy-announces-plans-for-two-new-combined-cycle-units-at-Waterford-site-cites-2B-plus-investment-and-local-jobs</t>
        </is>
      </c>
      <c r="H38" s="54" t="inlineStr">
        <is>
          <t>Secondary source - verify</t>
        </is>
      </c>
      <c r="I38" s="54" t="n"/>
      <c r="J38" s="54" t="n"/>
      <c r="K38" s="54" t="inlineStr">
        <is>
          <t>Original lead suggestion; assignment/contact details not independently confirmed in this review.</t>
        </is>
      </c>
      <c r="L38" s="54" t="n"/>
      <c r="M38" s="54" t="inlineStr">
        <is>
          <t>2026-10-29</t>
        </is>
      </c>
    </row>
    <row r="39">
      <c r="A39" s="54" t="inlineStr">
        <is>
          <t>All Entergy program plants</t>
        </is>
      </c>
      <c r="B39" s="54" t="inlineStr">
        <is>
          <t>TSL Power Partners (JV TIC/Kiewit + Sargent &amp; Lundy)</t>
        </is>
      </c>
      <c r="C39" s="54" t="inlineStr">
        <is>
          <t>EPC procurement</t>
        </is>
      </c>
      <c r="D39" s="54" t="inlineStr">
        <is>
          <t>TSL Power Partners</t>
        </is>
      </c>
      <c r="E39" s="54" t="inlineStr">
        <is>
          <t>Buys cable for Entergy CC/CT program</t>
        </is>
      </c>
      <c r="F39" s="54" t="inlineStr">
        <is>
          <t>8900 Renner Blvd, Lenexa, KS 66219</t>
        </is>
      </c>
      <c r="G39" s="56" t="inlineStr">
        <is>
          <t>https://www.ticus.com/entergy-program/</t>
        </is>
      </c>
      <c r="H39" s="54" t="inlineStr">
        <is>
          <t>Company website / customs record</t>
        </is>
      </c>
      <c r="I39" s="54" t="n"/>
      <c r="J39" s="54" t="n"/>
      <c r="K39" s="54" t="inlineStr">
        <is>
          <t>Original lead suggestion; assignment/contact details not independently confirmed in this review.</t>
        </is>
      </c>
      <c r="L39" s="54" t="n"/>
      <c r="M39" s="54" t="inlineStr">
        <is>
          <t>2026-10-29</t>
        </is>
      </c>
    </row>
    <row r="40">
      <c r="A40" s="54" t="inlineStr">
        <is>
          <t>AES Petersburg Unit 4 Repowered</t>
        </is>
      </c>
      <c r="B40" s="54" t="inlineStr">
        <is>
          <t>Brandi Davis-Handy</t>
        </is>
      </c>
      <c r="C40" s="54" t="inlineStr">
        <is>
          <t>President</t>
        </is>
      </c>
      <c r="D40" s="54" t="inlineStr">
        <is>
          <t>AES Indiana</t>
        </is>
      </c>
      <c r="E40" s="54" t="inlineStr">
        <is>
          <t>Owner executive</t>
        </is>
      </c>
      <c r="F40" s="54" t="inlineStr"/>
      <c r="G40" s="56" t="inlineStr">
        <is>
          <t>https://www.ibj.com/articles/as-aes-indiana-abandons-coal-capacity-questions-arise</t>
        </is>
      </c>
      <c r="H40" s="54" t="inlineStr">
        <is>
          <t>News quote</t>
        </is>
      </c>
      <c r="I40" s="54" t="n"/>
      <c r="J40" s="54" t="n"/>
      <c r="K40" s="54" t="inlineStr">
        <is>
          <t>Original suggested contact; direct email/phone and current project buying authority not verified unless specified below.</t>
        </is>
      </c>
      <c r="L40" s="54" t="n"/>
      <c r="M40" s="54" t="inlineStr">
        <is>
          <t>2026-10-29</t>
        </is>
      </c>
    </row>
    <row r="41">
      <c r="A41" s="54" t="inlineStr">
        <is>
          <t>AES Petersburg Unit 4 Repowered</t>
        </is>
      </c>
      <c r="B41" s="54" t="inlineStr">
        <is>
          <t>Chris Riker</t>
        </is>
      </c>
      <c r="C41" s="54" t="inlineStr">
        <is>
          <t>SVP, B&amp;W Thermal</t>
        </is>
      </c>
      <c r="D41" s="54" t="inlineStr">
        <is>
          <t>Babcock &amp; Wilcox</t>
        </is>
      </c>
      <c r="E41" s="54" t="inlineStr">
        <is>
          <t>EPC executive</t>
        </is>
      </c>
      <c r="F41" s="54" t="inlineStr"/>
      <c r="G41" s="56" t="inlineStr">
        <is>
          <t>https://www.businesswire.com/news/home/20241114839613/en</t>
        </is>
      </c>
      <c r="H41" s="54" t="inlineStr">
        <is>
          <t>Official release</t>
        </is>
      </c>
      <c r="I41" s="54" t="n"/>
      <c r="J41" s="54" t="n"/>
      <c r="K41" s="54" t="inlineStr">
        <is>
          <t>Original suggested contact; direct email/phone and current project buying authority not verified unless specified below.</t>
        </is>
      </c>
      <c r="L41" s="54" t="n"/>
      <c r="M41" s="54" t="inlineStr">
        <is>
          <t>2026-10-29</t>
        </is>
      </c>
    </row>
    <row r="42">
      <c r="A42" s="54" t="inlineStr">
        <is>
          <t>AES Petersburg Unit 4 Repowered</t>
        </is>
      </c>
      <c r="B42" s="54" t="inlineStr">
        <is>
          <t>Todd Hillman</t>
        </is>
      </c>
      <c r="C42" s="54" t="inlineStr">
        <is>
          <t>Senior VP</t>
        </is>
      </c>
      <c r="D42" s="54" t="inlineStr">
        <is>
          <t>AES Indiana</t>
        </is>
      </c>
      <c r="E42" s="54" t="inlineStr">
        <is>
          <t>Owner executive</t>
        </is>
      </c>
      <c r="F42" s="54" t="inlineStr"/>
      <c r="G42" s="56" t="inlineStr">
        <is>
          <t>https://insideindianabusiness.com/?p=176496</t>
        </is>
      </c>
      <c r="H42" s="54" t="inlineStr">
        <is>
          <t>News</t>
        </is>
      </c>
      <c r="I42" s="54" t="n"/>
      <c r="J42" s="54" t="n"/>
      <c r="K42" s="54" t="inlineStr">
        <is>
          <t>Original suggested contact; direct email/phone and current project buying authority not verified unless specified below.</t>
        </is>
      </c>
      <c r="L42" s="54" t="n"/>
      <c r="M42" s="54" t="inlineStr">
        <is>
          <t>2026-10-29</t>
        </is>
      </c>
    </row>
    <row r="43">
      <c r="A43" s="54" t="inlineStr">
        <is>
          <t>Trumbull Energy Center</t>
        </is>
      </c>
      <c r="B43" s="54" t="inlineStr">
        <is>
          <t>Logan Choi</t>
        </is>
      </c>
      <c r="C43" s="54" t="inlineStr">
        <is>
          <t>President &amp; CEO</t>
        </is>
      </c>
      <c r="D43" s="54" t="inlineStr">
        <is>
          <t>Trumbull Energy Center</t>
        </is>
      </c>
      <c r="E43" s="54" t="inlineStr">
        <is>
          <t>Owner executive</t>
        </is>
      </c>
      <c r="F43" s="54" t="inlineStr"/>
      <c r="G43" s="56" t="inlineStr">
        <is>
          <t>https://www.tribtoday.com/news/local-news/2026/06/trumbull-energy-center-complete/</t>
        </is>
      </c>
      <c r="H43" s="54" t="inlineStr">
        <is>
          <t>News</t>
        </is>
      </c>
      <c r="I43" s="54" t="n"/>
      <c r="J43" s="54" t="n"/>
      <c r="K43" s="54" t="inlineStr">
        <is>
          <t>Original suggested contact; direct email/phone and current project buying authority not verified unless specified below.</t>
        </is>
      </c>
      <c r="L43" s="54" t="n"/>
      <c r="M43" s="54" t="inlineStr">
        <is>
          <t>2026-10-29</t>
        </is>
      </c>
    </row>
    <row r="44">
      <c r="A44" s="54" t="inlineStr">
        <is>
          <t>Trumbull Energy Center</t>
        </is>
      </c>
      <c r="B44" s="54" t="inlineStr">
        <is>
          <t>Charles E. Collins IV</t>
        </is>
      </c>
      <c r="C44" s="54" t="inlineStr">
        <is>
          <t>CEO</t>
        </is>
      </c>
      <c r="D44" s="54" t="inlineStr">
        <is>
          <t>Gemma Power Systems</t>
        </is>
      </c>
      <c r="E44" s="54" t="inlineStr">
        <is>
          <t>EPC executive</t>
        </is>
      </c>
      <c r="F44" s="54" t="inlineStr"/>
      <c r="G44" s="56" t="inlineStr">
        <is>
          <t>https://www.mahoningmatters.com/news/local/article316266623.html</t>
        </is>
      </c>
      <c r="H44" s="54" t="inlineStr">
        <is>
          <t>News</t>
        </is>
      </c>
      <c r="I44" s="54" t="n"/>
      <c r="J44" s="54" t="n"/>
      <c r="K44" s="54" t="inlineStr">
        <is>
          <t>Original suggested contact; direct email/phone and current project buying authority not verified unless specified below.</t>
        </is>
      </c>
      <c r="L44" s="54" t="n"/>
      <c r="M44" s="54" t="inlineStr">
        <is>
          <t>2026-10-29</t>
        </is>
      </c>
    </row>
    <row r="45">
      <c r="A45" s="54" t="inlineStr">
        <is>
          <t>Trumbull Energy Center</t>
        </is>
      </c>
      <c r="B45" s="54" t="inlineStr">
        <is>
          <t>William Siderewicz, P.E.</t>
        </is>
      </c>
      <c r="C45" s="54" t="inlineStr">
        <is>
          <t>President</t>
        </is>
      </c>
      <c r="D45" s="54" t="inlineStr">
        <is>
          <t>Clean Energy Future, LLC</t>
        </is>
      </c>
      <c r="E45" s="54" t="inlineStr">
        <is>
          <t>Developer</t>
        </is>
      </c>
      <c r="F45" s="54" t="inlineStr"/>
      <c r="G45" s="56" t="inlineStr">
        <is>
          <t>https://www.businesswire.com/news/home/20221108006189/en</t>
        </is>
      </c>
      <c r="H45" s="54" t="inlineStr">
        <is>
          <t>Official release</t>
        </is>
      </c>
      <c r="I45" s="54" t="n"/>
      <c r="J45" s="54" t="n"/>
      <c r="K45" s="54" t="inlineStr">
        <is>
          <t>Original suggested contact; direct email/phone and current project buying authority not verified unless specified below.</t>
        </is>
      </c>
      <c r="L45" s="54" t="n"/>
      <c r="M45" s="54" t="inlineStr">
        <is>
          <t>2026-10-29</t>
        </is>
      </c>
    </row>
    <row r="46">
      <c r="A46" s="54" t="inlineStr">
        <is>
          <t>Socrates South Power Generation</t>
        </is>
      </c>
      <c r="B46" s="54" t="inlineStr">
        <is>
          <t>Chad Zamarin</t>
        </is>
      </c>
      <c r="C46" s="54" t="inlineStr">
        <is>
          <t>President &amp; CEO</t>
        </is>
      </c>
      <c r="D46" s="54" t="inlineStr">
        <is>
          <t>Williams</t>
        </is>
      </c>
      <c r="E46" s="54" t="inlineStr">
        <is>
          <t>Owner executive</t>
        </is>
      </c>
      <c r="F46" s="54" t="inlineStr">
        <is>
          <t>Williams general line (800) WILLIAMS (fact sheet)</t>
        </is>
      </c>
      <c r="G46" s="56" t="inlineStr">
        <is>
          <t>https://www.roic.ai/quote/WMB/transcripts/2026-year/2-quarter</t>
        </is>
      </c>
      <c r="H46" s="54" t="inlineStr">
        <is>
          <t>Earnings call</t>
        </is>
      </c>
      <c r="I46" s="54" t="n"/>
      <c r="J46" s="54" t="n"/>
      <c r="K46" s="54" t="inlineStr">
        <is>
          <t>Executive target; use separately labeled Socrates project outreach. Original general line is not personal.</t>
        </is>
      </c>
      <c r="L46" s="54" t="n"/>
      <c r="M46" s="54" t="inlineStr">
        <is>
          <t>2026-10-29</t>
        </is>
      </c>
    </row>
    <row r="47">
      <c r="A47" s="54" t="inlineStr">
        <is>
          <t>Homer City Energy Campus</t>
        </is>
      </c>
      <c r="B47" s="54" t="inlineStr">
        <is>
          <t>Corey Hessen</t>
        </is>
      </c>
      <c r="C47" s="54" t="inlineStr">
        <is>
          <t>CEO</t>
        </is>
      </c>
      <c r="D47" s="54" t="inlineStr">
        <is>
          <t>Homer City Redevelopment</t>
        </is>
      </c>
      <c r="E47" s="54" t="inlineStr">
        <is>
          <t>Owner executive</t>
        </is>
      </c>
      <c r="F47" s="54" t="inlineStr">
        <is>
          <t>Media: press@homercityredevelopment.com</t>
        </is>
      </c>
      <c r="G47" s="56" t="inlineStr">
        <is>
          <t>https://www.businesswire.com/news/home/20260401716982/en/Homer-City-Redevelopment-Crosses-the-First-Steel-Threshold</t>
        </is>
      </c>
      <c r="H47" s="54" t="inlineStr">
        <is>
          <t>Official release</t>
        </is>
      </c>
      <c r="I47" s="54" t="n"/>
      <c r="J47" s="54" t="n"/>
      <c r="K47" s="54" t="inlineStr">
        <is>
          <t>Corey Hessen is owner CEO; press mailbox in original text is media-only, not his direct email. Construction vendor route added below.</t>
        </is>
      </c>
      <c r="L47" s="54" t="n"/>
      <c r="M47" s="54" t="inlineStr">
        <is>
          <t>2026-10-29</t>
        </is>
      </c>
    </row>
    <row r="48">
      <c r="A48" s="54" t="inlineStr">
        <is>
          <t>Homer City Energy Campus</t>
        </is>
      </c>
      <c r="B48" s="54" t="inlineStr">
        <is>
          <t>Brian Reinhart</t>
        </is>
      </c>
      <c r="C48" s="54" t="inlineStr">
        <is>
          <t>VP</t>
        </is>
      </c>
      <c r="D48" s="54" t="inlineStr">
        <is>
          <t>Kiewit Power Constructors Co.</t>
        </is>
      </c>
      <c r="E48" s="54" t="inlineStr">
        <is>
          <t>EPC executive</t>
        </is>
      </c>
      <c r="F48" s="54" t="inlineStr"/>
      <c r="G48" s="56" t="inlineStr">
        <is>
          <t>https://www.businesswire.com/news/home/20260401716982/en/Homer-City-Redevelopment-Crosses-the-First-Steel-Threshold</t>
        </is>
      </c>
      <c r="H48" s="54" t="inlineStr">
        <is>
          <t>Official release</t>
        </is>
      </c>
      <c r="I48" s="54" t="n"/>
      <c r="J48" s="54" t="n"/>
      <c r="K48" s="54" t="inlineStr">
        <is>
          <t>Original suggested contact; direct email/phone and current project buying authority not verified unless specified below.</t>
        </is>
      </c>
      <c r="L48" s="54" t="n"/>
      <c r="M48" s="54" t="inlineStr">
        <is>
          <t>2026-10-29</t>
        </is>
      </c>
    </row>
    <row r="49">
      <c r="A49" s="54" t="inlineStr">
        <is>
          <t>Homer City Energy Campus</t>
        </is>
      </c>
      <c r="B49" s="54" t="inlineStr">
        <is>
          <t>Andrew Shannahan</t>
        </is>
      </c>
      <c r="C49" s="54" t="inlineStr">
        <is>
          <t>Partner / HCR board member</t>
        </is>
      </c>
      <c r="D49" s="54" t="inlineStr">
        <is>
          <t>Knighthead Capital</t>
        </is>
      </c>
      <c r="E49" s="54" t="inlineStr">
        <is>
          <t>Financing sponsor</t>
        </is>
      </c>
      <c r="F49" s="54" t="inlineStr"/>
      <c r="G49" s="56" t="inlineStr">
        <is>
          <t>https://www.silicon.co.uk/press-release/homer-city-redevelopment-appoints-corey-hessen-as-ceo</t>
        </is>
      </c>
      <c r="H49" s="54" t="inlineStr">
        <is>
          <t>Official release</t>
        </is>
      </c>
      <c r="I49" s="54" t="n"/>
      <c r="J49" s="54" t="n"/>
      <c r="K49" s="54" t="inlineStr">
        <is>
          <t>Original suggested contact; direct email/phone and current project buying authority not verified unless specified below.</t>
        </is>
      </c>
      <c r="L49" s="54" t="n"/>
      <c r="M49" s="54" t="inlineStr">
        <is>
          <t>2026-10-29</t>
        </is>
      </c>
    </row>
    <row r="50">
      <c r="A50" s="54" t="inlineStr">
        <is>
          <t>Sandow Lakes Energy Station</t>
        </is>
      </c>
      <c r="B50" s="54" t="inlineStr">
        <is>
          <t>Edward "Ned" Ross III</t>
        </is>
      </c>
      <c r="C50" s="54" t="inlineStr">
        <is>
          <t>Executive Vice President</t>
        </is>
      </c>
      <c r="D50" s="54" t="inlineStr">
        <is>
          <t>Sandow Lakes Energy Company</t>
        </is>
      </c>
      <c r="E50" s="54" t="inlineStr">
        <is>
          <t>Developer lead (TEF filing primary contact)</t>
        </is>
      </c>
      <c r="F50" s="54" t="inlineStr"/>
      <c r="G50" s="56" t="inlineStr">
        <is>
          <t>https://interchange.puc.texas.gov/Documents/56455_62_1398423.PDF</t>
        </is>
      </c>
      <c r="H50" s="54" t="inlineStr">
        <is>
          <t>Regulatory filing</t>
        </is>
      </c>
      <c r="I50" s="54" t="n"/>
      <c r="J50" s="54" t="inlineStr">
        <is>
          <t>+1 512-887-4719</t>
        </is>
      </c>
      <c r="K50" s="54" t="inlineStr">
        <is>
          <t>Named applicant EVP; TCEQ public-meeting notice, March 2025.</t>
        </is>
      </c>
      <c r="L50" s="56" t="inlineStr">
        <is>
          <t>https://www.tceq.texas.gov/downloads/agency/decisions/hearings/notices/2025/2025-04-24-sl-energy-power-plant-i-177380-pm.pdf</t>
        </is>
      </c>
      <c r="M50" s="54" t="inlineStr">
        <is>
          <t>2026-10-29</t>
        </is>
      </c>
    </row>
    <row r="51">
      <c r="A51" s="54" t="inlineStr">
        <is>
          <t>Sandow Lakes Energy Station</t>
        </is>
      </c>
      <c r="B51" s="54" t="inlineStr">
        <is>
          <t>Charles E. Collins IV</t>
        </is>
      </c>
      <c r="C51" s="54" t="inlineStr">
        <is>
          <t>CEO</t>
        </is>
      </c>
      <c r="D51" s="54" t="inlineStr">
        <is>
          <t>Gemma Power Systems</t>
        </is>
      </c>
      <c r="E51" s="54" t="inlineStr">
        <is>
          <t>EPC executive</t>
        </is>
      </c>
      <c r="F51" s="54" t="inlineStr"/>
      <c r="G51" s="56" t="inlineStr">
        <is>
          <t>https://www.businesswire.com/news/home/20250206210188/en/Argan-Inc.s-Gemma-Power-Systems-Executes-EPC-Contract-for-a-1.2-GW-Power-Project-in-Texas</t>
        </is>
      </c>
      <c r="H51" s="54" t="inlineStr">
        <is>
          <t>Official release</t>
        </is>
      </c>
      <c r="I51" s="54" t="n"/>
      <c r="J51" s="54" t="n"/>
      <c r="K51" s="54" t="inlineStr">
        <is>
          <t>Original suggested contact; direct email/phone and current project buying authority not verified unless specified below.</t>
        </is>
      </c>
      <c r="L51" s="54" t="n"/>
      <c r="M51" s="54" t="inlineStr">
        <is>
          <t>2026-10-29</t>
        </is>
      </c>
    </row>
    <row r="52">
      <c r="A52" s="54" t="inlineStr">
        <is>
          <t>Wolf Summit Energy Center</t>
        </is>
      </c>
      <c r="B52" s="54" t="inlineStr">
        <is>
          <t>Lee Davis</t>
        </is>
      </c>
      <c r="C52" s="54" t="inlineStr">
        <is>
          <t>CEO</t>
        </is>
      </c>
      <c r="D52" s="54" t="inlineStr">
        <is>
          <t>Kindle Energy</t>
        </is>
      </c>
      <c r="E52" s="54" t="inlineStr">
        <is>
          <t>Developer/operator executive</t>
        </is>
      </c>
      <c r="F52" s="54" t="inlineStr"/>
      <c r="G52" s="56" t="inlineStr">
        <is>
          <t>https://finance.yahoo.com/sectors/energy/articles/kindle-energy-breaks-ground-blackstone-173000184.html</t>
        </is>
      </c>
      <c r="H52" s="54" t="inlineStr">
        <is>
          <t>News</t>
        </is>
      </c>
      <c r="I52" s="54" t="n"/>
      <c r="J52" s="54" t="n"/>
      <c r="K52" s="54" t="inlineStr">
        <is>
          <t>Original suggested contact; direct email/phone and current project buying authority not verified unless specified below.</t>
        </is>
      </c>
      <c r="L52" s="54" t="n"/>
      <c r="M52" s="54" t="inlineStr">
        <is>
          <t>2026-10-29</t>
        </is>
      </c>
    </row>
    <row r="53">
      <c r="A53" s="54" t="inlineStr">
        <is>
          <t>Wolf Summit Energy Center</t>
        </is>
      </c>
      <c r="B53" s="54" t="inlineStr">
        <is>
          <t>Wolf Summit project contact</t>
        </is>
      </c>
      <c r="C53" s="54" t="inlineStr">
        <is>
          <t>Project info line</t>
        </is>
      </c>
      <c r="D53" s="54" t="inlineStr">
        <is>
          <t>Wolf Summit Energy Center</t>
        </is>
      </c>
      <c r="E53" s="54" t="inlineStr">
        <is>
          <t>Shared project contact</t>
        </is>
      </c>
      <c r="F53" s="54" t="inlineStr">
        <is>
          <t>info@wolf-summit.com; (304) 576-8717</t>
        </is>
      </c>
      <c r="G53" s="56" t="inlineStr">
        <is>
          <t>https://wolf-summit.com/</t>
        </is>
      </c>
      <c r="H53" s="54" t="inlineStr">
        <is>
          <t>Official website</t>
        </is>
      </c>
      <c r="I53" s="54" t="inlineStr">
        <is>
          <t>info@wolf-summit.com</t>
        </is>
      </c>
      <c r="J53" s="54" t="inlineStr">
        <is>
          <t>+1 304-576-8717</t>
        </is>
      </c>
      <c r="K53" s="54" t="inlineStr">
        <is>
          <t>Current shared project contact; not Lee Davis direct.</t>
        </is>
      </c>
      <c r="L53" s="56" t="inlineStr">
        <is>
          <t>https://wolf-summit.com/</t>
        </is>
      </c>
      <c r="M53" s="54" t="inlineStr">
        <is>
          <t>2026-10-29</t>
        </is>
      </c>
    </row>
    <row r="54">
      <c r="A54" s="54" t="inlineStr">
        <is>
          <t>Wolf Summit Energy Center</t>
        </is>
      </c>
      <c r="B54" s="54" t="inlineStr">
        <is>
          <t>Bilal Khan</t>
        </is>
      </c>
      <c r="C54" s="54" t="inlineStr">
        <is>
          <t>Senior Managing Director</t>
        </is>
      </c>
      <c r="D54" s="54" t="inlineStr">
        <is>
          <t>Blackstone</t>
        </is>
      </c>
      <c r="E54" s="54" t="inlineStr">
        <is>
          <t>Sponsor</t>
        </is>
      </c>
      <c r="F54" s="54" t="inlineStr"/>
      <c r="G54" s="56" t="inlineStr">
        <is>
          <t>https://www.businesswire.com/news/home/20251113050904/en/Blackstone-Energy-Transition-Partners-Announces-1.2-Billion-Investment-to-Build-First-ever-Natural-Gas-Power-Generation-Facility-in-West-Virginia</t>
        </is>
      </c>
      <c r="H54" s="54" t="inlineStr">
        <is>
          <t>Official release</t>
        </is>
      </c>
      <c r="I54" s="54" t="n"/>
      <c r="J54" s="54" t="n"/>
      <c r="K54" s="54" t="inlineStr">
        <is>
          <t>Original suggested contact; direct email/phone and current project buying authority not verified unless specified below.</t>
        </is>
      </c>
      <c r="L54" s="54" t="n"/>
      <c r="M54" s="54" t="inlineStr">
        <is>
          <t>2026-10-29</t>
        </is>
      </c>
    </row>
    <row r="55">
      <c r="A55" s="54" t="inlineStr">
        <is>
          <t>Wolf Summit Energy Center</t>
        </is>
      </c>
      <c r="B55" s="54" t="inlineStr">
        <is>
          <t>Chris Cosby</t>
        </is>
      </c>
      <c r="C55" s="54" t="inlineStr">
        <is>
          <t>President &amp; CEO</t>
        </is>
      </c>
      <c r="D55" s="54" t="inlineStr">
        <is>
          <t>Old Dominion Electric Cooperative</t>
        </is>
      </c>
      <c r="E55" s="54" t="inlineStr">
        <is>
          <t>Offtaker</t>
        </is>
      </c>
      <c r="F55" s="54" t="inlineStr"/>
      <c r="G55" s="56" t="inlineStr">
        <is>
          <t>https://finance.yahoo.com/sectors/energy/articles/kindle-energy-breaks-ground-blackstone-173000184.html</t>
        </is>
      </c>
      <c r="H55" s="54" t="inlineStr">
        <is>
          <t>News</t>
        </is>
      </c>
      <c r="I55" s="54" t="n"/>
      <c r="J55" s="54" t="n"/>
      <c r="K55" s="54" t="inlineStr">
        <is>
          <t>Original suggested contact; direct email/phone and current project buying authority not verified unless specified below.</t>
        </is>
      </c>
      <c r="L55" s="54" t="n"/>
      <c r="M55" s="54" t="inlineStr">
        <is>
          <t>2026-10-29</t>
        </is>
      </c>
    </row>
    <row r="56">
      <c r="A56" s="54" t="inlineStr">
        <is>
          <t>Cedar Bayou Unit 5</t>
        </is>
      </c>
      <c r="B56" s="54" t="inlineStr">
        <is>
          <t>Robert J. Gaudette</t>
        </is>
      </c>
      <c r="C56" s="54" t="inlineStr">
        <is>
          <t>EVP &amp; President, Business &amp; Wholesale Operations</t>
        </is>
      </c>
      <c r="D56" s="54" t="inlineStr">
        <is>
          <t>NRG Energy</t>
        </is>
      </c>
      <c r="E56" s="54" t="inlineStr">
        <is>
          <t>Owner executive</t>
        </is>
      </c>
      <c r="F56" s="54" t="inlineStr"/>
      <c r="G56" s="56" t="inlineStr">
        <is>
          <t>https://gov.texas.gov/news/post/governor-abbott-announces-texas-energy-fund-loan-to-721-mw-natural-gas-facility-in-southeast-texas</t>
        </is>
      </c>
      <c r="H56" s="54" t="inlineStr">
        <is>
          <t>Official release</t>
        </is>
      </c>
      <c r="I56" s="54" t="n"/>
      <c r="J56" s="54" t="n"/>
      <c r="K56" s="54" t="inlineStr">
        <is>
          <t>Original suggested contact; direct email/phone and current project buying authority not verified unless specified below.</t>
        </is>
      </c>
      <c r="L56" s="54" t="n"/>
      <c r="M56" s="54" t="inlineStr">
        <is>
          <t>2026-10-29</t>
        </is>
      </c>
    </row>
    <row r="57">
      <c r="A57" s="54" t="inlineStr">
        <is>
          <t>CPV Basin Ranch Energy Center</t>
        </is>
      </c>
      <c r="B57" s="54" t="inlineStr">
        <is>
          <t>Peter Podurgiel</t>
        </is>
      </c>
      <c r="C57" s="54" t="inlineStr">
        <is>
          <t>President, Low Carbon Generation</t>
        </is>
      </c>
      <c r="D57" s="54" t="inlineStr">
        <is>
          <t>CPV Group</t>
        </is>
      </c>
      <c r="E57" s="54" t="inlineStr">
        <is>
          <t>Owner executive</t>
        </is>
      </c>
      <c r="F57" s="54" t="inlineStr"/>
      <c r="G57" s="56" t="inlineStr">
        <is>
          <t>https://cpv.com/2025/11/20/cpv-basin-ranch-energy-center-breaks-ground-in-ward-county-texas/</t>
        </is>
      </c>
      <c r="H57" s="54" t="inlineStr">
        <is>
          <t>Official release</t>
        </is>
      </c>
      <c r="I57" s="54" t="n"/>
      <c r="J57" s="54" t="n"/>
      <c r="K57" s="54" t="inlineStr">
        <is>
          <t>Original suggested contact; direct email/phone and current project buying authority not verified unless specified below.</t>
        </is>
      </c>
      <c r="L57" s="54" t="n"/>
      <c r="M57" s="54" t="inlineStr">
        <is>
          <t>2026-10-29</t>
        </is>
      </c>
    </row>
    <row r="58">
      <c r="A58" s="54" t="inlineStr">
        <is>
          <t>CPV Basin Ranch Energy Center</t>
        </is>
      </c>
      <c r="B58" s="54" t="inlineStr">
        <is>
          <t>Sherman Knight</t>
        </is>
      </c>
      <c r="C58" s="54" t="inlineStr">
        <is>
          <t>CEO</t>
        </is>
      </c>
      <c r="D58" s="54" t="inlineStr">
        <is>
          <t>CPV Group</t>
        </is>
      </c>
      <c r="E58" s="54" t="inlineStr">
        <is>
          <t>Owner executive</t>
        </is>
      </c>
      <c r="F58" s="54" t="inlineStr"/>
      <c r="G58" s="56" t="inlineStr">
        <is>
          <t>https://cpv.com/2025/11/20/cpv-basin-ranch-energy-center-breaks-ground-in-ward-county-texas/</t>
        </is>
      </c>
      <c r="H58" s="54" t="inlineStr">
        <is>
          <t>Official release</t>
        </is>
      </c>
      <c r="I58" s="54" t="n"/>
      <c r="J58" s="54" t="n"/>
      <c r="K58" s="54" t="inlineStr">
        <is>
          <t>Original suggested contact; direct email/phone and current project buying authority not verified unless specified below.</t>
        </is>
      </c>
      <c r="L58" s="54" t="n"/>
      <c r="M58" s="54" t="inlineStr">
        <is>
          <t>2026-10-29</t>
        </is>
      </c>
    </row>
    <row r="59">
      <c r="A59" s="54" t="inlineStr">
        <is>
          <t>CPV Basin Ranch Energy Center</t>
        </is>
      </c>
      <c r="B59" s="54" t="inlineStr">
        <is>
          <t>David Watson</t>
        </is>
      </c>
      <c r="C59" s="54" t="inlineStr">
        <is>
          <t>Company Contact</t>
        </is>
      </c>
      <c r="D59" s="54" t="inlineStr">
        <is>
          <t>Argan, Inc. (Gemma parent)</t>
        </is>
      </c>
      <c r="E59" s="54" t="inlineStr">
        <is>
          <t>Investor/company contact</t>
        </is>
      </c>
      <c r="F59" s="54" t="inlineStr">
        <is>
          <t>301-315-0027 (official release)</t>
        </is>
      </c>
      <c r="G59" s="56" t="inlineStr">
        <is>
          <t>https://www.businesswire.com/news/home/20251030500209/en/Argan-Inc.s-Gemma-Power-Systems-Receives-Full-Notice-to-Proceed-on-EPC-Contract-for-1350-MW-Combined-Cycle-Power-Plant-in-Texas</t>
        </is>
      </c>
      <c r="H59" s="54" t="inlineStr">
        <is>
          <t>Official release</t>
        </is>
      </c>
      <c r="I59" s="54" t="n"/>
      <c r="J59" s="54" t="n"/>
      <c r="K59" s="54" t="inlineStr">
        <is>
          <t>Corporate/IR contact from announcement; not a verified project purchasing contact.</t>
        </is>
      </c>
      <c r="L59" s="54" t="n"/>
      <c r="M59" s="54" t="inlineStr">
        <is>
          <t>2026-10-29</t>
        </is>
      </c>
    </row>
    <row r="60">
      <c r="A60" s="54" t="inlineStr">
        <is>
          <t>CPV Shay Energy Center</t>
        </is>
      </c>
      <c r="B60" s="54" t="inlineStr">
        <is>
          <t>Peter Podurgiel</t>
        </is>
      </c>
      <c r="C60" s="54" t="inlineStr">
        <is>
          <t>President (per Aug 2026 release)</t>
        </is>
      </c>
      <c r="D60" s="54" t="inlineStr">
        <is>
          <t>CPV Group</t>
        </is>
      </c>
      <c r="E60" s="54" t="inlineStr">
        <is>
          <t>Owner executive</t>
        </is>
      </c>
      <c r="F60" s="54" t="inlineStr"/>
      <c r="G60" s="56" t="inlineStr">
        <is>
          <t>https://cpv.com/2026/08/12/cpv-secures-10-year-gas-netback-with-eqt-to-supply-2-gw-cpv-shay-energy-center/</t>
        </is>
      </c>
      <c r="H60" s="54" t="inlineStr">
        <is>
          <t>Official release</t>
        </is>
      </c>
      <c r="I60" s="54" t="n"/>
      <c r="J60" s="54" t="n"/>
      <c r="K60" s="54" t="inlineStr">
        <is>
          <t>Original suggested contact; direct email/phone and current project buying authority not verified unless specified below.</t>
        </is>
      </c>
      <c r="L60" s="54" t="n"/>
      <c r="M60" s="54" t="inlineStr">
        <is>
          <t>2026-10-29</t>
        </is>
      </c>
    </row>
    <row r="61">
      <c r="A61" s="54" t="inlineStr">
        <is>
          <t>CPV Clean Energy Future - Oregon (Oregon Energy Center)</t>
        </is>
      </c>
      <c r="B61" s="54" t="inlineStr">
        <is>
          <t>Joel Mazur</t>
        </is>
      </c>
      <c r="C61" s="54" t="inlineStr">
        <is>
          <t>City Administrator</t>
        </is>
      </c>
      <c r="D61" s="54" t="inlineStr">
        <is>
          <t>City of Oregon, OH</t>
        </is>
      </c>
      <c r="E61" s="54" t="inlineStr">
        <is>
          <t>Local government</t>
        </is>
      </c>
      <c r="F61" s="54" t="inlineStr"/>
      <c r="G61" s="56" t="inlineStr">
        <is>
          <t>https://www.presspublications.com/stories/natural-gas-power-plant-oregon-ohio-reliability-resource-initiative-pjm,58407</t>
        </is>
      </c>
      <c r="H61" s="54" t="inlineStr">
        <is>
          <t>News</t>
        </is>
      </c>
      <c r="I61" s="54" t="n"/>
      <c r="J61" s="54" t="n"/>
      <c r="K61" s="54" t="inlineStr">
        <is>
          <t>Municipal contact; not CPV procurement.</t>
        </is>
      </c>
      <c r="L61" s="54" t="n"/>
      <c r="M61" s="54" t="inlineStr">
        <is>
          <t>2026-10-29</t>
        </is>
      </c>
    </row>
    <row r="62">
      <c r="A62" s="54" t="inlineStr">
        <is>
          <t>Lincoln Land Energy Center (LLEC)</t>
        </is>
      </c>
      <c r="B62" s="54" t="inlineStr">
        <is>
          <t>John Kinnamon</t>
        </is>
      </c>
      <c r="C62" s="54" t="inlineStr">
        <is>
          <t>VP, LLEC Project Leader</t>
        </is>
      </c>
      <c r="D62" s="54" t="inlineStr">
        <is>
          <t>EmberClear Corp.</t>
        </is>
      </c>
      <c r="E62" s="54" t="inlineStr">
        <is>
          <t>Developer project lead</t>
        </is>
      </c>
      <c r="F62" s="54" t="inlineStr"/>
      <c r="G62" s="56" t="inlineStr">
        <is>
          <t>https://www.springfield.il.us/Docs/EmberClearPresentation.pdf</t>
        </is>
      </c>
      <c r="H62" s="54" t="inlineStr">
        <is>
          <t>Developer presentation (dated)</t>
        </is>
      </c>
      <c r="I62" s="54" t="inlineStr">
        <is>
          <t>jkinnamon@emberclear.com</t>
        </is>
      </c>
      <c r="J62" s="54" t="inlineStr">
        <is>
          <t>+1 405-285-0220</t>
        </is>
      </c>
      <c r="K62" s="54" t="inlineStr">
        <is>
          <t>Historical developer fact-sheet contact; current role corroborated, channel validity not tested.</t>
        </is>
      </c>
      <c r="L62" s="56" t="inlineStr">
        <is>
          <t>https://www.thriveinspi.org/resources/a6e96b79-67aa-448a-8fd1-54b1f1430d3a/llec%20fact%20sheet.pdf?trackid=llec+fact+sheet.pdf | https://emberclear.com/about-us/</t>
        </is>
      </c>
      <c r="M62" s="54" t="inlineStr">
        <is>
          <t>2026-10-29</t>
        </is>
      </c>
    </row>
    <row r="63">
      <c r="A63" s="54" t="inlineStr">
        <is>
          <t>Lincoln Land Energy Center (LLEC)</t>
        </is>
      </c>
      <c r="B63" s="54" t="inlineStr">
        <is>
          <t>Kim Biggs</t>
        </is>
      </c>
      <c r="C63" s="54" t="inlineStr">
        <is>
          <t>Spokesperson</t>
        </is>
      </c>
      <c r="D63" s="54" t="inlineStr">
        <is>
          <t>Illinois EPA</t>
        </is>
      </c>
      <c r="E63" s="54" t="inlineStr">
        <is>
          <t>Permitting agency</t>
        </is>
      </c>
      <c r="F63" s="54" t="inlineStr"/>
      <c r="G63" s="56" t="inlineStr">
        <is>
          <t>https://www.illinoistimes.com/news/data-center-development-linked-to-power-plant-construction/</t>
        </is>
      </c>
      <c r="H63" s="54" t="inlineStr">
        <is>
          <t>News</t>
        </is>
      </c>
      <c r="I63" s="54" t="n"/>
      <c r="J63" s="54" t="n"/>
      <c r="K63" s="54" t="inlineStr">
        <is>
          <t>Regulator/media contact; not project procurement.</t>
        </is>
      </c>
      <c r="L63" s="54" t="n"/>
      <c r="M63" s="54" t="inlineStr">
        <is>
          <t>2026-10-29</t>
        </is>
      </c>
    </row>
    <row r="64">
      <c r="A64" s="54" t="inlineStr">
        <is>
          <t>Project Kilby (Chevron West Texas Power)</t>
        </is>
      </c>
      <c r="B64" s="54" t="inlineStr">
        <is>
          <t>Daniel Droog</t>
        </is>
      </c>
      <c r="C64" s="54" t="inlineStr">
        <is>
          <t>VP, Power Solutions</t>
        </is>
      </c>
      <c r="D64" s="54" t="inlineStr">
        <is>
          <t>Chevron</t>
        </is>
      </c>
      <c r="E64" s="54" t="inlineStr">
        <is>
          <t>Owner project executive</t>
        </is>
      </c>
      <c r="F64" s="54" t="inlineStr"/>
      <c r="G64" s="56" t="inlineStr">
        <is>
          <t>https://pureai.com/articles/2026/06/22/microsoft-and-chevron-team-up-on-texas-power-strategy-for-major-ai-datacenter-expansion.aspx</t>
        </is>
      </c>
      <c r="H64" s="54" t="inlineStr">
        <is>
          <t>News quote</t>
        </is>
      </c>
      <c r="I64" s="54" t="n"/>
      <c r="J64" s="54" t="n"/>
      <c r="K64" s="54" t="inlineStr">
        <is>
          <t>Original suggested contact; direct email/phone and current project buying authority not verified unless specified below.</t>
        </is>
      </c>
      <c r="L64" s="54" t="n"/>
      <c r="M64" s="54" t="inlineStr">
        <is>
          <t>2026-10-29</t>
        </is>
      </c>
    </row>
    <row r="65">
      <c r="A65" s="54" t="inlineStr">
        <is>
          <t>Project Kilby (Chevron West Texas Power)</t>
        </is>
      </c>
      <c r="B65" s="54" t="inlineStr">
        <is>
          <t>Jeff Gustavson</t>
        </is>
      </c>
      <c r="C65" s="54" t="inlineStr">
        <is>
          <t>President</t>
        </is>
      </c>
      <c r="D65" s="54" t="inlineStr">
        <is>
          <t>Chevron New Energies</t>
        </is>
      </c>
      <c r="E65" s="54" t="inlineStr">
        <is>
          <t>Owner executive</t>
        </is>
      </c>
      <c r="F65" s="54" t="inlineStr"/>
      <c r="G65" s="56" t="inlineStr">
        <is>
          <t>https://www.businesswire.com/news/home/20260622017964/en/Chevron-Signs-20-Year-Power-Agreement-with-Microsoft-for-West-Texas-Data-Center</t>
        </is>
      </c>
      <c r="H65" s="54" t="inlineStr">
        <is>
          <t>Official release</t>
        </is>
      </c>
      <c r="I65" s="54" t="n"/>
      <c r="J65" s="54" t="n"/>
      <c r="K65" s="54" t="inlineStr">
        <is>
          <t>Original suggested contact; direct email/phone and current project buying authority not verified unless specified below.</t>
        </is>
      </c>
      <c r="L65" s="54" t="n"/>
      <c r="M65" s="54" t="inlineStr">
        <is>
          <t>2026-10-29</t>
        </is>
      </c>
    </row>
    <row r="66">
      <c r="A66" s="54" t="inlineStr">
        <is>
          <t>Project Kilby (Chevron West Texas Power)</t>
        </is>
      </c>
      <c r="B66" s="54" t="inlineStr">
        <is>
          <t>Chris James</t>
        </is>
      </c>
      <c r="C66" s="54" t="inlineStr">
        <is>
          <t>Founder &amp; CEO</t>
        </is>
      </c>
      <c r="D66" s="54" t="inlineStr">
        <is>
          <t>Engine No. 1 / Joulent</t>
        </is>
      </c>
      <c r="E66" s="54" t="inlineStr">
        <is>
          <t>Development partner</t>
        </is>
      </c>
      <c r="F66" s="54" t="inlineStr"/>
      <c r="G66" s="56" t="inlineStr">
        <is>
          <t>https://energycapitalhtx.com/joulent-launches-data-centers</t>
        </is>
      </c>
      <c r="H66" s="54" t="inlineStr">
        <is>
          <t>News</t>
        </is>
      </c>
      <c r="I66" s="54" t="n"/>
      <c r="J66" s="54" t="n"/>
      <c r="K66" s="54" t="inlineStr">
        <is>
          <t>Original suggested contact; direct email/phone and current project buying authority not verified unless specified below.</t>
        </is>
      </c>
      <c r="L66" s="54" t="n"/>
      <c r="M66" s="54" t="inlineStr">
        <is>
          <t>2026-10-29</t>
        </is>
      </c>
    </row>
    <row r="67">
      <c r="A67" s="54" t="inlineStr">
        <is>
          <t>Shippingport Power Station Phase II</t>
        </is>
      </c>
      <c r="B67" s="54" t="inlineStr">
        <is>
          <t>Chris Cox</t>
        </is>
      </c>
      <c r="C67" s="54" t="inlineStr">
        <is>
          <t>VP, Power Generation</t>
        </is>
      </c>
      <c r="D67" s="54" t="inlineStr">
        <is>
          <t>The Frontier Group of Companies</t>
        </is>
      </c>
      <c r="E67" s="54" t="inlineStr">
        <is>
          <t>Owner/builder power lead</t>
        </is>
      </c>
      <c r="F67" s="54" t="inlineStr"/>
      <c r="G67" s="56" t="inlineStr">
        <is>
          <t>https://frontier-companies.com/frontier-group-of-companies-welcomes-senator-dave-mccormick-to-shippingport-industrial-park/</t>
        </is>
      </c>
      <c r="H67" s="54" t="inlineStr">
        <is>
          <t>Company website</t>
        </is>
      </c>
      <c r="I67" s="54" t="n"/>
      <c r="J67" s="54" t="n"/>
      <c r="K67" s="54" t="inlineStr">
        <is>
          <t>VP Power Generation role corroborated by owner release; direct email/phone not found.</t>
        </is>
      </c>
      <c r="L67" s="54" t="n"/>
      <c r="M67" s="54" t="inlineStr">
        <is>
          <t>2026-10-29</t>
        </is>
      </c>
    </row>
    <row r="68">
      <c r="A68" s="54" t="inlineStr">
        <is>
          <t>Shippingport Power Station Phase II</t>
        </is>
      </c>
      <c r="B68" s="54" t="inlineStr">
        <is>
          <t>David Franjoine</t>
        </is>
      </c>
      <c r="C68" s="54" t="inlineStr">
        <is>
          <t>Founder &amp; CEO</t>
        </is>
      </c>
      <c r="D68" s="54" t="inlineStr">
        <is>
          <t>The Frontier Group of Companies</t>
        </is>
      </c>
      <c r="E68" s="54" t="inlineStr">
        <is>
          <t>Owner executive</t>
        </is>
      </c>
      <c r="F68" s="54" t="inlineStr"/>
      <c r="G68" s="56" t="inlineStr">
        <is>
          <t>https://www.businesswire.com/news/home/20250715103342/en/The-Frontier-Group-of-Companies-to-Transform-Bruce-Mansfield-Power-Plant-into-State-of-the-Art-Natural-Gas-Power-Plant-Supporting-Americas-Energy-Goals-and-Pennsylvanias-Economic-Growth</t>
        </is>
      </c>
      <c r="H68" s="54" t="inlineStr">
        <is>
          <t>Official release</t>
        </is>
      </c>
      <c r="I68" s="54" t="n"/>
      <c r="J68" s="54" t="n"/>
      <c r="K68" s="54" t="inlineStr">
        <is>
          <t>Original suggested contact; direct email/phone and current project buying authority not verified unless specified below.</t>
        </is>
      </c>
      <c r="L68" s="54" t="n"/>
      <c r="M68" s="54" t="inlineStr">
        <is>
          <t>2026-10-29</t>
        </is>
      </c>
    </row>
    <row r="69">
      <c r="A69" s="54" t="inlineStr">
        <is>
          <t>Shippingport Power Station Phase II</t>
        </is>
      </c>
      <c r="B69" s="54" t="inlineStr">
        <is>
          <t>Robert Zuchlewski</t>
        </is>
      </c>
      <c r="C69" s="54" t="inlineStr">
        <is>
          <t>COO</t>
        </is>
      </c>
      <c r="D69" s="54" t="inlineStr">
        <is>
          <t>The Frontier Group of Companies</t>
        </is>
      </c>
      <c r="E69" s="54" t="inlineStr">
        <is>
          <t>Owner executive</t>
        </is>
      </c>
      <c r="F69" s="54" t="inlineStr"/>
      <c r="G69" s="56" t="inlineStr">
        <is>
          <t>https://frontier-companies.com/frontier-group-of-companies-welcomes-senator-dave-mccormick-to-shippingport-industrial-park/</t>
        </is>
      </c>
      <c r="H69" s="54" t="inlineStr">
        <is>
          <t>Company website</t>
        </is>
      </c>
      <c r="I69" s="54" t="n"/>
      <c r="J69" s="54" t="n"/>
      <c r="K69" s="54" t="inlineStr">
        <is>
          <t>COO role corroborated by owner release; direct email/phone not found.</t>
        </is>
      </c>
      <c r="L69" s="54" t="n"/>
      <c r="M69" s="54" t="inlineStr">
        <is>
          <t>2026-10-29</t>
        </is>
      </c>
    </row>
    <row r="70">
      <c r="A70" s="54" t="inlineStr">
        <is>
          <t>Sycamore Riverside</t>
        </is>
      </c>
      <c r="B70" s="54" t="inlineStr">
        <is>
          <t>Sycamore project team</t>
        </is>
      </c>
      <c r="C70" s="54" t="inlineStr">
        <is>
          <t>Shared business route</t>
        </is>
      </c>
      <c r="D70" s="54" t="inlineStr">
        <is>
          <t>Invenergy</t>
        </is>
      </c>
      <c r="E70" s="54" t="inlineStr">
        <is>
          <t>Shared project contact</t>
        </is>
      </c>
      <c r="F70" s="54" t="inlineStr">
        <is>
          <t>SycamoreRiverside@invenergy.com; +1 800-341-2319</t>
        </is>
      </c>
      <c r="G70" s="56" t="inlineStr">
        <is>
          <t>https://sycamoreriverside.invenergy.com/contact-us</t>
        </is>
      </c>
      <c r="H70" s="54" t="inlineStr">
        <is>
          <t>Shared project contact</t>
        </is>
      </c>
      <c r="I70" s="54" t="inlineStr">
        <is>
          <t>SycamoreRiverside@invenergy.com</t>
        </is>
      </c>
      <c r="J70" s="54" t="inlineStr">
        <is>
          <t>+1 800-341-2319</t>
        </is>
      </c>
      <c r="K70" s="54" t="inlineStr">
        <is>
          <t>Shared project contact</t>
        </is>
      </c>
      <c r="L70" s="56" t="inlineStr">
        <is>
          <t>https://sycamoreriverside.invenergy.com/contact-us</t>
        </is>
      </c>
      <c r="M70" s="54" t="inlineStr">
        <is>
          <t>2026-10-29</t>
        </is>
      </c>
    </row>
    <row r="71">
      <c r="A71" s="54" t="inlineStr">
        <is>
          <t>Vast Sands / Permian Basin</t>
        </is>
      </c>
      <c r="B71" s="54" t="inlineStr">
        <is>
          <t>Supply chain routing</t>
        </is>
      </c>
      <c r="C71" s="54" t="inlineStr">
        <is>
          <t>Shared business route</t>
        </is>
      </c>
      <c r="D71" s="54" t="inlineStr">
        <is>
          <t>Vistra</t>
        </is>
      </c>
      <c r="E71" s="54" t="inlineStr">
        <is>
          <t>Email: supply chain; phone: supplier diversity. Not CEO direct contact</t>
        </is>
      </c>
      <c r="F71" s="54" t="inlineStr">
        <is>
          <t>SupplyChain@Vistracorp.com; +1 214-812-8000</t>
        </is>
      </c>
      <c r="G71" s="56" t="inlineStr">
        <is>
          <t>https://vistracorp.com/supply-chain/how-do-we-source/ | https://vistracorp.com/supply-chain/faq/</t>
        </is>
      </c>
      <c r="H71" s="54" t="inlineStr">
        <is>
          <t>Email: supply chain; phone: supplier diversity. Not CEO direct contact</t>
        </is>
      </c>
      <c r="I71" s="54" t="inlineStr">
        <is>
          <t>SupplyChain@Vistracorp.com</t>
        </is>
      </c>
      <c r="J71" s="54" t="inlineStr">
        <is>
          <t>+1 214-812-8000</t>
        </is>
      </c>
      <c r="K71" s="54" t="inlineStr">
        <is>
          <t>Email: supply chain; phone: supplier diversity. Not CEO direct contact</t>
        </is>
      </c>
      <c r="L71" s="56" t="inlineStr">
        <is>
          <t>https://vistracorp.com/supply-chain/how-do-we-source/ | https://vistracorp.com/supply-chain/faq/</t>
        </is>
      </c>
      <c r="M71" s="54" t="inlineStr">
        <is>
          <t>2026-10-29</t>
        </is>
      </c>
    </row>
    <row r="72">
      <c r="A72" s="54" t="inlineStr">
        <is>
          <t>Trumbull Energy Center</t>
        </is>
      </c>
      <c r="B72" s="54" t="inlineStr">
        <is>
          <t>Plant office</t>
        </is>
      </c>
      <c r="C72" s="54" t="inlineStr">
        <is>
          <t>Office contact</t>
        </is>
      </c>
      <c r="D72" s="54" t="inlineStr">
        <is>
          <t>Trumbull Energy Center</t>
        </is>
      </c>
      <c r="E72" s="54" t="inlineStr">
        <is>
          <t>Shared project office</t>
        </is>
      </c>
      <c r="F72" s="54" t="inlineStr">
        <is>
          <t>trumbullamc@trumbullamc.com; +1 724-591-5549</t>
        </is>
      </c>
      <c r="G72" s="56" t="inlineStr">
        <is>
          <t>https://www.trumbullenergycenter.com/</t>
        </is>
      </c>
      <c r="H72" s="54" t="inlineStr">
        <is>
          <t>Shared project office</t>
        </is>
      </c>
      <c r="I72" s="54" t="inlineStr">
        <is>
          <t>trumbullamc@trumbullamc.com</t>
        </is>
      </c>
      <c r="J72" s="54" t="inlineStr">
        <is>
          <t>+1 724-591-5549</t>
        </is>
      </c>
      <c r="K72" s="54" t="inlineStr">
        <is>
          <t>Shared project office</t>
        </is>
      </c>
      <c r="L72" s="56" t="inlineStr">
        <is>
          <t>https://www.trumbullenergycenter.com/</t>
        </is>
      </c>
      <c r="M72" s="54" t="inlineStr">
        <is>
          <t>2026-10-29</t>
        </is>
      </c>
    </row>
    <row r="73">
      <c r="A73" s="54" t="inlineStr">
        <is>
          <t>Socrates South / North</t>
        </is>
      </c>
      <c r="B73" s="54" t="inlineStr">
        <is>
          <t>Project outreach</t>
        </is>
      </c>
      <c r="C73" s="54" t="inlineStr">
        <is>
          <t>Project inquiries</t>
        </is>
      </c>
      <c r="D73" s="54" t="inlineStr">
        <is>
          <t>Williams</t>
        </is>
      </c>
      <c r="E73" s="54" t="inlineStr">
        <is>
          <t>Shared project outreach; request procurement introduction</t>
        </is>
      </c>
      <c r="F73" s="54" t="inlineStr">
        <is>
          <t>outreach@williams.com; +1 888-275-9084</t>
        </is>
      </c>
      <c r="G73" s="56" t="inlineStr">
        <is>
          <t>https://www.williams.com/expansion-project/socrates-power-solution-facilities/</t>
        </is>
      </c>
      <c r="H73" s="54" t="inlineStr">
        <is>
          <t>Shared project outreach; request procurement introduction</t>
        </is>
      </c>
      <c r="I73" s="54" t="inlineStr">
        <is>
          <t>outreach@williams.com</t>
        </is>
      </c>
      <c r="J73" s="54" t="inlineStr">
        <is>
          <t>+1 888-275-9084</t>
        </is>
      </c>
      <c r="K73" s="54" t="inlineStr">
        <is>
          <t>Shared project outreach; request procurement introduction</t>
        </is>
      </c>
      <c r="L73" s="56" t="inlineStr">
        <is>
          <t>https://www.williams.com/expansion-project/socrates-power-solution-facilities/</t>
        </is>
      </c>
      <c r="M73" s="54" t="inlineStr">
        <is>
          <t>2026-10-29</t>
        </is>
      </c>
    </row>
    <row r="74">
      <c r="A74" s="54" t="inlineStr">
        <is>
          <t>Homer City Energy Campus</t>
        </is>
      </c>
      <c r="B74" s="54" t="inlineStr">
        <is>
          <t>Construction vendor team</t>
        </is>
      </c>
      <c r="C74" s="54" t="inlineStr">
        <is>
          <t>Vendor inquiries</t>
        </is>
      </c>
      <c r="D74" s="54" t="inlineStr">
        <is>
          <t>Kiewit</t>
        </is>
      </c>
      <c r="E74" s="54" t="inlineStr">
        <is>
          <t>Project-specific construction vendor email; phone not found</t>
        </is>
      </c>
      <c r="F74" s="54" t="inlineStr">
        <is>
          <t>HomerCity.Info@Kiewit.com</t>
        </is>
      </c>
      <c r="G74" s="56" t="inlineStr">
        <is>
          <t>https://www.homercityredevelopment.com/faq</t>
        </is>
      </c>
      <c r="H74" s="54" t="inlineStr">
        <is>
          <t>Project-specific construction vendor email; phone not found</t>
        </is>
      </c>
      <c r="I74" s="54" t="inlineStr">
        <is>
          <t>HomerCity.Info@Kiewit.com</t>
        </is>
      </c>
      <c r="J74" s="54" t="n"/>
      <c r="K74" s="54" t="inlineStr">
        <is>
          <t>Project-specific construction vendor email; phone not found</t>
        </is>
      </c>
      <c r="L74" s="56" t="inlineStr">
        <is>
          <t>https://www.homercityredevelopment.com/faq</t>
        </is>
      </c>
      <c r="M74" s="54" t="inlineStr">
        <is>
          <t>2026-10-29</t>
        </is>
      </c>
    </row>
    <row r="75">
      <c r="A75" s="54" t="inlineStr">
        <is>
          <t>Sandow Lakes Energy Station</t>
        </is>
      </c>
      <c r="B75" s="54" t="inlineStr">
        <is>
          <t>Tommy Hodges</t>
        </is>
      </c>
      <c r="C75" s="54" t="inlineStr">
        <is>
          <t>Chief Operating Officer</t>
        </is>
      </c>
      <c r="D75" s="54" t="inlineStr">
        <is>
          <t>SL Energy Power Plant I LLC</t>
        </is>
      </c>
      <c r="E75" s="54" t="inlineStr">
        <is>
          <t>Named applicant representative; 2025 regulatory filing; direct phone not found</t>
        </is>
      </c>
      <c r="F75" s="54" t="inlineStr">
        <is>
          <t>tommyh@slenergyco.com</t>
        </is>
      </c>
      <c r="G75" s="56" t="inlineStr">
        <is>
          <t>https://www.tceq.texas.gov/downloads/agency/decisions/agendas/backup/2025/2025-1310-air-picr.pdf</t>
        </is>
      </c>
      <c r="H75" s="54" t="inlineStr">
        <is>
          <t>Named applicant representative; 2025 regulatory filing; direct phone not found</t>
        </is>
      </c>
      <c r="I75" s="54" t="inlineStr">
        <is>
          <t>tommyh@slenergyco.com</t>
        </is>
      </c>
      <c r="J75" s="54" t="n"/>
      <c r="K75" s="54" t="inlineStr">
        <is>
          <t>Named applicant representative; 2025 regulatory filing; direct phone not found</t>
        </is>
      </c>
      <c r="L75" s="56" t="inlineStr">
        <is>
          <t>https://www.tceq.texas.gov/downloads/agency/decisions/agendas/backup/2025/2025-1310-air-picr.pdf</t>
        </is>
      </c>
      <c r="M75" s="54" t="inlineStr">
        <is>
          <t>2026-10-29</t>
        </is>
      </c>
    </row>
    <row r="76">
      <c r="A76" s="54" t="inlineStr">
        <is>
          <t>Cedar Bayou Unit 5</t>
        </is>
      </c>
      <c r="B76" s="54" t="inlineStr">
        <is>
          <t>Dudley D. Zahn</t>
        </is>
      </c>
      <c r="C76" s="54" t="inlineStr">
        <is>
          <t>Owner contact — project building registration</t>
        </is>
      </c>
      <c r="D76" s="54" t="inlineStr">
        <is>
          <t>NRG / Cedar Bayou 5 LLC</t>
        </is>
      </c>
      <c r="E76" s="54" t="inlineStr">
        <is>
          <t>2026 project phone; HISTORICAL EMAIL — reconfirm</t>
        </is>
      </c>
      <c r="F76" s="54" t="inlineStr">
        <is>
          <t>Dudley.Zahn@nrg.com; +1 713-537-3290</t>
        </is>
      </c>
      <c r="G76" s="56" t="inlineStr">
        <is>
          <t>https://www.tdlr.texas.gov/TABS/Search/Print/TABS2026016466 | https://www.nrg.com/assets/documents/case-studies/elbow-battery/2021-operation-phase-annual-report.pdf</t>
        </is>
      </c>
      <c r="H76" s="54" t="inlineStr">
        <is>
          <t>2026 project phone; HISTORICAL EMAIL — reconfirm</t>
        </is>
      </c>
      <c r="I76" s="54" t="inlineStr">
        <is>
          <t>Dudley.Zahn@nrg.com</t>
        </is>
      </c>
      <c r="J76" s="54" t="inlineStr">
        <is>
          <t>+1 713-537-3290</t>
        </is>
      </c>
      <c r="K76" s="54" t="inlineStr">
        <is>
          <t>2026 project phone; HISTORICAL EMAIL — reconfirm</t>
        </is>
      </c>
      <c r="L76" s="56" t="inlineStr">
        <is>
          <t>https://www.tdlr.texas.gov/TABS/Search/Print/TABS2026016466 | https://www.nrg.com/assets/documents/case-studies/elbow-battery/2021-operation-phase-annual-report.pdf</t>
        </is>
      </c>
      <c r="M76" s="54" t="inlineStr">
        <is>
          <t>2026-10-29</t>
        </is>
      </c>
    </row>
    <row r="77">
      <c r="A77" s="54" t="inlineStr">
        <is>
          <t>CPV Basin Ranch / Shay / Oregon</t>
        </is>
      </c>
      <c r="B77" s="54" t="inlineStr">
        <is>
          <t>Sam Loftus</t>
        </is>
      </c>
      <c r="C77" s="54" t="inlineStr">
        <is>
          <t>Director, Corporate Communications</t>
        </is>
      </c>
      <c r="D77" s="54" t="inlineStr">
        <is>
          <t>CPV</t>
        </is>
      </c>
      <c r="E77" s="54" t="inlineStr">
        <is>
          <t>MEDIA / communications only; not project procurement</t>
        </is>
      </c>
      <c r="F77" s="54" t="inlineStr">
        <is>
          <t>sloftus@cpv.com; +1 617-347-8094</t>
        </is>
      </c>
      <c r="G77" s="56" t="inlineStr">
        <is>
          <t>https://cpv.com/2026/08/12/cpv-secures-10-year-gas-netback-with-eqt-to-supply-2-gw-cpv-shay-energy-center/ | https://cpv.com/2025/10/30/cpv-basin-ranch-and-texas-energy-fund-ink-deal-for-1350-mw-ercot-project/</t>
        </is>
      </c>
      <c r="H77" s="54" t="inlineStr">
        <is>
          <t>MEDIA / communications only; not project procurement</t>
        </is>
      </c>
      <c r="I77" s="54" t="inlineStr">
        <is>
          <t>sloftus@cpv.com</t>
        </is>
      </c>
      <c r="J77" s="54" t="inlineStr">
        <is>
          <t>+1 617-347-8094</t>
        </is>
      </c>
      <c r="K77" s="54" t="inlineStr">
        <is>
          <t>MEDIA / communications only; not project procurement</t>
        </is>
      </c>
      <c r="L77" s="56" t="inlineStr">
        <is>
          <t>https://cpv.com/2026/08/12/cpv-secures-10-year-gas-netback-with-eqt-to-supply-2-gw-cpv-shay-energy-center/ | https://cpv.com/2025/10/30/cpv-basin-ranch-and-texas-energy-fund-ink-deal-for-1350-mw-ercot-project/</t>
        </is>
      </c>
      <c r="M77" s="54" t="inlineStr">
        <is>
          <t>2026-10-29</t>
        </is>
      </c>
    </row>
    <row r="78">
      <c r="A78" s="54" t="inlineStr">
        <is>
          <t>Project Kilby (Chevron West Texas Power)</t>
        </is>
      </c>
      <c r="B78" s="54" t="inlineStr">
        <is>
          <t>Birju Vasani</t>
        </is>
      </c>
      <c r="C78" s="54" t="inlineStr">
        <is>
          <t>Procurement prequalification contact</t>
        </is>
      </c>
      <c r="D78" s="54" t="inlineStr">
        <is>
          <t>Bechtel</t>
        </is>
      </c>
      <c r="E78" s="54" t="inlineStr">
        <is>
          <t>Kilby job 26776 procurement; May 18, 2026 report; phone not published</t>
        </is>
      </c>
      <c r="F78" s="54" t="inlineStr">
        <is>
          <t>bvasani@bechtel.com</t>
        </is>
      </c>
      <c r="G78" s="56" t="inlineStr">
        <is>
          <t>https://www.bechtel.com/wp-content/uploads/2026/05/5.18.26-Project-Opportunity-Report.pdf</t>
        </is>
      </c>
      <c r="H78" s="54" t="inlineStr">
        <is>
          <t>Kilby job 26776 procurement; May 18, 2026 report; phone not published</t>
        </is>
      </c>
      <c r="I78" s="54" t="inlineStr">
        <is>
          <t>bvasani@bechtel.com</t>
        </is>
      </c>
      <c r="J78" s="54" t="n"/>
      <c r="K78" s="54" t="inlineStr">
        <is>
          <t>Kilby job 26776 procurement; May 18, 2026 report; phone not published</t>
        </is>
      </c>
      <c r="L78" s="56" t="inlineStr">
        <is>
          <t>https://www.bechtel.com/wp-content/uploads/2026/05/5.18.26-Project-Opportunity-Report.pdf</t>
        </is>
      </c>
      <c r="M78" s="54" t="inlineStr">
        <is>
          <t>2026-10-29</t>
        </is>
      </c>
    </row>
    <row r="79">
      <c r="A79" s="54" t="inlineStr">
        <is>
          <t>Project Kilby (Chevron West Texas Power)</t>
        </is>
      </c>
      <c r="B79" s="54" t="inlineStr">
        <is>
          <t>Mark Bingaman</t>
        </is>
      </c>
      <c r="C79" s="54" t="inlineStr">
        <is>
          <t>Subcontracts prequalification contact</t>
        </is>
      </c>
      <c r="D79" s="54" t="inlineStr">
        <is>
          <t>Bechtel</t>
        </is>
      </c>
      <c r="E79" s="54" t="inlineStr">
        <is>
          <t>Kilby job 26776 subcontracts; May 18, 2026 report</t>
        </is>
      </c>
      <c r="F79" s="54" t="inlineStr">
        <is>
          <t>mabingam@bechtel.com; +1 713-235-1662</t>
        </is>
      </c>
      <c r="G79" s="56" t="inlineStr">
        <is>
          <t>https://www.bechtel.com/wp-content/uploads/2026/05/5.18.26-Project-Opportunity-Report.pdf</t>
        </is>
      </c>
      <c r="H79" s="54" t="inlineStr">
        <is>
          <t>Kilby job 26776 subcontracts; May 18, 2026 report</t>
        </is>
      </c>
      <c r="I79" s="54" t="inlineStr">
        <is>
          <t>mabingam@bechtel.com</t>
        </is>
      </c>
      <c r="J79" s="54" t="inlineStr">
        <is>
          <t>+1 713-235-1662</t>
        </is>
      </c>
      <c r="K79" s="54" t="inlineStr">
        <is>
          <t>Kilby job 26776 subcontracts; May 18, 2026 report</t>
        </is>
      </c>
      <c r="L79" s="56" t="inlineStr">
        <is>
          <t>https://www.bechtel.com/wp-content/uploads/2026/05/5.18.26-Project-Opportunity-Report.pdf</t>
        </is>
      </c>
      <c r="M79" s="54" t="inlineStr">
        <is>
          <t>2026-10-29</t>
        </is>
      </c>
    </row>
    <row r="80">
      <c r="A80" s="54" t="inlineStr">
        <is>
          <t>Project Kilby (Chevron West Texas Power)</t>
        </is>
      </c>
      <c r="B80" s="54" t="inlineStr">
        <is>
          <t>Kilby project team</t>
        </is>
      </c>
      <c r="C80" s="54" t="inlineStr">
        <is>
          <t>General project inquiries</t>
        </is>
      </c>
      <c r="D80" s="54" t="inlineStr">
        <is>
          <t>Energy Forge One LLC</t>
        </is>
      </c>
      <c r="E80" s="54" t="inlineStr">
        <is>
          <t>Shared project email; procurement contacts listed separately</t>
        </is>
      </c>
      <c r="F80" s="54" t="inlineStr">
        <is>
          <t>Info@kilby.com</t>
        </is>
      </c>
      <c r="G80" s="56" t="inlineStr">
        <is>
          <t>https://kilby.com/contact/</t>
        </is>
      </c>
      <c r="H80" s="54" t="inlineStr">
        <is>
          <t>Shared project email; procurement contacts listed separately</t>
        </is>
      </c>
      <c r="I80" s="54" t="inlineStr">
        <is>
          <t>Info@kilby.com</t>
        </is>
      </c>
      <c r="J80" s="54" t="n"/>
      <c r="K80" s="54" t="inlineStr">
        <is>
          <t>Shared project email; procurement contacts listed separately</t>
        </is>
      </c>
      <c r="L80" s="56" t="inlineStr">
        <is>
          <t>https://kilby.com/contact/</t>
        </is>
      </c>
      <c r="M80" s="54" t="inlineStr">
        <is>
          <t>2026-10-29</t>
        </is>
      </c>
    </row>
    <row r="81">
      <c r="A81" s="54" t="inlineStr">
        <is>
          <t>Shippingport Power Station Phase II</t>
        </is>
      </c>
      <c r="B81" s="54" t="inlineStr">
        <is>
          <t>General inquiries</t>
        </is>
      </c>
      <c r="C81" s="54" t="inlineStr">
        <is>
          <t>Company inquiries</t>
        </is>
      </c>
      <c r="D81" s="54" t="inlineStr">
        <is>
          <t>Frontier</t>
        </is>
      </c>
      <c r="E81" s="54" t="inlineStr">
        <is>
          <t>Shared office route; request project-specific buyer</t>
        </is>
      </c>
      <c r="F81" s="54" t="inlineStr">
        <is>
          <t>inquiries@fic-services.com; +1 716-447-7587</t>
        </is>
      </c>
      <c r="G81" s="56" t="inlineStr">
        <is>
          <t>https://frontier-companies.com/contact-us/</t>
        </is>
      </c>
      <c r="H81" s="54" t="inlineStr">
        <is>
          <t>Shared office route; request project-specific buyer</t>
        </is>
      </c>
      <c r="I81" s="54" t="inlineStr">
        <is>
          <t>inquiries@fic-services.com</t>
        </is>
      </c>
      <c r="J81" s="54" t="inlineStr">
        <is>
          <t>+1 716-447-7587</t>
        </is>
      </c>
      <c r="K81" s="54" t="inlineStr">
        <is>
          <t>Shared office route; request project-specific buyer</t>
        </is>
      </c>
      <c r="L81" s="56" t="inlineStr">
        <is>
          <t>https://frontier-companies.com/contact-us/</t>
        </is>
      </c>
      <c r="M81" s="54" t="inlineStr">
        <is>
          <t>2026-10-29</t>
        </is>
      </c>
    </row>
    <row r="82">
      <c r="A82" s="54" t="inlineStr">
        <is>
          <t>Shippingport Power Station Phase II</t>
        </is>
      </c>
      <c r="B82" s="54" t="inlineStr">
        <is>
          <t>Peter Violante</t>
        </is>
      </c>
      <c r="C82" s="54" t="inlineStr">
        <is>
          <t>Director, Logistics &amp; Business Development</t>
        </is>
      </c>
      <c r="D82" s="54" t="inlineStr">
        <is>
          <t>Frontier</t>
        </is>
      </c>
      <c r="E82" s="54" t="inlineStr">
        <is>
          <t>Published company business contact; Shippingport assignment not confirmed</t>
        </is>
      </c>
      <c r="F82" s="54" t="inlineStr">
        <is>
          <t>pviolante@fic-services.com; +1 716-523-2813</t>
        </is>
      </c>
      <c r="G82" s="56" t="inlineStr">
        <is>
          <t>https://frontier-companies.com/contact-us/</t>
        </is>
      </c>
      <c r="H82" s="54" t="inlineStr">
        <is>
          <t>Published company business contact; Shippingport assignment not confirmed</t>
        </is>
      </c>
      <c r="I82" s="54" t="inlineStr">
        <is>
          <t>pviolante@fic-services.com</t>
        </is>
      </c>
      <c r="J82" s="54" t="inlineStr">
        <is>
          <t>+1 716-523-2813</t>
        </is>
      </c>
      <c r="K82" s="54" t="inlineStr">
        <is>
          <t>Published company business contact; Shippingport assignment not confirmed</t>
        </is>
      </c>
      <c r="L82" s="56" t="inlineStr">
        <is>
          <t>https://frontier-companies.com/contact-us/</t>
        </is>
      </c>
      <c r="M82" s="54" t="inlineStr">
        <is>
          <t>2026-10-29</t>
        </is>
      </c>
    </row>
    <row r="83">
      <c r="A83" s="54" t="inlineStr">
        <is>
          <t>Shippingport Power Station Phase II</t>
        </is>
      </c>
      <c r="B83" s="54" t="inlineStr">
        <is>
          <t>Anthony Basil</t>
        </is>
      </c>
      <c r="C83" s="54" t="inlineStr">
        <is>
          <t>Project Manager</t>
        </is>
      </c>
      <c r="D83" s="54" t="inlineStr">
        <is>
          <t>Frontier</t>
        </is>
      </c>
      <c r="E83" s="54" t="inlineStr">
        <is>
          <t>Published company business contact; Shippingport assignment not confirmed</t>
        </is>
      </c>
      <c r="F83" s="54" t="inlineStr">
        <is>
          <t>abasil@fic-services.com; +1 304-914-7716</t>
        </is>
      </c>
      <c r="G83" s="56" t="inlineStr">
        <is>
          <t>https://frontier-companies.com/contact-us/</t>
        </is>
      </c>
      <c r="H83" s="54" t="inlineStr">
        <is>
          <t>Published company business contact; Shippingport assignment not confirmed</t>
        </is>
      </c>
      <c r="I83" s="54" t="inlineStr">
        <is>
          <t>abasil@fic-services.com</t>
        </is>
      </c>
      <c r="J83" s="54" t="inlineStr">
        <is>
          <t>+1 304-914-7716</t>
        </is>
      </c>
      <c r="K83" s="54" t="inlineStr">
        <is>
          <t>Published company business contact; Shippingport assignment not confirmed</t>
        </is>
      </c>
      <c r="L83" s="56" t="inlineStr">
        <is>
          <t>https://frontier-companies.com/contact-us/</t>
        </is>
      </c>
      <c r="M83" s="54" t="inlineStr">
        <is>
          <t>2026-10-29</t>
        </is>
      </c>
    </row>
    <row r="84">
      <c r="A84" s="54" t="inlineStr">
        <is>
          <t>VPN 4420 Natural Gas Generation Component</t>
        </is>
      </c>
      <c r="B84" s="54" t="inlineStr">
        <is>
          <t>Mark Siffin</t>
        </is>
      </c>
      <c r="C84" s="54" t="inlineStr">
        <is>
          <t>CEO / project business contact</t>
        </is>
      </c>
      <c r="D84" s="54" t="inlineStr">
        <is>
          <t>Maefield Development / VPN 4420 LLC</t>
        </is>
      </c>
      <c r="E84" s="54" t="inlineStr">
        <is>
          <t>2024 compliance report posted 2026; current project status to confirm</t>
        </is>
      </c>
      <c r="F84" s="54" t="inlineStr">
        <is>
          <t>siffin@maefield.com; +1 347-703-0093</t>
        </is>
      </c>
      <c r="G84" s="56" t="inlineStr">
        <is>
          <t>https://assets.comptroller.texas.gov/dat/ch313/1993/01993-772-2024-0812-MCA-195901-PBT.pdf | https://assets.comptroller.texas.gov/ch313/1993/1993-pecos-vpn-app.pdf | https://comptroller.texas.gov/economy/development/prop-tax/ch313/agreement-docs-details.php?id=1993</t>
        </is>
      </c>
      <c r="H84" s="54" t="inlineStr">
        <is>
          <t>2024 compliance report posted 2026; current project status to confirm</t>
        </is>
      </c>
      <c r="I84" s="54" t="inlineStr">
        <is>
          <t>siffin@maefield.com</t>
        </is>
      </c>
      <c r="J84" s="54" t="inlineStr">
        <is>
          <t>+1 347-703-0093</t>
        </is>
      </c>
      <c r="K84" s="54" t="inlineStr">
        <is>
          <t>2024 compliance report posted 2026; current project status to confirm</t>
        </is>
      </c>
      <c r="L84" s="56" t="inlineStr">
        <is>
          <t>https://assets.comptroller.texas.gov/dat/ch313/1993/01993-772-2024-0812-MCA-195901-PBT.pdf | https://assets.comptroller.texas.gov/ch313/1993/1993-pecos-vpn-app.pdf | https://comptroller.texas.gov/economy/development/prop-tax/ch313/agreement-docs-details.php?id=1993</t>
        </is>
      </c>
      <c r="M84" s="54" t="inlineStr">
        <is>
          <t>2026-10-29</t>
        </is>
      </c>
    </row>
    <row r="85">
      <c r="A85" s="54" t="inlineStr">
        <is>
          <t>Sandow Lakes / Basin Ranch / Trumbull</t>
        </is>
      </c>
      <c r="B85" s="54" t="inlineStr">
        <is>
          <t>Business office</t>
        </is>
      </c>
      <c r="C85" s="54" t="inlineStr">
        <is>
          <t>General business inquiries</t>
        </is>
      </c>
      <c r="D85" s="54" t="inlineStr">
        <is>
          <t>Gemma Power Systems</t>
        </is>
      </c>
      <c r="E85" s="54" t="inlineStr">
        <is>
          <t>Main office only; email not found; contact form available</t>
        </is>
      </c>
      <c r="F85" s="54" t="inlineStr">
        <is>
          <t>+1 860-659-0509</t>
        </is>
      </c>
      <c r="G85" s="56" t="inlineStr">
        <is>
          <t>https://www.gemmapower.com/contact/</t>
        </is>
      </c>
      <c r="H85" s="54" t="inlineStr">
        <is>
          <t>Main office only; email not found; contact form available</t>
        </is>
      </c>
      <c r="I85" s="54" t="n"/>
      <c r="J85" s="54" t="inlineStr">
        <is>
          <t>+1 860-659-0509</t>
        </is>
      </c>
      <c r="K85" s="54" t="inlineStr">
        <is>
          <t>Main office only; email not found; contact form available</t>
        </is>
      </c>
      <c r="L85" s="56" t="inlineStr">
        <is>
          <t>https://www.gemmapower.com/contact/</t>
        </is>
      </c>
      <c r="M85" s="54" t="inlineStr">
        <is>
          <t>2026-10-29</t>
        </is>
      </c>
    </row>
    <row r="86">
      <c r="A86" s="54" t="inlineStr">
        <is>
          <t>Plant Yates Unit 9 (Yates CT Units 8-10)</t>
        </is>
      </c>
      <c r="B86" s="54" t="inlineStr">
        <is>
          <t>Supplier portal support</t>
        </is>
      </c>
      <c r="C86" s="54" t="inlineStr">
        <is>
          <t>Supplier access support</t>
        </is>
      </c>
      <c r="D86" s="54" t="inlineStr">
        <is>
          <t>Black &amp; Veatch</t>
        </is>
      </c>
      <c r="E86" s="54" t="inlineStr">
        <is>
          <t>Email is portal support; phone is main office; neither is Rick Anderson direct</t>
        </is>
      </c>
      <c r="F86" s="54" t="inlineStr">
        <is>
          <t>BVAPSUPPMAINT@bv.com; +1 913-458-2000</t>
        </is>
      </c>
      <c r="G86" s="56" t="inlineStr">
        <is>
          <t>https://cdn.bfldr.com/E1EVDN8O/at/bz4ct6npstkxw48b6n9zm9j8/Oracle_Cloud_Azure_MFA_Registration_Step_Guide_19Jun2024.pdf | https://www.bv.com/en-US/contact-us | https://www.bv.com/en-US/suppliers</t>
        </is>
      </c>
      <c r="H86" s="54" t="inlineStr">
        <is>
          <t>Email is portal support; phone is main office; neither is Rick Anderson direct</t>
        </is>
      </c>
      <c r="I86" s="54" t="inlineStr">
        <is>
          <t>BVAPSUPPMAINT@bv.com</t>
        </is>
      </c>
      <c r="J86" s="54" t="inlineStr">
        <is>
          <t>+1 913-458-2000</t>
        </is>
      </c>
      <c r="K86" s="54" t="inlineStr">
        <is>
          <t>Email is portal support; phone is main office; neither is Rick Anderson direct</t>
        </is>
      </c>
      <c r="L86" s="56" t="inlineStr">
        <is>
          <t>https://cdn.bfldr.com/E1EVDN8O/at/bz4ct6npstkxw48b6n9zm9j8/Oracle_Cloud_Azure_MFA_Registration_Step_Guide_19Jun2024.pdf | https://www.bv.com/en-US/contact-us | https://www.bv.com/en-US/suppliers</t>
        </is>
      </c>
      <c r="M86" s="54" t="inlineStr">
        <is>
          <t>2026-10-29</t>
        </is>
      </c>
    </row>
    <row r="87">
      <c r="A87" s="54" t="inlineStr">
        <is>
          <t>Person County Combined Cycle 1 (CC1)</t>
        </is>
      </c>
      <c r="B87" s="54" t="inlineStr">
        <is>
          <t>Business office / procurement registration</t>
        </is>
      </c>
      <c r="C87" s="54" t="inlineStr">
        <is>
          <t>Supplier routing</t>
        </is>
      </c>
      <c r="D87" s="54" t="inlineStr">
        <is>
          <t>Zachry Group</t>
        </is>
      </c>
      <c r="E87" s="54" t="inlineStr">
        <is>
          <t>Main office phone; use procurement registration form; buyer email missing</t>
        </is>
      </c>
      <c r="F87" s="54" t="inlineStr">
        <is>
          <t>+1 210-588-5000</t>
        </is>
      </c>
      <c r="G87" s="56" t="inlineStr">
        <is>
          <t>https://zachrygroup.com/procurement | https://zachrygroup.com/about</t>
        </is>
      </c>
      <c r="H87" s="54" t="inlineStr">
        <is>
          <t>Main office phone; use procurement registration form; buyer email missing</t>
        </is>
      </c>
      <c r="I87" s="54" t="n"/>
      <c r="J87" s="54" t="inlineStr">
        <is>
          <t>+1 210-588-5000</t>
        </is>
      </c>
      <c r="K87" s="54" t="inlineStr">
        <is>
          <t>Main office phone; use procurement registration form; buyer email missing</t>
        </is>
      </c>
      <c r="L87" s="56" t="inlineStr">
        <is>
          <t>https://zachrygroup.com/procurement | https://zachrygroup.com/about</t>
        </is>
      </c>
      <c r="M87" s="54" t="inlineStr">
        <is>
          <t>2026-10-29</t>
        </is>
      </c>
    </row>
    <row r="88">
      <c r="A88" s="54" t="inlineStr">
        <is>
          <t>AES Petersburg Unit 4 Repowered</t>
        </is>
      </c>
      <c r="B88" s="54" t="inlineStr">
        <is>
          <t>B&amp;W Construction office</t>
        </is>
      </c>
      <c r="C88" s="54" t="inlineStr">
        <is>
          <t>Business office</t>
        </is>
      </c>
      <c r="D88" s="54" t="inlineStr">
        <is>
          <t>BWCC</t>
        </is>
      </c>
      <c r="E88" s="54" t="inlineStr">
        <is>
          <t>Business office, not a named Petersburg buyer; email missing</t>
        </is>
      </c>
      <c r="F88" s="54" t="inlineStr">
        <is>
          <t>+1 330-753-9750</t>
        </is>
      </c>
      <c r="G88" s="56" t="inlineStr">
        <is>
          <t>https://www.babcock.com/contact-us</t>
        </is>
      </c>
      <c r="H88" s="54" t="inlineStr">
        <is>
          <t>Business office, not a named Petersburg buyer; email missing</t>
        </is>
      </c>
      <c r="I88" s="54" t="n"/>
      <c r="J88" s="54" t="inlineStr">
        <is>
          <t>+1 330-753-9750</t>
        </is>
      </c>
      <c r="K88" s="54" t="inlineStr">
        <is>
          <t>Business office, not a named Petersburg buyer; email missing</t>
        </is>
      </c>
      <c r="L88" s="56" t="inlineStr">
        <is>
          <t>https://www.babcock.com/contact-us</t>
        </is>
      </c>
      <c r="M88" s="54" t="inlineStr">
        <is>
          <t>2026-10-29</t>
        </is>
      </c>
    </row>
    <row r="89">
      <c r="A89" s="54" t="inlineStr">
        <is>
          <t>Lincoln Land Energy Center (LLEC)</t>
        </is>
      </c>
      <c r="B89" s="54" t="inlineStr">
        <is>
          <t>EmberClear office</t>
        </is>
      </c>
      <c r="C89" s="54" t="inlineStr">
        <is>
          <t>Company inquiries</t>
        </is>
      </c>
      <c r="D89" s="54" t="inlineStr">
        <is>
          <t>EmberClear</t>
        </is>
      </c>
      <c r="E89" s="54" t="inlineStr">
        <is>
          <t>Current shared Houston office route; historical Kinnamon details separately labeled</t>
        </is>
      </c>
      <c r="F89" s="54" t="inlineStr">
        <is>
          <t>contact@emberclear.com; +1 888-582-4460</t>
        </is>
      </c>
      <c r="G89" s="56" t="inlineStr">
        <is>
          <t>https://emberclear.com/lincoln-land-2/</t>
        </is>
      </c>
      <c r="H89" s="54" t="inlineStr">
        <is>
          <t>Current shared Houston office route; historical Kinnamon details separately labeled</t>
        </is>
      </c>
      <c r="I89" s="54" t="inlineStr">
        <is>
          <t>contact@emberclear.com</t>
        </is>
      </c>
      <c r="J89" s="54" t="inlineStr">
        <is>
          <t>+1 888-582-4460</t>
        </is>
      </c>
      <c r="K89" s="54" t="inlineStr">
        <is>
          <t>Current shared Houston office route; historical Kinnamon details separately labeled</t>
        </is>
      </c>
      <c r="L89" s="56" t="inlineStr">
        <is>
          <t>https://emberclear.com/lincoln-land-2/</t>
        </is>
      </c>
      <c r="M89" s="54" t="inlineStr">
        <is>
          <t>2026-10-29</t>
        </is>
      </c>
    </row>
  </sheetData>
  <hyperlinks>
    <hyperlink xmlns:r="http://schemas.openxmlformats.org/officeDocument/2006/relationships" ref="G2" r:id="rId1"/>
    <hyperlink xmlns:r="http://schemas.openxmlformats.org/officeDocument/2006/relationships" ref="L2" r:id="rId2"/>
    <hyperlink xmlns:r="http://schemas.openxmlformats.org/officeDocument/2006/relationships" ref="G3" r:id="rId3"/>
    <hyperlink xmlns:r="http://schemas.openxmlformats.org/officeDocument/2006/relationships" ref="G4" r:id="rId4"/>
    <hyperlink xmlns:r="http://schemas.openxmlformats.org/officeDocument/2006/relationships" ref="G5" r:id="rId5"/>
    <hyperlink xmlns:r="http://schemas.openxmlformats.org/officeDocument/2006/relationships" ref="G6" r:id="rId6"/>
    <hyperlink xmlns:r="http://schemas.openxmlformats.org/officeDocument/2006/relationships" ref="G7" r:id="rId7"/>
    <hyperlink xmlns:r="http://schemas.openxmlformats.org/officeDocument/2006/relationships" ref="G8" r:id="rId8"/>
    <hyperlink xmlns:r="http://schemas.openxmlformats.org/officeDocument/2006/relationships" ref="G9" r:id="rId9"/>
    <hyperlink xmlns:r="http://schemas.openxmlformats.org/officeDocument/2006/relationships" ref="G10"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G14" r:id="rId14"/>
    <hyperlink xmlns:r="http://schemas.openxmlformats.org/officeDocument/2006/relationships" ref="G15" r:id="rId15"/>
    <hyperlink xmlns:r="http://schemas.openxmlformats.org/officeDocument/2006/relationships" ref="G16" r:id="rId16"/>
    <hyperlink xmlns:r="http://schemas.openxmlformats.org/officeDocument/2006/relationships" ref="G17" r:id="rId17"/>
    <hyperlink xmlns:r="http://schemas.openxmlformats.org/officeDocument/2006/relationships" ref="G18" r:id="rId18"/>
    <hyperlink xmlns:r="http://schemas.openxmlformats.org/officeDocument/2006/relationships" ref="L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G22" r:id="rId23"/>
    <hyperlink xmlns:r="http://schemas.openxmlformats.org/officeDocument/2006/relationships" ref="G23" r:id="rId24"/>
    <hyperlink xmlns:r="http://schemas.openxmlformats.org/officeDocument/2006/relationships" ref="G24" r:id="rId25"/>
    <hyperlink xmlns:r="http://schemas.openxmlformats.org/officeDocument/2006/relationships" ref="G25" r:id="rId26"/>
    <hyperlink xmlns:r="http://schemas.openxmlformats.org/officeDocument/2006/relationships" ref="G26" r:id="rId27"/>
    <hyperlink xmlns:r="http://schemas.openxmlformats.org/officeDocument/2006/relationships" ref="G27" r:id="rId28"/>
    <hyperlink xmlns:r="http://schemas.openxmlformats.org/officeDocument/2006/relationships" ref="L27" r:id="rId29"/>
    <hyperlink xmlns:r="http://schemas.openxmlformats.org/officeDocument/2006/relationships" ref="G28" r:id="rId30"/>
    <hyperlink xmlns:r="http://schemas.openxmlformats.org/officeDocument/2006/relationships" ref="G29" r:id="rId31"/>
    <hyperlink xmlns:r="http://schemas.openxmlformats.org/officeDocument/2006/relationships" ref="G31" r:id="rId32"/>
    <hyperlink xmlns:r="http://schemas.openxmlformats.org/officeDocument/2006/relationships" ref="G32" r:id="rId33"/>
    <hyperlink xmlns:r="http://schemas.openxmlformats.org/officeDocument/2006/relationships" ref="L32" r:id="rId34"/>
    <hyperlink xmlns:r="http://schemas.openxmlformats.org/officeDocument/2006/relationships" ref="G33" r:id="rId35"/>
    <hyperlink xmlns:r="http://schemas.openxmlformats.org/officeDocument/2006/relationships" ref="G34" r:id="rId36"/>
    <hyperlink xmlns:r="http://schemas.openxmlformats.org/officeDocument/2006/relationships" ref="G35" r:id="rId37"/>
    <hyperlink xmlns:r="http://schemas.openxmlformats.org/officeDocument/2006/relationships" ref="G36" r:id="rId38"/>
    <hyperlink xmlns:r="http://schemas.openxmlformats.org/officeDocument/2006/relationships" ref="G37" r:id="rId39"/>
    <hyperlink xmlns:r="http://schemas.openxmlformats.org/officeDocument/2006/relationships" ref="L37" r:id="rId40"/>
    <hyperlink xmlns:r="http://schemas.openxmlformats.org/officeDocument/2006/relationships" ref="G38" r:id="rId41"/>
    <hyperlink xmlns:r="http://schemas.openxmlformats.org/officeDocument/2006/relationships" ref="G39" r:id="rId42"/>
    <hyperlink xmlns:r="http://schemas.openxmlformats.org/officeDocument/2006/relationships" ref="G40" r:id="rId43"/>
    <hyperlink xmlns:r="http://schemas.openxmlformats.org/officeDocument/2006/relationships" ref="G41" r:id="rId44"/>
    <hyperlink xmlns:r="http://schemas.openxmlformats.org/officeDocument/2006/relationships" ref="G42" r:id="rId45"/>
    <hyperlink xmlns:r="http://schemas.openxmlformats.org/officeDocument/2006/relationships" ref="G43" r:id="rId46"/>
    <hyperlink xmlns:r="http://schemas.openxmlformats.org/officeDocument/2006/relationships" ref="G44" r:id="rId47"/>
    <hyperlink xmlns:r="http://schemas.openxmlformats.org/officeDocument/2006/relationships" ref="G45" r:id="rId48"/>
    <hyperlink xmlns:r="http://schemas.openxmlformats.org/officeDocument/2006/relationships" ref="G46" r:id="rId49"/>
    <hyperlink xmlns:r="http://schemas.openxmlformats.org/officeDocument/2006/relationships" ref="G47" r:id="rId50"/>
    <hyperlink xmlns:r="http://schemas.openxmlformats.org/officeDocument/2006/relationships" ref="G48" r:id="rId51"/>
    <hyperlink xmlns:r="http://schemas.openxmlformats.org/officeDocument/2006/relationships" ref="G49" r:id="rId52"/>
    <hyperlink xmlns:r="http://schemas.openxmlformats.org/officeDocument/2006/relationships" ref="G50" r:id="rId53"/>
    <hyperlink xmlns:r="http://schemas.openxmlformats.org/officeDocument/2006/relationships" ref="L50" r:id="rId54"/>
    <hyperlink xmlns:r="http://schemas.openxmlformats.org/officeDocument/2006/relationships" ref="G51" r:id="rId55"/>
    <hyperlink xmlns:r="http://schemas.openxmlformats.org/officeDocument/2006/relationships" ref="G52" r:id="rId56"/>
    <hyperlink xmlns:r="http://schemas.openxmlformats.org/officeDocument/2006/relationships" ref="G53" r:id="rId57"/>
    <hyperlink xmlns:r="http://schemas.openxmlformats.org/officeDocument/2006/relationships" ref="L53" r:id="rId58"/>
    <hyperlink xmlns:r="http://schemas.openxmlformats.org/officeDocument/2006/relationships" ref="G54" r:id="rId59"/>
    <hyperlink xmlns:r="http://schemas.openxmlformats.org/officeDocument/2006/relationships" ref="G55" r:id="rId60"/>
    <hyperlink xmlns:r="http://schemas.openxmlformats.org/officeDocument/2006/relationships" ref="G56" r:id="rId61"/>
    <hyperlink xmlns:r="http://schemas.openxmlformats.org/officeDocument/2006/relationships" ref="G57" r:id="rId62"/>
    <hyperlink xmlns:r="http://schemas.openxmlformats.org/officeDocument/2006/relationships" ref="G58" r:id="rId63"/>
    <hyperlink xmlns:r="http://schemas.openxmlformats.org/officeDocument/2006/relationships" ref="G59" r:id="rId64"/>
    <hyperlink xmlns:r="http://schemas.openxmlformats.org/officeDocument/2006/relationships" ref="G60" r:id="rId65"/>
    <hyperlink xmlns:r="http://schemas.openxmlformats.org/officeDocument/2006/relationships" ref="G61" r:id="rId66"/>
    <hyperlink xmlns:r="http://schemas.openxmlformats.org/officeDocument/2006/relationships" ref="G62" r:id="rId67"/>
    <hyperlink xmlns:r="http://schemas.openxmlformats.org/officeDocument/2006/relationships" ref="L62" r:id="rId68"/>
    <hyperlink xmlns:r="http://schemas.openxmlformats.org/officeDocument/2006/relationships" ref="G63" r:id="rId69"/>
    <hyperlink xmlns:r="http://schemas.openxmlformats.org/officeDocument/2006/relationships" ref="G64" r:id="rId70"/>
    <hyperlink xmlns:r="http://schemas.openxmlformats.org/officeDocument/2006/relationships" ref="G65" r:id="rId71"/>
    <hyperlink xmlns:r="http://schemas.openxmlformats.org/officeDocument/2006/relationships" ref="G66" r:id="rId72"/>
    <hyperlink xmlns:r="http://schemas.openxmlformats.org/officeDocument/2006/relationships" ref="G67" r:id="rId73"/>
    <hyperlink xmlns:r="http://schemas.openxmlformats.org/officeDocument/2006/relationships" ref="G68" r:id="rId74"/>
    <hyperlink xmlns:r="http://schemas.openxmlformats.org/officeDocument/2006/relationships" ref="G69" r:id="rId75"/>
    <hyperlink xmlns:r="http://schemas.openxmlformats.org/officeDocument/2006/relationships" ref="G70" r:id="rId76"/>
    <hyperlink xmlns:r="http://schemas.openxmlformats.org/officeDocument/2006/relationships" ref="L70" r:id="rId77"/>
    <hyperlink xmlns:r="http://schemas.openxmlformats.org/officeDocument/2006/relationships" ref="G71" r:id="rId78"/>
    <hyperlink xmlns:r="http://schemas.openxmlformats.org/officeDocument/2006/relationships" ref="L71" r:id="rId79"/>
    <hyperlink xmlns:r="http://schemas.openxmlformats.org/officeDocument/2006/relationships" ref="G72" r:id="rId80"/>
    <hyperlink xmlns:r="http://schemas.openxmlformats.org/officeDocument/2006/relationships" ref="L72" r:id="rId81"/>
    <hyperlink xmlns:r="http://schemas.openxmlformats.org/officeDocument/2006/relationships" ref="G73" r:id="rId82"/>
    <hyperlink xmlns:r="http://schemas.openxmlformats.org/officeDocument/2006/relationships" ref="L73" r:id="rId83"/>
    <hyperlink xmlns:r="http://schemas.openxmlformats.org/officeDocument/2006/relationships" ref="G74" r:id="rId84"/>
    <hyperlink xmlns:r="http://schemas.openxmlformats.org/officeDocument/2006/relationships" ref="L74" r:id="rId85"/>
    <hyperlink xmlns:r="http://schemas.openxmlformats.org/officeDocument/2006/relationships" ref="G75" r:id="rId86"/>
    <hyperlink xmlns:r="http://schemas.openxmlformats.org/officeDocument/2006/relationships" ref="L75" r:id="rId87"/>
    <hyperlink xmlns:r="http://schemas.openxmlformats.org/officeDocument/2006/relationships" ref="G76" r:id="rId88"/>
    <hyperlink xmlns:r="http://schemas.openxmlformats.org/officeDocument/2006/relationships" ref="L76" r:id="rId89"/>
    <hyperlink xmlns:r="http://schemas.openxmlformats.org/officeDocument/2006/relationships" ref="G77" r:id="rId90"/>
    <hyperlink xmlns:r="http://schemas.openxmlformats.org/officeDocument/2006/relationships" ref="L77" r:id="rId91"/>
    <hyperlink xmlns:r="http://schemas.openxmlformats.org/officeDocument/2006/relationships" ref="G78" r:id="rId92"/>
    <hyperlink xmlns:r="http://schemas.openxmlformats.org/officeDocument/2006/relationships" ref="L78" r:id="rId93"/>
    <hyperlink xmlns:r="http://schemas.openxmlformats.org/officeDocument/2006/relationships" ref="G79" r:id="rId94"/>
    <hyperlink xmlns:r="http://schemas.openxmlformats.org/officeDocument/2006/relationships" ref="L79" r:id="rId95"/>
    <hyperlink xmlns:r="http://schemas.openxmlformats.org/officeDocument/2006/relationships" ref="G80" r:id="rId96"/>
    <hyperlink xmlns:r="http://schemas.openxmlformats.org/officeDocument/2006/relationships" ref="L80" r:id="rId97"/>
    <hyperlink xmlns:r="http://schemas.openxmlformats.org/officeDocument/2006/relationships" ref="G81" r:id="rId98"/>
    <hyperlink xmlns:r="http://schemas.openxmlformats.org/officeDocument/2006/relationships" ref="L81" r:id="rId99"/>
    <hyperlink xmlns:r="http://schemas.openxmlformats.org/officeDocument/2006/relationships" ref="G82" r:id="rId100"/>
    <hyperlink xmlns:r="http://schemas.openxmlformats.org/officeDocument/2006/relationships" ref="L82" r:id="rId101"/>
    <hyperlink xmlns:r="http://schemas.openxmlformats.org/officeDocument/2006/relationships" ref="G83" r:id="rId102"/>
    <hyperlink xmlns:r="http://schemas.openxmlformats.org/officeDocument/2006/relationships" ref="L83" r:id="rId103"/>
    <hyperlink xmlns:r="http://schemas.openxmlformats.org/officeDocument/2006/relationships" ref="G84" r:id="rId104"/>
    <hyperlink xmlns:r="http://schemas.openxmlformats.org/officeDocument/2006/relationships" ref="L84" r:id="rId105"/>
    <hyperlink xmlns:r="http://schemas.openxmlformats.org/officeDocument/2006/relationships" ref="G85" r:id="rId106"/>
    <hyperlink xmlns:r="http://schemas.openxmlformats.org/officeDocument/2006/relationships" ref="L85" r:id="rId107"/>
    <hyperlink xmlns:r="http://schemas.openxmlformats.org/officeDocument/2006/relationships" ref="G86" r:id="rId108"/>
    <hyperlink xmlns:r="http://schemas.openxmlformats.org/officeDocument/2006/relationships" ref="L86" r:id="rId109"/>
    <hyperlink xmlns:r="http://schemas.openxmlformats.org/officeDocument/2006/relationships" ref="G87" r:id="rId110"/>
    <hyperlink xmlns:r="http://schemas.openxmlformats.org/officeDocument/2006/relationships" ref="L87" r:id="rId111"/>
    <hyperlink xmlns:r="http://schemas.openxmlformats.org/officeDocument/2006/relationships" ref="G88" r:id="rId112"/>
    <hyperlink xmlns:r="http://schemas.openxmlformats.org/officeDocument/2006/relationships" ref="L88" r:id="rId113"/>
    <hyperlink xmlns:r="http://schemas.openxmlformats.org/officeDocument/2006/relationships" ref="G89" r:id="rId114"/>
    <hyperlink xmlns:r="http://schemas.openxmlformats.org/officeDocument/2006/relationships" ref="L89" r:id="rId1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36" customWidth="1" min="1" max="1"/>
    <col width="24" customWidth="1" min="2" max="2"/>
    <col width="26" customWidth="1" min="3" max="3"/>
    <col width="40" customWidth="1" min="4" max="4"/>
    <col width="50" customWidth="1" min="5" max="5"/>
    <col width="45" customWidth="1" min="6" max="6"/>
    <col width="45" customWidth="1" min="7" max="7"/>
    <col width="40" customWidth="1" min="8" max="8"/>
    <col width="30" customWidth="1" min="9" max="9"/>
    <col width="16" customWidth="1" min="10" max="10"/>
    <col width="45" customWidth="1" min="11" max="11"/>
    <col width="40" customWidth="1" min="12" max="12"/>
    <col width="12" customWidth="1" min="13" max="13"/>
  </cols>
  <sheetData>
    <row r="1">
      <c r="A1" s="58" t="inlineStr">
        <is>
          <t>Stephan Hardt | Power Generation — Research review • 29 October 2026</t>
        </is>
      </c>
    </row>
    <row r="2">
      <c r="A2" t="inlineStr">
        <is>
          <t>26 project records reviewed, including 15 additions • Sources, capacity differences, contact gaps and follow-up actions are documented below.</t>
        </is>
      </c>
    </row>
    <row r="3">
      <c r="A3" t="inlineStr">
        <is>
          <t>Publication checks only; contacts not called or emailed. Targets are not guaranteed CODs. Close/award dates and $8/kW cable values remain sales assumptions.</t>
        </is>
      </c>
    </row>
    <row r="4"/>
    <row r="5">
      <c r="A5" s="53" t="inlineStr">
        <is>
          <t>Project</t>
        </is>
      </c>
      <c r="B5" s="53" t="inlineStr">
        <is>
          <t>Verified status</t>
        </is>
      </c>
      <c r="C5" s="53" t="inlineStr">
        <is>
          <t>Timing / precision</t>
        </is>
      </c>
      <c r="D5" s="53" t="inlineStr">
        <is>
          <t>Capacity reconciliation</t>
        </is>
      </c>
      <c r="E5" s="53" t="inlineStr">
        <is>
          <t>Facts checked</t>
        </is>
      </c>
      <c r="F5" s="53" t="inlineStr">
        <is>
          <t>Required follow-up</t>
        </is>
      </c>
      <c r="G5" s="53" t="inlineStr">
        <is>
          <t>Primary source</t>
        </is>
      </c>
      <c r="H5" s="53" t="inlineStr">
        <is>
          <t>Contact route</t>
        </is>
      </c>
      <c r="I5" s="53" t="inlineStr">
        <is>
          <t>Email</t>
        </is>
      </c>
      <c r="J5" s="53" t="inlineStr">
        <is>
          <t>Phone</t>
        </is>
      </c>
      <c r="K5" s="53" t="inlineStr">
        <is>
          <t>Contact source(s)</t>
        </is>
      </c>
      <c r="L5" s="53" t="inlineStr">
        <is>
          <t>Contact qualification / gap</t>
        </is>
      </c>
      <c r="M5" s="53" t="inlineStr">
        <is>
          <t>Checked on</t>
        </is>
      </c>
    </row>
    <row r="6">
      <c r="A6" s="54" t="inlineStr">
        <is>
          <t>Forest Junction Energy Center</t>
        </is>
      </c>
      <c r="B6" s="54" t="inlineStr">
        <is>
          <t>Proposed / permitting</t>
        </is>
      </c>
      <c r="C6" s="54" t="inlineStr">
        <is>
          <t>2031 target; no exact day confirmed</t>
        </is>
      </c>
      <c r="D6" s="54" t="inlineStr">
        <is>
          <t>1203 MW retained; unit figure needs permit/EIA confirmation. Developer publishes 1.9 GW for Forest Junction + Union Depot together.</t>
        </is>
      </c>
      <c r="E6" s="54" t="inlineStr">
        <is>
          <t>Invenergy proposes gas generation in Calumet County, Wisconsin. Developer timeline shows development 2025–2027, construction 2028–2031 and operation in 2031.</t>
        </is>
      </c>
      <c r="F6" s="54" t="inlineStr">
        <is>
          <t>Confirm selected site, CPCN status, individual capacity, turbine count and transmission scope.</t>
        </is>
      </c>
      <c r="G6" s="55" t="inlineStr">
        <is>
          <t>https://forestjunctionenergycenter.invenergy.com/news-and-resources</t>
        </is>
      </c>
      <c r="H6" s="54" t="inlineStr">
        <is>
          <t>Daniel Birmingham — published business contact (cross-project DNR filing)</t>
        </is>
      </c>
      <c r="I6" s="54" t="inlineStr">
        <is>
          <t>dbirmingham@invenergy.com</t>
        </is>
      </c>
      <c r="J6" s="54" t="inlineStr">
        <is>
          <t>+1 312-582-1094</t>
        </is>
      </c>
      <c r="K6" t="inlineStr">
        <is>
          <t>https://apps.dnr.wi.gov/warp_ext/am_permittracking2.aspx?id=38822</t>
        </is>
      </c>
      <c r="L6" t="inlineStr">
        <is>
          <t>Published direct business details; qualify project role</t>
        </is>
      </c>
      <c r="M6" t="inlineStr">
        <is>
          <t>2026-10-29</t>
        </is>
      </c>
    </row>
    <row r="7">
      <c r="A7" s="54" t="inlineStr">
        <is>
          <t>Orange County Advanced Power Station (OCAPS)</t>
        </is>
      </c>
      <c r="B7" s="54" t="inlineStr">
        <is>
          <t>Operating</t>
        </is>
      </c>
      <c r="C7" s="54" t="inlineStr">
        <is>
          <t>2026-10-14 actual</t>
        </is>
      </c>
      <c r="D7" s="54" t="inlineStr">
        <is>
          <t>1215 MW confirmed</t>
        </is>
      </c>
      <c r="E7" s="54" t="inlineStr">
        <is>
          <t>Entergy Texas placed the 1,215 MW combined-cycle OCAPS facility in service on October 14, 2026.</t>
        </is>
      </c>
      <c r="F7" s="54" t="inlineStr">
        <is>
          <t>Treat remaining sales as separately qualified maintenance/spares work; whole-plant cable estimate is not an open order.</t>
        </is>
      </c>
      <c r="G7" s="55" t="inlineStr">
        <is>
          <t>https://www.entergy.com/news/entergy-texas-orange-county-advanced-power-station-begins-delivering-reliable-power-to-southeast-texas</t>
        </is>
      </c>
      <c r="H7" s="54" t="inlineStr">
        <is>
          <t>Entergy supplier support — shared registration/help route</t>
        </is>
      </c>
      <c r="I7" s="54" t="inlineStr">
        <is>
          <t>esupplier@entergy.com</t>
        </is>
      </c>
      <c r="J7" s="54" t="inlineStr">
        <is>
          <t>+1 844-387-9675</t>
        </is>
      </c>
      <c r="K7" t="inlineStr">
        <is>
          <t>https://supplier.entergy.com/psc/supprd/SUPPLIER/ERP/c/SCP_PUBLIC_MENU_FL.SCP_PUB_FAQ_CMP_FL.GBL</t>
        </is>
      </c>
      <c r="L7" t="inlineStr">
        <is>
          <t>Shared support; project buyer missing</t>
        </is>
      </c>
      <c r="M7" t="inlineStr">
        <is>
          <t>2026-10-29</t>
        </is>
      </c>
    </row>
    <row r="8">
      <c r="A8" s="54" t="inlineStr">
        <is>
          <t>Vast Sands Power I (Vistra Permian Basin expansion)</t>
        </is>
      </c>
      <c r="B8" s="54" t="inlineStr">
        <is>
          <t>FID announced; execution status to confirm</t>
        </is>
      </c>
      <c r="C8" s="54" t="inlineStr">
        <is>
          <t>2028 input target; exact unit date unverified</t>
        </is>
      </c>
      <c r="D8" s="54" t="inlineStr">
        <is>
          <t>440 MW retained for unit I; owner confirms 860 MW for two new units combined. Do not sum two 440 MW estimates as the published total.</t>
        </is>
      </c>
      <c r="E8" s="54" t="inlineStr">
        <is>
          <t>Vistra announced final investment decision September 29, 2025 for two new Permian Basin gas units totaling 860 MW, expanding the site from 325 to 1,185 MW.</t>
        </is>
      </c>
      <c r="F8" s="54" t="inlineStr">
        <is>
          <t>Resolve Vast Sands unit mapping, gross/net capacity and current construction/COD with developer.</t>
        </is>
      </c>
      <c r="G8" s="55" t="inlineStr">
        <is>
          <t>https://hub.vistracorp.com/vistra-announces-plans-to-build-new-dispatchable-generation-in-texas/</t>
        </is>
      </c>
      <c r="H8" s="54" t="inlineStr">
        <is>
          <t>Vistra supply chain email / supplier-diversity phone</t>
        </is>
      </c>
      <c r="I8" s="54" t="inlineStr">
        <is>
          <t>SupplyChain@Vistracorp.com</t>
        </is>
      </c>
      <c r="J8" s="54" t="inlineStr">
        <is>
          <t>+1 214-812-8000</t>
        </is>
      </c>
      <c r="K8" t="inlineStr">
        <is>
          <t>https://vistracorp.com/supply-chain/how-do-we-source/ | https://vistracorp.com/supply-chain/faq/</t>
        </is>
      </c>
      <c r="L8" t="inlineStr">
        <is>
          <t>Two shared departments; named buyer missing</t>
        </is>
      </c>
      <c r="M8" t="inlineStr">
        <is>
          <t>2026-10-29</t>
        </is>
      </c>
    </row>
    <row r="9">
      <c r="A9" s="54" t="inlineStr">
        <is>
          <t>Plant Yates Unit 9 (Yates CT Units 8-10)</t>
        </is>
      </c>
      <c r="B9" s="54" t="inlineStr">
        <is>
          <t>Under construction per owner update</t>
        </is>
      </c>
      <c r="C9" s="54" t="inlineStr">
        <is>
          <t>Q2 2027 Unit 9 target in Southern Company Q2 2026 filing; not an exact commissioning day.</t>
        </is>
      </c>
      <c r="D9" s="54" t="inlineStr">
        <is>
          <t>482.8 MW input nameplate retained provisionally. Southern filing lists 442 MW per new unit; reconcile gross/nameplate versus planning basis before sizing.</t>
        </is>
      </c>
      <c r="E9" s="54" t="inlineStr">
        <is>
          <t>Georgia Power confirms Unit 9 turbine/generator delivery in December 2025. Units 8–10 are Mitsubishi M501JAC simple-cycle units; the Southern filing schedules Unit 8 in Q4 2026, Unit 9 in Q2 2027 and Unit 10 in Q3 2027. EPC: Black &amp; Veatch and Mitsubishi.</t>
        </is>
      </c>
      <c r="F9" s="54" t="inlineStr">
        <is>
          <t>Confirm Unit 9 commissioning date and nameplate versus operating capacity; do not assume cable purchase status.</t>
        </is>
      </c>
      <c r="G9" s="55" t="inlineStr">
        <is>
          <t>https://www.georgiapower.com/news-hub/press-releases/turbine-generator-unit-9-plant-yates.html | https://d18rn0p25nwr6d.cloudfront.net/CIK-0000092122/32961fa3-bbf4-4ea2-8851-611fe309e97e.pdf</t>
        </is>
      </c>
      <c r="H9" s="54" t="inlineStr">
        <is>
          <t>Black &amp; Veatch supplier portal support (email) / main office (phone)</t>
        </is>
      </c>
      <c r="I9" s="54" t="inlineStr">
        <is>
          <t>BVAPSUPPMAINT@bv.com</t>
        </is>
      </c>
      <c r="J9" s="54" t="inlineStr">
        <is>
          <t>+1 913-458-2000</t>
        </is>
      </c>
      <c r="K9" t="inlineStr">
        <is>
          <t>https://cdn.bfldr.com/E1EVDN8O/at/bz4ct6npstkxw48b6n9zm9j8/Oracle_Cloud_Azure_MFA_Registration_Step_Guide_19Jun2024.pdf | https://www.bv.com/en-US/contact-us | https://www.bv.com/en-US/suppliers</t>
        </is>
      </c>
      <c r="L9" t="inlineStr">
        <is>
          <t>Support only; request Yates buyer</t>
        </is>
      </c>
      <c r="M9" t="inlineStr">
        <is>
          <t>2026-10-29</t>
        </is>
      </c>
    </row>
    <row r="10">
      <c r="A10" s="54" t="inlineStr">
        <is>
          <t>Ironwood Power Station</t>
        </is>
      </c>
      <c r="B10" s="54" t="inlineStr">
        <is>
          <t>Groundbreaking confirmed</t>
        </is>
      </c>
      <c r="C10" s="54" t="inlineStr">
        <is>
          <t>2028 owner planning target</t>
        </is>
      </c>
      <c r="D10" s="54" t="inlineStr">
        <is>
          <t>446 MW owner figure; EPC page rounds to 400 MW</t>
        </is>
      </c>
      <c r="E10" s="54" t="inlineStr">
        <is>
          <t>Entergy Arkansas broke ground August 20, 2026 on Ironwood, a 446 MW simple-cycle plant at the existing Lake Catherine site.</t>
        </is>
      </c>
      <c r="F10" s="54" t="inlineStr">
        <is>
          <t>Request project procurement contact and remaining electrical packages through the TSL vendor route.</t>
        </is>
      </c>
      <c r="G10" s="55" t="inlineStr">
        <is>
          <t>https://www.entergy.com/news/entergy-arkansas-breaks-ground-on-ironwood-power-station</t>
        </is>
      </c>
      <c r="H10" s="54" t="inlineStr">
        <is>
          <t>Entergy supplier support — shared registration/help route</t>
        </is>
      </c>
      <c r="I10" s="54" t="inlineStr">
        <is>
          <t>esupplier@entergy.com</t>
        </is>
      </c>
      <c r="J10" s="54" t="inlineStr">
        <is>
          <t>+1 844-387-9675</t>
        </is>
      </c>
      <c r="K10" t="inlineStr">
        <is>
          <t>https://supplier.entergy.com/psc/supprd/SUPPLIER/ERP/c/SCP_PUBLIC_MENU_FL.SCP_PUB_FAQ_CMP_FL.GBL</t>
        </is>
      </c>
      <c r="L10" t="inlineStr">
        <is>
          <t>Shared support; project buyer missing</t>
        </is>
      </c>
      <c r="M10" t="inlineStr">
        <is>
          <t>2026-10-29</t>
        </is>
      </c>
    </row>
    <row r="11">
      <c r="A11" s="54" t="inlineStr">
        <is>
          <t>Person County Combined Cycle 1 (CC1)</t>
        </is>
      </c>
      <c r="B11" s="54" t="inlineStr">
        <is>
          <t>EPC awarded; construction planned/underway</t>
        </is>
      </c>
      <c r="C11" s="54" t="inlineStr">
        <is>
          <t>2028 target; exact quarter/day unverified</t>
        </is>
      </c>
      <c r="D11" s="54" t="inlineStr">
        <is>
          <t>1360 MW confirmed</t>
        </is>
      </c>
      <c r="E11" s="54" t="inlineStr">
        <is>
          <t>Zachry announced the EPC award August 6, 2025 for Duke Energy’s 1,360 MW, 2x1 Person County CC1 at Roxboro.</t>
        </is>
      </c>
      <c r="F11" s="54" t="inlineStr">
        <is>
          <t>Use Zachry procurement registration; named buyer email/phone still required. Confirm current bid schedule.</t>
        </is>
      </c>
      <c r="G11" s="55" t="inlineStr">
        <is>
          <t>https://zachrygroup.com/press-releases/Duke_Energy_Awards_EPC_Contract_for_the_first_Person_County_Combined_Cycle_Project_to_Zachry_Group.html</t>
        </is>
      </c>
      <c r="H11" s="54" t="inlineStr">
        <is>
          <t>Zachry procurement registration / main office</t>
        </is>
      </c>
      <c r="I11" s="54" t="n"/>
      <c r="J11" s="54" t="inlineStr">
        <is>
          <t>+1 210-588-5000</t>
        </is>
      </c>
      <c r="K11" t="inlineStr">
        <is>
          <t>https://zachrygroup.com/procurement | https://zachrygroup.com/about</t>
        </is>
      </c>
      <c r="L11" t="inlineStr">
        <is>
          <t>MISSING EMAIL — use procurement form</t>
        </is>
      </c>
      <c r="M11" t="inlineStr">
        <is>
          <t>2026-10-29</t>
        </is>
      </c>
    </row>
    <row r="12">
      <c r="A12" s="54" t="inlineStr">
        <is>
          <t>Delta Blues Advanced Power Station</t>
        </is>
      </c>
      <c r="B12" s="54" t="inlineStr">
        <is>
          <t>Construction confirmed</t>
        </is>
      </c>
      <c r="C12" s="54" t="inlineStr">
        <is>
          <t>2028 target; exact month/day unverified</t>
        </is>
      </c>
      <c r="D12" s="54" t="inlineStr">
        <is>
          <t>754 MW confirmed</t>
        </is>
      </c>
      <c r="E12" s="54" t="inlineStr">
        <is>
          <t>Entergy’s May 19, 2026 update confirms HRSG erection and combustion-turbine delivery at Delta Blues in Greenville. Ernest Rufus is identified as senior manager, capital projects.</t>
        </is>
      </c>
      <c r="F12" s="54" t="inlineStr">
        <is>
          <t>DONE: 1950s Andrus claim removed. Note: construction milestones do not prove cable packages are already purchased.</t>
        </is>
      </c>
      <c r="G12" s="55" t="inlineStr">
        <is>
          <t>https://www.entergy.com/blog/delta-blues-reaches-important-milestone-in-construction</t>
        </is>
      </c>
      <c r="H12" s="54" t="inlineStr">
        <is>
          <t>Entergy supplier support — shared registration/help route</t>
        </is>
      </c>
      <c r="I12" s="54" t="inlineStr">
        <is>
          <t>esupplier@entergy.com</t>
        </is>
      </c>
      <c r="J12" s="54" t="inlineStr">
        <is>
          <t>+1 844-387-9675</t>
        </is>
      </c>
      <c r="K12" t="inlineStr">
        <is>
          <t>https://supplier.entergy.com/psc/supprd/SUPPLIER/ERP/c/SCP_PUBLIC_MENU_FL.SCP_PUB_FAQ_CMP_FL.GBL</t>
        </is>
      </c>
      <c r="L12" t="inlineStr">
        <is>
          <t>Shared support; project buyer missing</t>
        </is>
      </c>
      <c r="M12" t="inlineStr">
        <is>
          <t>2026-10-29</t>
        </is>
      </c>
    </row>
    <row r="13">
      <c r="A13" s="54" t="inlineStr">
        <is>
          <t>Vicksburg Advanced Power Station</t>
        </is>
      </c>
      <c r="B13" s="54" t="inlineStr">
        <is>
          <t>Construction project</t>
        </is>
      </c>
      <c r="C13" s="54" t="inlineStr">
        <is>
          <t>August 2028 expected completion; no exact day</t>
        </is>
      </c>
      <c r="D13" s="54" t="inlineStr">
        <is>
          <t>754 MW confirmed</t>
        </is>
      </c>
      <c r="E13" s="54" t="inlineStr">
        <is>
          <t>Entergy plans Vicksburg Advanced Power Station at the former Baxter Wilson site in Warren County. Baxter Wilson retired in 2022.</t>
        </is>
      </c>
      <c r="F13" s="54" t="inlineStr">
        <is>
          <t>Confirm Ernest Rufus covers Vicksburg (Delta Blues role confirmed only); request named project buyer.</t>
        </is>
      </c>
      <c r="G13" s="55" t="inlineStr">
        <is>
          <t>https://www.entergymississippi.com/generation/vicksburg</t>
        </is>
      </c>
      <c r="H13" s="54" t="inlineStr">
        <is>
          <t>Entergy supplier support — shared registration/help route</t>
        </is>
      </c>
      <c r="I13" s="54" t="inlineStr">
        <is>
          <t>esupplier@entergy.com</t>
        </is>
      </c>
      <c r="J13" s="54" t="inlineStr">
        <is>
          <t>+1 844-387-9675</t>
        </is>
      </c>
      <c r="K13" t="inlineStr">
        <is>
          <t>https://supplier.entergy.com/psc/supprd/SUPPLIER/ERP/c/SCP_PUBLIC_MENU_FL.SCP_PUB_FAQ_CMP_FL.GBL</t>
        </is>
      </c>
      <c r="L13" t="inlineStr">
        <is>
          <t>Shared support; project buyer missing</t>
        </is>
      </c>
      <c r="M13" t="inlineStr">
        <is>
          <t>2026-10-29</t>
        </is>
      </c>
    </row>
    <row r="14">
      <c r="A14" s="54" t="inlineStr">
        <is>
          <t>Sycamore Riverside Energy Center</t>
        </is>
      </c>
      <c r="B14" s="54" t="inlineStr">
        <is>
          <t>Proposed acquisition; regulatory decision pending</t>
        </is>
      </c>
      <c r="C14" s="54" t="inlineStr">
        <is>
          <t>March 2029 transfer target; subject to completion/approval</t>
        </is>
      </c>
      <c r="D14" s="54" t="inlineStr">
        <is>
          <t>918 MW confirmed in acquisition announcement</t>
        </is>
      </c>
      <c r="E14" s="54" t="inlineStr">
        <is>
          <t>I&amp;M announced a request to acquire Invenergy’s Sycamore Riverside facility on completion, subject to IURC approval.</t>
        </is>
      </c>
      <c r="F14" s="54" t="inlineStr">
        <is>
          <t>Do not treat acquisition as approved or closed. Verify Niland’s current project assignment and procurement scope.</t>
        </is>
      </c>
      <c r="G14" s="55" t="inlineStr">
        <is>
          <t>https://www.aep.com/news/stories/view/11850/</t>
        </is>
      </c>
      <c r="H14" s="54" t="inlineStr">
        <is>
          <t>Sycamore project team — shared project contact</t>
        </is>
      </c>
      <c r="I14" s="54" t="inlineStr">
        <is>
          <t>SycamoreRiverside@invenergy.com</t>
        </is>
      </c>
      <c r="J14" s="54" t="inlineStr">
        <is>
          <t>+1 800-341-2319</t>
        </is>
      </c>
      <c r="K14" t="inlineStr">
        <is>
          <t>https://sycamoreriverside.invenergy.com/contact-us</t>
        </is>
      </c>
      <c r="L14" t="inlineStr">
        <is>
          <t>Shared project route; qualify buyer</t>
        </is>
      </c>
      <c r="M14" t="inlineStr">
        <is>
          <t>2026-10-29</t>
        </is>
      </c>
    </row>
    <row r="15">
      <c r="A15" s="54" t="inlineStr">
        <is>
          <t>Franklin Farms Power Station (Units 1 &amp; 2)</t>
        </is>
      </c>
      <c r="B15" s="54" t="inlineStr">
        <is>
          <t>Groundbreaking confirmed</t>
        </is>
      </c>
      <c r="C15" s="54" t="inlineStr">
        <is>
          <t>Late 2028 owner target</t>
        </is>
      </c>
      <c r="D15" s="54" t="inlineStr">
        <is>
          <t>Changed 1500 rounded to 1508 MW planning/EPC total for two units</t>
        </is>
      </c>
      <c r="E15" s="54" t="inlineStr">
        <is>
          <t>Entergy Louisiana broke ground December 1, 2025 on Franklin Farms in Richland Parish. Two combined-cycle units support system growth including Meta demand.</t>
        </is>
      </c>
      <c r="F15" s="54" t="inlineStr">
        <is>
          <t>DONE: 1,508 MW used. Confirm land ownership and electrical package status.</t>
        </is>
      </c>
      <c r="G15" s="55" t="inlineStr">
        <is>
          <t>https://www.entergy.com/news/entergy-louisiana-breaks-ground-on-new-state-of-the-art-generation-facilities-to-power-reliability-growth-and-innovation</t>
        </is>
      </c>
      <c r="H15" s="54" t="inlineStr">
        <is>
          <t>Entergy supplier support — shared registration/help route</t>
        </is>
      </c>
      <c r="I15" s="54" t="inlineStr">
        <is>
          <t>esupplier@entergy.com</t>
        </is>
      </c>
      <c r="J15" s="54" t="inlineStr">
        <is>
          <t>+1 844-387-9675</t>
        </is>
      </c>
      <c r="K15" t="inlineStr">
        <is>
          <t>https://supplier.entergy.com/psc/supprd/SUPPLIER/ERP/c/SCP_PUBLIC_MENU_FL.SCP_PUB_FAQ_CMP_FL.GBL</t>
        </is>
      </c>
      <c r="L15" t="inlineStr">
        <is>
          <t>Shared support; project buyer missing</t>
        </is>
      </c>
      <c r="M15" t="inlineStr">
        <is>
          <t>2026-10-29</t>
        </is>
      </c>
    </row>
    <row r="16">
      <c r="A16" s="54" t="inlineStr">
        <is>
          <t>Waterford 5 Power Station</t>
        </is>
      </c>
      <c r="B16" s="54" t="inlineStr">
        <is>
          <t>Site preparation; main construction scheduled</t>
        </is>
      </c>
      <c r="C16" s="54" t="inlineStr">
        <is>
          <t>2029 owner target; June date not substantiated</t>
        </is>
      </c>
      <c r="D16" s="54" t="inlineStr">
        <is>
          <t>Changed 820 input nameplate to 754 MW owner planning basis; reconcile gross/net before technical sizing</t>
        </is>
      </c>
      <c r="E16" s="54" t="inlineStr">
        <is>
          <t>Owner locates Waterford 5 in Taft, St. Charles Parish. Site preparation began November 2025; construction is scheduled for late 2026 with completion in 2029.</t>
        </is>
      </c>
      <c r="F16" s="54" t="inlineStr">
        <is>
          <t>Owner location takes precedence over conflicting EPC page label (Big Cajun/Jarreau). Waterford 6 remains a separate project.</t>
        </is>
      </c>
      <c r="G16" s="55" t="inlineStr">
        <is>
          <t>https://www.entergylouisiana.com/waterford5-6</t>
        </is>
      </c>
      <c r="H16" s="54" t="inlineStr">
        <is>
          <t>Entergy supplier support — shared registration/help route</t>
        </is>
      </c>
      <c r="I16" s="54" t="inlineStr">
        <is>
          <t>esupplier@entergy.com</t>
        </is>
      </c>
      <c r="J16" s="54" t="inlineStr">
        <is>
          <t>+1 844-387-9675</t>
        </is>
      </c>
      <c r="K16" t="inlineStr">
        <is>
          <t>https://supplier.entergy.com/psc/supprd/SUPPLIER/ERP/c/SCP_PUBLIC_MENU_FL.SCP_PUB_FAQ_CMP_FL.GBL</t>
        </is>
      </c>
      <c r="L16" t="inlineStr">
        <is>
          <t>Shared support; project buyer missing</t>
        </is>
      </c>
      <c r="M16" t="inlineStr">
        <is>
          <t>2026-10-29</t>
        </is>
      </c>
    </row>
    <row r="17">
      <c r="A17" s="54" t="inlineStr">
        <is>
          <t>AES Petersburg Unit 4 Repowered</t>
        </is>
      </c>
      <c r="B17" s="54" t="inlineStr">
        <is>
          <t>Fuel conversion under construction</t>
        </is>
      </c>
      <c r="C17" s="54" t="inlineStr">
        <is>
          <t>Owner: December 2026; contractor's Nov 2024 release: Q1 2027. Reconfirm handover.</t>
        </is>
      </c>
      <c r="D17" s="54" t="inlineStr">
        <is>
          <t>526 MW input retained provisionally; unit-4 gross/net basis not substantiated. B&amp;W quotes 1,160 MW for the two-unit conversion together.</t>
        </is>
      </c>
      <c r="E17" s="54" t="inlineStr">
        <is>
          <t>AES Petersburg Units 3 and 4 are existing steam units undergoing coal-to-gas boiler conversion. B&amp;W received full notice to proceed in November 2024; BWCC handles construction and B&amp;W FPS supplies burners, ignitors and controls. This is not a new gas-turbine combined-cycle plant.</t>
        </is>
      </c>
      <c r="F17" s="54" t="inlineStr">
        <is>
          <t>Request the Unit 4 remaining electrical package list and current handover date from B&amp;W/BWCC. Confirm unit capacity before sizing. A whole-plant $8/kW benchmark does not measure the retrofit cable scope.</t>
        </is>
      </c>
      <c r="G17" s="55" t="inlineStr">
        <is>
          <t>https://www.aesindiana.com/pike-county | https://www.babcock.com/home/about/corporate/news/babcock-and-wilcox-receives-full-notice-to-proceed-on-246-million-contract-for-indiana-power-plant-coal-to-gas-fuel-switching-project</t>
        </is>
      </c>
      <c r="H17" s="54" t="inlineStr">
        <is>
          <t>B&amp;W Construction — business office / online inquiry form</t>
        </is>
      </c>
      <c r="I17" s="54" t="n"/>
      <c r="J17" s="54" t="inlineStr">
        <is>
          <t>+1 330-753-9750</t>
        </is>
      </c>
      <c r="K17" t="inlineStr">
        <is>
          <t>https://www.babcock.com/contact-us</t>
        </is>
      </c>
      <c r="L17" t="inlineStr">
        <is>
          <t>MISSING EMAIL — named project buyer needed</t>
        </is>
      </c>
      <c r="M17" t="inlineStr">
        <is>
          <t>2026-10-29</t>
        </is>
      </c>
    </row>
    <row r="18">
      <c r="A18" s="54" t="inlineStr">
        <is>
          <t>Trumbull Energy Center</t>
        </is>
      </c>
      <c r="B18" s="54" t="inlineStr">
        <is>
          <t>Operating; commissioning confirmed</t>
        </is>
      </c>
      <c r="C18" s="54" t="inlineStr">
        <is>
          <t>Commissioning/opening announced June 24, 2026; exact commercial-service date not established.</t>
        </is>
      </c>
      <c r="D18" s="54" t="inlineStr">
        <is>
          <t>Updated 940 input to 950 MW maximum design capacity published by owner and EPC. Confirm seasonal net output separately.</t>
        </is>
      </c>
      <c r="E18" s="54" t="inlineStr">
        <is>
          <t>Trumbull Energy Center is a combined-cycle facility in Lordstown, Trumbull County, Ohio. The owner describes two Siemens SGT6-8000H turbines, two HRSGs and one steam turbine. Gemma was EPC. Hanwha announced successful commissioning in June 2026.</t>
        </is>
      </c>
      <c r="F18" s="54" t="inlineStr">
        <is>
          <t>Qualify operations, spares and outage work through the plant office; do not treat the full construction benchmark as remaining sales. January 2026 COD was not independently established.</t>
        </is>
      </c>
      <c r="G18" s="55" t="inlineStr">
        <is>
          <t>https://www.trumbullenergycenter.com/ | https://org-www.hanwha.com/newsroom/news/press-releases/hanwha-power-enters-us-market-with-successful-commissioning-of-trumbull-energy-center-combined-cycle-gas-turbine-power-plant.do</t>
        </is>
      </c>
      <c r="H18" s="54" t="inlineStr">
        <is>
          <t>Trumbull Energy Center office — shared</t>
        </is>
      </c>
      <c r="I18" s="54" t="inlineStr">
        <is>
          <t>trumbullamc@trumbullamc.com</t>
        </is>
      </c>
      <c r="J18" s="54" t="inlineStr">
        <is>
          <t>+1 724-591-5549</t>
        </is>
      </c>
      <c r="K18" t="inlineStr">
        <is>
          <t>https://www.trumbullenergycenter.com/</t>
        </is>
      </c>
      <c r="L18" t="inlineStr">
        <is>
          <t>Published shared office; operations buyer needed</t>
        </is>
      </c>
      <c r="M18" t="inlineStr">
        <is>
          <t>2026-10-29</t>
        </is>
      </c>
    </row>
    <row r="19">
      <c r="A19" s="54" t="inlineStr">
        <is>
          <t>Socrates South Power Generation</t>
        </is>
      </c>
      <c r="B19" s="54" t="inlineStr">
        <is>
          <t>Operating; Phase 1 in service</t>
        </is>
      </c>
      <c r="C19" s="54" t="inlineStr">
        <is>
          <t>Phase 1 in service per Williams Q2 2026 results; exact day not confirmed.</t>
        </is>
      </c>
      <c r="D19" s="54" t="inlineStr">
        <is>
          <t>200 MW South; 400 MW across South and North. Avoid counting the total twice.</t>
        </is>
      </c>
      <c r="E19" s="54" t="inlineStr">
        <is>
          <t>Williams' Socrates South is one of two 200 MW behind-the-meter power facilities in the New Albany, Ohio area. Williams confirms Phase 1 was placed in service. The published project outreach email and hotline serve both facilities.</t>
        </is>
      </c>
      <c r="F19" s="54" t="inlineStr">
        <is>
          <t>Ask the project team for the operations/electrical buyer and any unfinished scope. Keep North's new-build opportunity separate from South's operations opportunity.</t>
        </is>
      </c>
      <c r="G19" s="55" t="inlineStr">
        <is>
          <t>https://www.williams.com/expansion-project/socrates-power-solution-facilities/ | https://www.williams.com/wp-content/uploads/sites/14/2026/02/Socrates-North-and-South-Fact-Sheet-1.pdf | https://investor.williams.com/static-files/dde1b8eb-5802-4e4c-aa89-84c4d8611d56</t>
        </is>
      </c>
      <c r="H19" s="54" t="inlineStr">
        <is>
          <t>Williams Socrates project outreach — shared</t>
        </is>
      </c>
      <c r="I19" s="54" t="inlineStr">
        <is>
          <t>outreach@williams.com</t>
        </is>
      </c>
      <c r="J19" s="54" t="inlineStr">
        <is>
          <t>+1 888-275-9084</t>
        </is>
      </c>
      <c r="K19" t="inlineStr">
        <is>
          <t>https://www.williams.com/expansion-project/socrates-power-solution-facilities/</t>
        </is>
      </c>
      <c r="L19" t="inlineStr">
        <is>
          <t>Published project outreach; qualify buyer</t>
        </is>
      </c>
      <c r="M19" t="inlineStr">
        <is>
          <t>2026-10-29</t>
        </is>
      </c>
    </row>
    <row r="20">
      <c r="A20" s="54" t="inlineStr">
        <is>
          <t>Socrates North Power Generation</t>
        </is>
      </c>
      <c r="B20" s="54" t="inlineStr">
        <is>
          <t>Under construction / completion target</t>
        </is>
      </c>
      <c r="C20" s="54" t="inlineStr">
        <is>
          <t>Q4 2026 expected for Phase 2 per Williams Q2 results; not verified as operating on review date.</t>
        </is>
      </c>
      <c r="D20" s="54" t="inlineStr">
        <is>
          <t>200 MW North; 400 MW across both Socrates facilities.</t>
        </is>
      </c>
      <c r="E20" s="54" t="inlineStr">
        <is>
          <t>Socrates North is the second 200 MW behind-the-meter power facility in Williams' Socrates development near New Albany, Ohio. The Q2 results retain a fourth-quarter 2026 service target for Phase 2.</t>
        </is>
      </c>
      <c r="F20" s="54" t="inlineStr">
        <is>
          <t>Request the current commissioning milestone, electrical contractor and remaining cable releases from project outreach. A service target does not establish that purchase orders remain open.</t>
        </is>
      </c>
      <c r="G20" s="55" t="inlineStr">
        <is>
          <t>https://www.williams.com/expansion-project/socrates-power-solution-facilities/ | https://www.williams.com/wp-content/uploads/sites/14/2026/02/Socrates-North-and-South-Fact-Sheet-1.pdf | https://investor.williams.com/static-files/dde1b8eb-5802-4e4c-aa89-84c4d8611d56</t>
        </is>
      </c>
      <c r="H20" s="54" t="inlineStr">
        <is>
          <t>Williams Socrates project outreach — shared</t>
        </is>
      </c>
      <c r="I20" s="54" t="inlineStr">
        <is>
          <t>outreach@williams.com</t>
        </is>
      </c>
      <c r="J20" s="54" t="inlineStr">
        <is>
          <t>+1 888-275-9084</t>
        </is>
      </c>
      <c r="K20" t="inlineStr">
        <is>
          <t>https://www.williams.com/expansion-project/socrates-power-solution-facilities/</t>
        </is>
      </c>
      <c r="L20" t="inlineStr">
        <is>
          <t>Published project outreach; qualify buyer</t>
        </is>
      </c>
      <c r="M20" t="inlineStr">
        <is>
          <t>2026-10-29</t>
        </is>
      </c>
    </row>
    <row r="21">
      <c r="A21" s="54" t="inlineStr">
        <is>
          <t>Homer City Energy Campus</t>
        </is>
      </c>
      <c r="B21" s="54" t="inlineStr">
        <is>
          <t>Construction; phased power delivery</t>
        </is>
      </c>
      <c r="C21" s="54" t="inlineStr">
        <is>
          <t>Initial power targeted in 2027; this is not a verified full-campus COD.</t>
        </is>
      </c>
      <c r="D21" s="54" t="inlineStr">
        <is>
          <t>Updated 4,500 MW announcement figure to current owner FAQ: up to 4,400 MW. Approximate project scope, not a net dependable rating.</t>
        </is>
      </c>
      <c r="E21" s="54" t="inlineStr">
        <is>
          <t>The Homer City redevelopment uses seven GE Vernova 7HA.02 gas turbines with Kiewit Power Constructors as EPC. The owner's current FAQ describes up to 4.4 GW and phased initial power. It publishes a Kiewit email specifically for construction vendors.</t>
        </is>
      </c>
      <c r="F21" s="54" t="inlineStr">
        <is>
          <t>Use the construction-vendor email to obtain the project procurement contact and remaining electrical bid packages. Confirm full buildout schedule and any named data-center tenant directly; do not equate first power with full completion.</t>
        </is>
      </c>
      <c r="G21" s="55" t="inlineStr">
        <is>
          <t>https://www.homercityredevelopment.com/faq</t>
        </is>
      </c>
      <c r="H21" s="54" t="inlineStr">
        <is>
          <t>Kiewit Homer City construction vendors</t>
        </is>
      </c>
      <c r="I21" s="54" t="inlineStr">
        <is>
          <t>HomerCity.Info@Kiewit.com</t>
        </is>
      </c>
      <c r="J21" s="54" t="n"/>
      <c r="K21" t="inlineStr">
        <is>
          <t>https://www.homercityredevelopment.com/faq</t>
        </is>
      </c>
      <c r="L21" t="inlineStr">
        <is>
          <t>MISSING PHONE — project vendor email verified</t>
        </is>
      </c>
      <c r="M21" t="inlineStr">
        <is>
          <t>2026-10-29</t>
        </is>
      </c>
    </row>
    <row r="22">
      <c r="A22" s="54" t="inlineStr">
        <is>
          <t>Sandow Lakes Energy Station</t>
        </is>
      </c>
      <c r="B22" s="54" t="inlineStr">
        <is>
          <t>EPC execution / construction</t>
        </is>
      </c>
      <c r="C22" s="54" t="inlineStr">
        <is>
          <t>2028 completion target; precise month/day unverified.</t>
        </is>
      </c>
      <c r="D22" s="54" t="inlineStr">
        <is>
          <t>1,200 MW planned combined-cycle facility confirmed.</t>
        </is>
      </c>
      <c r="E22" s="54" t="inlineStr">
        <is>
          <t>Sandow Lakes Energy Company's Lee County, Texas project is being delivered by Gemma; the April 2025 announcement confirms the 1.2 GW project. Xebec's April 2026 transaction concerned land and does not establish a sale of the power project. TCEQ identifies Ned Ross and COO Tommy Hodges as applicant representatives.</t>
        </is>
      </c>
      <c r="F22" s="54" t="inlineStr">
        <is>
          <t>Contact Tommy Hodges by published business email or Ned Ross at the TCEQ-published number; request Gemma purchasing introductions. Reconfirm current permits and construction milestone. The input 12.2-mile transmission estimate is not a verified line scope.</t>
        </is>
      </c>
      <c r="G22" s="55" t="inlineStr">
        <is>
          <t>https://slectx.com/argan-inc-gemma-electrify-tx/ | https://xebecrealty.com/leadership/gretchen-kendrick/ | https://www.tceq.texas.gov/downloads/agency/decisions/hearings/notices/2025/2025-04-24-sl-energy-power-plant-i-177380-pm.pdf | https://www.tceq.texas.gov/downloads/agency/decisions/agendas/backup/2025/2025-1310-air-picr.pdf</t>
        </is>
      </c>
      <c r="H22" s="54" t="inlineStr">
        <is>
          <t>Tommy Hodges, COO (email) / Ned Ross, EVP (phone) — different people</t>
        </is>
      </c>
      <c r="I22" s="54" t="inlineStr">
        <is>
          <t>tommyh@slenergyco.com</t>
        </is>
      </c>
      <c r="J22" s="54" t="inlineStr">
        <is>
          <t>+1 512-887-4719</t>
        </is>
      </c>
      <c r="K22" t="inlineStr">
        <is>
          <t>https://www.tceq.texas.gov/downloads/agency/decisions/agendas/backup/2025/2025-1310-air-picr.pdf | https://www.tceq.texas.gov/downloads/agency/decisions/hearings/notices/2025/2025-04-24-sl-energy-power-plant-i-177380-pm.pdf</t>
        </is>
      </c>
      <c r="L22" t="inlineStr">
        <is>
          <t>Split named contacts; request buyer introduction</t>
        </is>
      </c>
      <c r="M22" t="inlineStr">
        <is>
          <t>2026-10-29</t>
        </is>
      </c>
    </row>
    <row r="23">
      <c r="A23" s="54" t="inlineStr">
        <is>
          <t>Wolf Summit Energy Center</t>
        </is>
      </c>
      <c r="B23" s="54" t="inlineStr">
        <is>
          <t>Under construction; EPCM delivery</t>
        </is>
      </c>
      <c r="C23" s="54" t="inlineStr">
        <is>
          <t>December 2028 developer target.</t>
        </is>
      </c>
      <c r="D23" s="54" t="inlineStr">
        <is>
          <t>Updated rounded 600 MW to Kindle's 610 MW case-study figure; project website still rounds to 600 MW.</t>
        </is>
      </c>
      <c r="E23" s="54" t="inlineStr">
        <is>
          <t>Wolf Summit is a natural-gas combined-cycle project in Harrison County, West Virginia. Kindle reports financial close in November 2025 and an EPC management structure using its own procurement team and four key contractors. It is not awaiting a single conventional EPC award.</t>
        </is>
      </c>
      <c r="F23" s="54" t="inlineStr">
        <is>
          <t>Route inquiries through the Wolf Summit project email/phone and ask for Kindle EPCM procurement and electrical package owners; the four contractors are not named in the case study.</t>
        </is>
      </c>
      <c r="G23" s="55" t="inlineStr">
        <is>
          <t>https://kindle-energy.com/case-studies/wolf-summit | https://wolf-summit.com/</t>
        </is>
      </c>
      <c r="H23" s="54" t="inlineStr">
        <is>
          <t>Wolf Summit project team — shared</t>
        </is>
      </c>
      <c r="I23" s="54" t="inlineStr">
        <is>
          <t>info@wolf-summit.com</t>
        </is>
      </c>
      <c r="J23" s="54" t="inlineStr">
        <is>
          <t>+1 304-576-8717</t>
        </is>
      </c>
      <c r="K23" t="inlineStr">
        <is>
          <t>https://wolf-summit.com/</t>
        </is>
      </c>
      <c r="L23" t="inlineStr">
        <is>
          <t>Published project route; request Kindle procurement</t>
        </is>
      </c>
      <c r="M23" t="inlineStr">
        <is>
          <t>2026-10-29</t>
        </is>
      </c>
    </row>
    <row r="24">
      <c r="A24" s="54" t="inlineStr">
        <is>
          <t>Cedar Bayou Unit 5</t>
        </is>
      </c>
      <c r="B24" s="54" t="inlineStr">
        <is>
          <t>Under construction; owner confirms progress</t>
        </is>
      </c>
      <c r="C24" s="54" t="inlineStr">
        <is>
          <t>Mid-2028 owner target in Q2 2026 investor presentation.</t>
        </is>
      </c>
      <c r="D24" s="54" t="inlineStr">
        <is>
          <t>689 MW operating capacity retained; NRG also reports 721 MW nameplate. These are different capacity bases.</t>
        </is>
      </c>
      <c r="E24" s="54" t="inlineStr">
        <is>
          <t>NRG's Cedar Bayou 5 combined-cycle project uses a Mitsubishi M501JAC turbine. NRG's Q2 2026 materials retain the mid-2028 schedule. A March 2026 Texas building registration names Dudley D. Zahn as owner contact for the project's admin/control/warehouse work.</t>
        </is>
      </c>
      <c r="F24" s="54" t="inlineStr">
        <is>
          <t>Dudley Zahn is a published project owner contact; reconfirm his email from a 2022 NRG filing and ask for the procurement lead. The building registration's cost and completion date apply only to the building, not the entire plant. EPC and open cable packages still need confirmation.</t>
        </is>
      </c>
      <c r="G24" s="55" t="inlineStr">
        <is>
          <t>https://investors.nrg.com/static-files/166760ef-79e6-4985-b776-09660ed84ae9 | https://www.tdlr.texas.gov/TABS/Search/Print/TABS2026016466 | https://www.nrg.com/assets/documents/case-studies/elbow-battery/2021-operation-phase-annual-report.pdf</t>
        </is>
      </c>
      <c r="H24" s="54" t="inlineStr">
        <is>
          <t>Dudley D. Zahn — project owner contact; email from 2022 filing</t>
        </is>
      </c>
      <c r="I24" s="54" t="inlineStr">
        <is>
          <t>Dudley.Zahn@nrg.com</t>
        </is>
      </c>
      <c r="J24" s="54" t="inlineStr">
        <is>
          <t>+1 713-537-3290</t>
        </is>
      </c>
      <c r="K24" t="inlineStr">
        <is>
          <t>https://www.tdlr.texas.gov/TABS/Search/Print/TABS2026016466 | https://www.nrg.com/assets/documents/case-studies/elbow-battery/2021-operation-phase-annual-report.pdf</t>
        </is>
      </c>
      <c r="L24" t="inlineStr">
        <is>
          <t>2026 project phone; HISTORICAL EMAIL — reconfirm</t>
        </is>
      </c>
      <c r="M24" t="inlineStr">
        <is>
          <t>2026-10-29</t>
        </is>
      </c>
    </row>
    <row r="25">
      <c r="A25" s="54" t="inlineStr">
        <is>
          <t>CPV Basin Ranch Energy Center</t>
        </is>
      </c>
      <c r="B25" s="54" t="inlineStr">
        <is>
          <t>Under construction</t>
        </is>
      </c>
      <c r="C25" s="54" t="inlineStr">
        <is>
          <t>2029 commercial operation target, not the input 2028 date.</t>
        </is>
      </c>
      <c r="D25" s="54" t="inlineStr">
        <is>
          <t>1,350 MW confirmed by CPV.</t>
        </is>
      </c>
      <c r="E25" s="54" t="inlineStr">
        <is>
          <t>CPV Basin Ranch is a 1,350 MW combined-cycle project in Ward County, Texas, using two GE Vernova 7HA.03 turbines in a 2x1 configuration. CPV identifies Gemma as EPC and publishes 2029 as the operational target.</t>
        </is>
      </c>
      <c r="F25" s="54" t="inlineStr">
        <is>
          <t>Request Gemma's project purchasing contact and electrical bid schedule. CPV's Sam Loftus is a communications contact only; obtain a procurement introduction instead of treating him as the buyer.</t>
        </is>
      </c>
      <c r="G25" s="55" t="inlineStr">
        <is>
          <t>https://cpv.com/our-fleet/cpv-basin-ranch-energy-center/ | https://cpv.com/2025/10/30/cpv-basin-ranch-and-texas-energy-fund-ink-deal-for-1350-mw-ercot-project/</t>
        </is>
      </c>
      <c r="H25" s="54" t="inlineStr">
        <is>
          <t>Gemma business office / CPV project inquiry form</t>
        </is>
      </c>
      <c r="I25" s="54" t="n"/>
      <c r="J25" s="54" t="inlineStr">
        <is>
          <t>+1 860-659-0509</t>
        </is>
      </c>
      <c r="K25" t="inlineStr">
        <is>
          <t>https://www.gemmapower.com/contact/ | https://cpv.com/contact-us/</t>
        </is>
      </c>
      <c r="L25" t="inlineStr">
        <is>
          <t>MISSING BUYER EMAIL — media contact in Named Contacts</t>
        </is>
      </c>
      <c r="M25" t="inlineStr">
        <is>
          <t>2026-10-29</t>
        </is>
      </c>
    </row>
    <row r="26">
      <c r="A26" s="54" t="inlineStr">
        <is>
          <t>CPV Shay Energy Center</t>
        </is>
      </c>
      <c r="B26" s="54" t="inlineStr">
        <is>
          <t>Development; construction planned</t>
        </is>
      </c>
      <c r="C26" s="54" t="inlineStr">
        <is>
          <t>Construction expected in 2027. Input 2031 COD not corroborated in sources reviewed.</t>
        </is>
      </c>
      <c r="D26" s="54" t="inlineStr">
        <is>
          <t>Updated 2,060 MW from older FAQ to 2,100 MW current CPV headline/project facts and August 2026 release; approximate scope.</t>
        </is>
      </c>
      <c r="E26" s="54" t="inlineStr">
        <is>
          <t>CPV Shay is a planned West Virginia combined-cycle project using three GE Vernova 7HA.03 turbines. In August 2026 CPV announced a ten-year gas supply arrangement with EQT. Current project materials identify approximately 2.1 GW.</t>
        </is>
      </c>
      <c r="F26" s="54" t="inlineStr">
        <is>
          <t>Obtain the current EPC selection, financing/FID, permit status and commissioning schedule from CPV. A gas supply announcement does not confirm project construction or cable procurement.</t>
        </is>
      </c>
      <c r="G26" s="55" t="inlineStr">
        <is>
          <t>https://cpv.com/our-fleet/cpv-shay-energy-center/ | https://cpv.com/2026/08/12/cpv-secures-10-year-gas-netback-with-eqt-to-supply-2-gw-cpv-shay-energy-center/</t>
        </is>
      </c>
      <c r="H26" s="54" t="inlineStr">
        <is>
          <t>Sam Loftus — CPV communications ONLY; request project routing</t>
        </is>
      </c>
      <c r="I26" s="54" t="inlineStr">
        <is>
          <t>sloftus@cpv.com</t>
        </is>
      </c>
      <c r="J26" s="54" t="inlineStr">
        <is>
          <t>+1 617-347-8094</t>
        </is>
      </c>
      <c r="K26" t="inlineStr">
        <is>
          <t>https://cpv.com/2026/08/12/cpv-secures-10-year-gas-netback-with-eqt-to-supply-2-gw-cpv-shay-energy-center/ | https://cpv.com/contact-us/</t>
        </is>
      </c>
      <c r="L26" t="inlineStr">
        <is>
          <t>MEDIA ONLY — procurement contact still missing</t>
        </is>
      </c>
      <c r="M26" t="inlineStr">
        <is>
          <t>2026-10-29</t>
        </is>
      </c>
    </row>
    <row r="27">
      <c r="A27" s="54" t="inlineStr">
        <is>
          <t>CPV Clean Energy Future - Oregon (Oregon Energy Center)</t>
        </is>
      </c>
      <c r="B27" s="54" t="inlineStr">
        <is>
          <t>Early development; grid route unresolved</t>
        </is>
      </c>
      <c r="C27" s="54" t="inlineStr">
        <is>
          <t>No current commercial-operation date verified.</t>
        </is>
      </c>
      <c r="D27" s="54" t="inlineStr">
        <is>
          <t>1,475 MW revised project scope in March 2026 parent filing; older Ohio certificate covered 955 MW.</t>
        </is>
      </c>
      <c r="E27" s="54" t="inlineStr">
        <is>
          <t>Kenon's March 2026 annual filing still lists Oregon as a 1,475 MW early-development CPV project. The November 2025 filing says CPV did not pursue the accelerated PJM RRI route and was considering alternatives. Withdrawal from that route is not evidence of complete project cancellation.</t>
        </is>
      </c>
      <c r="F27" s="54" t="inlineStr">
        <is>
          <t>Kept as Delayed/stalled: PJM queue reportedly withdrawn (Aurora Feb 2026) and OPSB certificate may have lapsed - confirm with CPV.</t>
        </is>
      </c>
      <c r="G27" s="55" t="inlineStr">
        <is>
          <t>https://www.sec.gov/Archives/edgar/data/1611005/000117891326001842/zk2634883.htm | https://www.sec.gov/Archives/edgar/data/1611005/000117891325003891/exhibit_99-1.htm</t>
        </is>
      </c>
      <c r="H27" s="54" t="inlineStr">
        <is>
          <t>Sam Loftus — CPV communications ONLY; request project routing</t>
        </is>
      </c>
      <c r="I27" s="54" t="inlineStr">
        <is>
          <t>sloftus@cpv.com</t>
        </is>
      </c>
      <c r="J27" s="54" t="inlineStr">
        <is>
          <t>+1 617-347-8094</t>
        </is>
      </c>
      <c r="K27" t="inlineStr">
        <is>
          <t>https://cpv.com/2026/08/12/cpv-secures-10-year-gas-netback-with-eqt-to-supply-2-gw-cpv-shay-energy-center/ | https://cpv.com/contact-us/</t>
        </is>
      </c>
      <c r="L27" t="inlineStr">
        <is>
          <t>MEDIA ONLY — procurement contact still missing</t>
        </is>
      </c>
      <c r="M27" t="inlineStr">
        <is>
          <t>2026-10-29</t>
        </is>
      </c>
    </row>
    <row r="28">
      <c r="A28" s="54" t="inlineStr">
        <is>
          <t>Lincoln Land Energy Center (LLEC)</t>
        </is>
      </c>
      <c r="B28" s="54" t="inlineStr">
        <is>
          <t>Development; schedule and sponsorship need refresh</t>
        </is>
      </c>
      <c r="C28" s="54" t="inlineStr">
        <is>
          <t>Developer webpage still shows 2027; treat as stale. July 2026 reporting cites a January 1, 2027 permit deadline; verify with developer/IEPA.</t>
        </is>
      </c>
      <c r="D28" s="54" t="inlineStr">
        <is>
          <t>1,190 MW developer figure retained.</t>
        </is>
      </c>
      <c r="E28" s="54" t="inlineStr">
        <is>
          <t>EmberClear's Lincoln Land project page describes a 1,190 MW combined-cycle development near Pawnee, Illinois. Its current team page identifies John H. Kinnamon in project development. A developer fact sheet publishes his direct business email and phone, but the document is historical.</t>
        </is>
      </c>
      <c r="F28" s="54" t="inlineStr">
        <is>
          <t>Reconfirm Kinnamon's contact details, current sponsor, permit deadline, financing/offtake and EPC before pursuing a package. The input claim that an offtaker withdrew is not verified here; no committed project COD established.</t>
        </is>
      </c>
      <c r="G28" s="55" t="inlineStr">
        <is>
          <t>https://emberclear.com/lincoln-land-2/ | https://www.thriveinspi.org/resources/a6e96b79-67aa-448a-8fd1-54b1f1430d3a/llec%20fact%20sheet.pdf?trackid=llec+fact+sheet.pdf | https://emberclear.com/about-us/ | https://www.illinoistimes.com/news/data-center-development-linked-to-power-plant-construction/</t>
        </is>
      </c>
      <c r="H28" s="54" t="inlineStr">
        <is>
          <t>John H. Kinnamon — project development; historical fact-sheet details</t>
        </is>
      </c>
      <c r="I28" s="54" t="inlineStr">
        <is>
          <t>jkinnamon@emberclear.com</t>
        </is>
      </c>
      <c r="J28" s="54" t="inlineStr">
        <is>
          <t>+1 405-285-0220</t>
        </is>
      </c>
      <c r="K28" t="inlineStr">
        <is>
          <t>https://www.thriveinspi.org/resources/a6e96b79-67aa-448a-8fd1-54b1f1430d3a/llec%20fact%20sheet.pdf?trackid=llec+fact+sheet.pdf | https://emberclear.com/about-us/</t>
        </is>
      </c>
      <c r="L28" t="inlineStr">
        <is>
          <t>HISTORICAL EMAIL + PHONE — reconfirm</t>
        </is>
      </c>
      <c r="M28" t="inlineStr">
        <is>
          <t>2026-10-29</t>
        </is>
      </c>
    </row>
    <row r="29">
      <c r="A29" s="54" t="inlineStr">
        <is>
          <t>Project Kilby (Chevron West Texas Power)</t>
        </is>
      </c>
      <c r="B29" s="54" t="inlineStr">
        <is>
          <t>Pre-FID / early works; procurement contacts published</t>
        </is>
      </c>
      <c r="C29" s="54" t="inlineStr">
        <is>
          <t>First power 2028; full capacity 2031 per project website. FID targeted by end-2026 in Chevron June release.</t>
        </is>
      </c>
      <c r="D29" s="54" t="inlineStr">
        <is>
          <t>2,670 MW project capacity confirmed; do not equate first-power capacity with full buildout.</t>
        </is>
      </c>
      <c r="E29" s="54" t="inlineStr">
        <is>
          <t>Chevron announced a twenty-year Microsoft power agreement for Project Kilby in Reeves County, Texas. The current project site describes Energy Forge One as a 50/50 Chevron-Joulent joint venture. Bechtel's May 2026 opportunity report lists Kilby job 26776, EPC scope, and named procurement/subcontract contacts.</t>
        </is>
      </c>
      <c r="F29" s="54" t="inlineStr">
        <is>
          <t>Contact Birju Vasani for procurement and Mark Bingaman for subcontracts; confirm package scope, supplier qualification and full notice-to-proceed status. The public report supports Bechtel involvement but does not prove an unrestricted EPC NTP.</t>
        </is>
      </c>
      <c r="G29" s="55" t="inlineStr">
        <is>
          <t>https://kilby.com/project/ | https://www.chevron.com/newsroom/2026/q2/chevron-signs-20-year-power-agreement-with-microsoft-for-west-texas-data-center | https://www.bechtel.com/wp-content/uploads/2026/05/5.18.26-Project-Opportunity-Report.pdf</t>
        </is>
      </c>
      <c r="H29" s="54" t="inlineStr">
        <is>
          <t>Mark Bingaman — Bechtel Kilby subcontract prequalification</t>
        </is>
      </c>
      <c r="I29" s="54" t="inlineStr">
        <is>
          <t>mabingam@bechtel.com</t>
        </is>
      </c>
      <c r="J29" s="54" t="inlineStr">
        <is>
          <t>+1 713-235-1662</t>
        </is>
      </c>
      <c r="K29" t="inlineStr">
        <is>
          <t>https://www.bechtel.com/wp-content/uploads/2026/05/5.18.26-Project-Opportunity-Report.pdf</t>
        </is>
      </c>
      <c r="L29" t="inlineStr">
        <is>
          <t>Published project contact; procurement alternative in Named Contacts</t>
        </is>
      </c>
      <c r="M29" t="inlineStr">
        <is>
          <t>2026-10-29</t>
        </is>
      </c>
    </row>
    <row r="30">
      <c r="A30" s="54" t="inlineStr">
        <is>
          <t>Shippingport Power Station Phase II</t>
        </is>
      </c>
      <c r="B30" s="54" t="inlineStr">
        <is>
          <t>Development; existing steam-plant fuel conversion</t>
        </is>
      </c>
      <c r="C30" s="54" t="inlineStr">
        <is>
          <t>Owner targets conversion completion Q4 2028/Q1 2029 and PJM interconnection in 2029; conditional milestones.</t>
        </is>
      </c>
      <c r="D30" s="54" t="inlineStr">
        <is>
          <t>Updated 2,700 MW input to owner's 2,550 MW firm output (three 850 MW units); historical gross ratings differ.</t>
        </is>
      </c>
      <c r="E30" s="54" t="inlineStr">
        <is>
          <t>Shippingport Power Station is a planned conversion of the former Bruce Mansfield station. The owner describes gas conversion of three Foster Wheeler boilers and refurbishment of the existing GE steam turbines; Wood is owner's engineer. This scope is not replacement with new gas turbines.</t>
        </is>
      </c>
      <c r="F30" s="54" t="inlineStr">
        <is>
          <t>Confirm whether this record represents the whole three-unit conversion or a specific phase; do not duplicate the full 2,550 MW across phases. Request retrofit electrical scope through Frontier and Wood. Do not apply greenfield cable quantities to reused equipment.</t>
        </is>
      </c>
      <c r="G30" s="55" t="inlineStr">
        <is>
          <t>https://frontier-companies.com/shippingport-industrial-park/ | https://frontier-companies.com/frontier-group-of-companies-welcomes-senator-dave-mccormick-to-shippingport-industrial-park/</t>
        </is>
      </c>
      <c r="H30" s="54" t="inlineStr">
        <is>
          <t>Frontier general inquiries — shared business route</t>
        </is>
      </c>
      <c r="I30" s="54" t="inlineStr">
        <is>
          <t>inquiries@fic-services.com</t>
        </is>
      </c>
      <c r="J30" s="54" t="inlineStr">
        <is>
          <t>+1 716-447-7587</t>
        </is>
      </c>
      <c r="K30" t="inlineStr">
        <is>
          <t>https://frontier-companies.com/contact-us/</t>
        </is>
      </c>
      <c r="L30" t="inlineStr">
        <is>
          <t>Published office route; request Shippingport electrical buyer</t>
        </is>
      </c>
      <c r="M30" t="inlineStr">
        <is>
          <t>2026-10-29</t>
        </is>
      </c>
    </row>
    <row r="31">
      <c r="A31" s="54" t="inlineStr">
        <is>
          <t>VPN 4420 Natural Gas Generation Component</t>
        </is>
      </c>
      <c r="B31" s="54" t="inlineStr">
        <is>
          <t>Proposed; present execution status unconfirmed</t>
        </is>
      </c>
      <c r="C31" s="54" t="inlineStr">
        <is>
          <t>No current construction or COD verified. Latest posted compliance data describes reporting year 2024.</t>
        </is>
      </c>
      <c r="D31" s="54" t="inlineStr">
        <is>
          <t>1,540 MW input retained as proposed scope; original multi-plant wording requires capacity reconciliation. Do not multiply by three without confirmation.</t>
        </is>
      </c>
      <c r="E31" s="54" t="inlineStr">
        <is>
          <t>Texas Comptroller Chapter 313 agreement 1993 identifies VPN 4420 LLC and Maefield Development CEO Mark Siffin as the business contact. The latest posted 2024 compliance report, uploaded January 2026, repeats his phone/email and reports zero qualified investment through 2024. It does not establish investment or construction status in October 2026.</t>
        </is>
      </c>
      <c r="F31" s="54" t="inlineStr">
        <is>
          <t>Contact Mark Siffin to confirm whether generation is advancing, aggregate capacity, land control, air permits, offtake and EPC. No supported current award schedule; retain as an unqualified development lead rather than a booked project.</t>
        </is>
      </c>
      <c r="G31" s="55" t="inlineStr">
        <is>
          <t>https://assets.comptroller.texas.gov/dat/ch313/1993/01993-772-2024-0812-MCA-195901-PBT.pdf | https://assets.comptroller.texas.gov/ch313/1993/1993-pecos-vpn-app.pdf | https://comptroller.texas.gov/economy/development/prop-tax/ch313/agreement-docs-details.php?id=1993</t>
        </is>
      </c>
      <c r="H31" s="54" t="inlineStr">
        <is>
          <t>Mark Siffin — CEO / VPN 4420 business contact</t>
        </is>
      </c>
      <c r="I31" s="54" t="inlineStr">
        <is>
          <t>siffin@maefield.com</t>
        </is>
      </c>
      <c r="J31" s="54" t="inlineStr">
        <is>
          <t>+1 347-703-0093</t>
        </is>
      </c>
      <c r="K31" t="inlineStr">
        <is>
          <t>https://assets.comptroller.texas.gov/dat/ch313/1993/01993-772-2024-0812-MCA-195901-PBT.pdf | https://assets.comptroller.texas.gov/ch313/1993/1993-pecos-vpn-app.pdf | https://comptroller.texas.gov/economy/development/prop-tax/ch313/agreement-docs-details.php?id=1993</t>
        </is>
      </c>
      <c r="L31" t="inlineStr">
        <is>
          <t>2024 compliance report posted 2026; current project status to confirm</t>
        </is>
      </c>
      <c r="M31" t="inlineStr">
        <is>
          <t>2026-10-29</t>
        </is>
      </c>
    </row>
  </sheetData>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2026-10-30T01:21:19Z</dcterms:created>
  <dcterms:modified xmlns:dcterms="http://purl.org/dc/terms/" xmlns:xsi="http://www.w3.org/2001/XMLSchema-instance" xsi:type="dcterms:W3CDTF">2026-10-30T01:21:23Z</dcterms:modified>
</cp:coreProperties>
</file>